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adb2dddd84c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MVP_Firjan" sheetId="1" r:id="R423660c00d674475"/>
    <x:sheet xmlns:r="http://schemas.openxmlformats.org/officeDocument/2006/relationships" name="02_Volume_1010_Usuarios" sheetId="2" r:id="Ra138e006eeca40ab"/>
    <x:sheet xmlns:r="http://schemas.openxmlformats.org/officeDocument/2006/relationships" name="03_Escopo_Enxuto" sheetId="3" r:id="R9c5ea86ad0844513"/>
    <x:sheet xmlns:r="http://schemas.openxmlformats.org/officeDocument/2006/relationships" name="04_Premissas_Mao_de_Obra" sheetId="4" r:id="R28d5dbd6475343dc"/>
    <x:sheet xmlns:r="http://schemas.openxmlformats.org/officeDocument/2006/relationships" name="05_Credito_Fundadores" sheetId="5" r:id="R2b8f5b94b83d4356"/>
    <x:sheet xmlns:r="http://schemas.openxmlformats.org/officeDocument/2006/relationships" name="06_Custo_MVP_e_Caixa" sheetId="6" r:id="R5ab8baf45dc345c4"/>
    <x:sheet xmlns:r="http://schemas.openxmlformats.org/officeDocument/2006/relationships" name="07_Plano_Case_Firjan" sheetId="7" r:id="R1ae28706d6c54edd"/>
    <x:sheet xmlns:r="http://schemas.openxmlformats.org/officeDocument/2006/relationships" name="08_Resumo_Executivo" sheetId="8" r:id="Rb656b19fb0cd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"/>
    <x:numFmt numFmtId="202" formatCode="0.0%"/>
    <x:numFmt numFmtId="203" formatCode="R$ #,##0;[Red](R$ #,##0);-"/>
  </x:numFmts>
  <x:fonts count="7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63747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063747"/>
      <x:name val="Carlito"/>
    </x:font>
    <x:font>
      <x:b/>
      <x:sz val="16"/>
      <x:color rgb="FF06374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FFF2CC"/>
      </x:patternFill>
    </x:fill>
    <x:fill>
      <x:patternFill patternType="solid">
        <x:fgColor rgb="FFEEF2EA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3" fontId="5" fillId="6" borderId="0" xfId="0" applyNumberFormat="1" applyFont="1" applyFill="1" applyBorder="1"/>
    <x:xf numFmtId="203" fontId="5" fillId="6" borderId="1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 applyAlignment="1">
      <x:alignment horizontal="center" vertical="center"/>
    </x:xf>
    <x:xf numFmtId="203" fontId="6" fillId="6" borderId="0" xfId="0" applyNumberFormat="1" applyFont="1" applyFill="1" applyBorder="1" applyAlignment="1">
      <x:alignment horizontal="center" vertical="center"/>
    </x:xf>
    <x:xf numFmtId="203" fontId="6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0f322b7564b5f" /><Relationship Type="http://schemas.openxmlformats.org/officeDocument/2006/relationships/theme" Target="/xl/theme/theme1.xml" Id="R8f9c6a34730842e5" /><Relationship Type="http://schemas.openxmlformats.org/officeDocument/2006/relationships/sharedStrings" Target="/xl/sharedStrings.xml" Id="R1aae9377d64042d2" /><Relationship Type="http://schemas.openxmlformats.org/officeDocument/2006/relationships/worksheet" Target="/xl/worksheets/sheet1.xml" Id="R423660c00d674475" /><Relationship Type="http://schemas.openxmlformats.org/officeDocument/2006/relationships/worksheet" Target="/xl/worksheets/sheet2.xml" Id="Ra138e006eeca40ab" /><Relationship Type="http://schemas.openxmlformats.org/officeDocument/2006/relationships/worksheet" Target="/xl/worksheets/sheet3.xml" Id="R9c5ea86ad0844513" /><Relationship Type="http://schemas.openxmlformats.org/officeDocument/2006/relationships/worksheet" Target="/xl/worksheets/sheet4.xml" Id="R28d5dbd6475343dc" /><Relationship Type="http://schemas.openxmlformats.org/officeDocument/2006/relationships/worksheet" Target="/xl/worksheets/sheet5.xml" Id="R2b8f5b94b83d4356" /><Relationship Type="http://schemas.openxmlformats.org/officeDocument/2006/relationships/worksheet" Target="/xl/worksheets/sheet6.xml" Id="R5ab8baf45dc345c4" /><Relationship Type="http://schemas.openxmlformats.org/officeDocument/2006/relationships/worksheet" Target="/xl/worksheets/sheet7.xml" Id="R1ae28706d6c54edd" /><Relationship Type="http://schemas.openxmlformats.org/officeDocument/2006/relationships/worksheet" Target="/xl/worksheets/sheet8.xml" Id="Rb656b19fb0cd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0" hidden="0" customWidth="1"/>
    <x:col min="4" max="4" width="40" hidden="0" customWidth="1"/>
    <x:col min="5" max="5" width="38" hidden="0" customWidth="1"/>
    <x:col min="6" max="6" width="18" hidden="0" customWidth="1"/>
    <x:col min="7" max="7" width="16" hidden="0" customWidth="1"/>
    <x:col min="8" max="8" width="38" hidden="0" customWidth="1"/>
  </x:cols>
  <x:sheetData>
    <x:row r="1">
      <x:c r="A1" s="3" t="str">
        <x:v>HUB — MVP FIRJAN | CANDIDATOS &amp; OPORTUNIDADES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8" t="str">
        <x:v>Dor a validar: transformar formação em oportunidade real, conectando as pessoas formadas pela Firjan às vagas e demandas das empresas associadas e acompanhando a conversão até contratação. Piloto dimensionado para 10 empresas e até 1.000 candidatos.</x:v>
      </x:c>
      <x:c r="B3" s="8"/>
      <x:c r="C3" s="8"/>
      <x:c r="D3" s="8"/>
      <x:c r="E3" s="8"/>
      <x:c r="F3" s="8"/>
      <x:c r="G3" s="8"/>
      <x:c r="H3" s="8"/>
    </x:row>
    <x:row r="5">
      <x:c r="A5" s="13" t="str">
        <x:v>Etapa</x:v>
      </x:c>
      <x:c r="B5" s="13" t="str">
        <x:v>Quem faz</x:v>
      </x:c>
      <x:c r="C5" s="13" t="str">
        <x:v>Entrada</x:v>
      </x:c>
      <x:c r="D5" s="13" t="str">
        <x:v>Tecnologia no MVP</x:v>
      </x:c>
      <x:c r="E5" s="13" t="str">
        <x:v>Operação HUB/Firjan</x:v>
      </x:c>
      <x:c r="F5" s="13" t="str">
        <x:v>Automação agora?</x:v>
      </x:c>
      <x:c r="G5" s="13" t="str">
        <x:v>Necessário?</x:v>
      </x:c>
      <x:c r="H5" s="13" t="str">
        <x:v>Evolução</x:v>
      </x:c>
    </x:row>
    <x:row r="6">
      <x:c r="A6" s="16" t="str">
        <x:v>1. Importar candidatos</x:v>
      </x:c>
      <x:c r="B6" s="16" t="str">
        <x:v>Firjan + HUB</x:v>
      </x:c>
      <x:c r="C6" s="16" t="str">
        <x:v>Base de pessoas formadas</x:v>
      </x:c>
      <x:c r="D6" s="16" t="str">
        <x:v>Importação e perfil estruturado</x:v>
      </x:c>
      <x:c r="E6" s="16" t="str">
        <x:v>Qualidade e padronização</x:v>
      </x:c>
      <x:c r="F6" s="16" t="str">
        <x:v>Parcial</x:v>
      </x:c>
      <x:c r="G6" s="16" t="str">
        <x:v>Sim</x:v>
      </x:c>
      <x:c r="H6" s="16" t="str">
        <x:v>Integração com sistemas Firjan</x:v>
      </x:c>
    </x:row>
    <x:row r="7">
      <x:c r="A7" s="16" t="str">
        <x:v>2. Mapear competências</x:v>
      </x:c>
      <x:c r="B7" s="16" t="str">
        <x:v>Plataforma + HUB</x:v>
      </x:c>
      <x:c r="C7" s="16" t="str">
        <x:v>Curso, competências, experiência, interesse</x:v>
      </x:c>
      <x:c r="D7" s="16" t="str">
        <x:v>Tags/score de perfil</x:v>
      </x:c>
      <x:c r="E7" s="16" t="str">
        <x:v>Regras de aderência</x:v>
      </x:c>
      <x:c r="F7" s="16" t="str">
        <x:v>Parcial</x:v>
      </x:c>
      <x:c r="G7" s="16" t="str">
        <x:v>Sim</x:v>
      </x:c>
      <x:c r="H7" s="16" t="str">
        <x:v>Skill graph</x:v>
      </x:c>
    </x:row>
    <x:row r="8">
      <x:c r="A8" s="16" t="str">
        <x:v>3. Cadastrar oportunidades</x:v>
      </x:c>
      <x:c r="B8" s="16" t="str">
        <x:v>Empresa + HUB</x:v>
      </x:c>
      <x:c r="C8" s="16" t="str">
        <x:v>Vaga, projeto ou oportunidade</x:v>
      </x:c>
      <x:c r="D8" s="16" t="str">
        <x:v>Registro estruturado</x:v>
      </x:c>
      <x:c r="E8" s="16" t="str">
        <x:v>Qualificação da demanda</x:v>
      </x:c>
      <x:c r="F8" s="16" t="str">
        <x:v>Parcial</x:v>
      </x:c>
      <x:c r="G8" s="16" t="str">
        <x:v>Sim</x:v>
      </x:c>
      <x:c r="H8" s="16" t="str">
        <x:v>Portal recrutador completo</x:v>
      </x:c>
    </x:row>
    <x:row r="9">
      <x:c r="A9" s="16" t="str">
        <x:v>4. Fazer match</x:v>
      </x:c>
      <x:c r="B9" s="16" t="str">
        <x:v>Plataforma</x:v>
      </x:c>
      <x:c r="C9" s="16" t="str">
        <x:v>Perfil × oportunidade</x:v>
      </x:c>
      <x:c r="D9" s="16" t="str">
        <x:v>Ranking por aderência</x:v>
      </x:c>
      <x:c r="E9" s="16" t="str">
        <x:v>Curadoria inicial</x:v>
      </x:c>
      <x:c r="F9" s="16" t="str">
        <x:v>Sim</x:v>
      </x:c>
      <x:c r="G9" s="16" t="str">
        <x:v>Sim</x:v>
      </x:c>
      <x:c r="H9" s="16" t="str">
        <x:v>IA de matching</x:v>
      </x:c>
    </x:row>
    <x:row r="10">
      <x:c r="A10" s="16" t="str">
        <x:v>5. Apresentar shortlist</x:v>
      </x:c>
      <x:c r="B10" s="16" t="str">
        <x:v>Recrutador</x:v>
      </x:c>
      <x:c r="C10" s="16" t="str">
        <x:v>Matches priorizados</x:v>
      </x:c>
      <x:c r="D10" s="16" t="str">
        <x:v>Lista, filtros e status</x:v>
      </x:c>
      <x:c r="E10" s="16" t="str">
        <x:v>Apoio na conexão</x:v>
      </x:c>
      <x:c r="F10" s="16" t="str">
        <x:v>Sim</x:v>
      </x:c>
      <x:c r="G10" s="16" t="str">
        <x:v>Sim</x:v>
      </x:c>
      <x:c r="H10" s="16" t="str">
        <x:v>ATS integrado</x:v>
      </x:c>
    </x:row>
    <x:row r="11">
      <x:c r="A11" s="16" t="str">
        <x:v>6. Acompanhar seleção</x:v>
      </x:c>
      <x:c r="B11" s="16" t="str">
        <x:v>Empresa + HUB</x:v>
      </x:c>
      <x:c r="C11" s="16" t="str">
        <x:v>Etapas e feedback</x:v>
      </x:c>
      <x:c r="D11" s="16" t="str">
        <x:v>Funil simples</x:v>
      </x:c>
      <x:c r="E11" s="16" t="str">
        <x:v>Follow-up</x:v>
      </x:c>
      <x:c r="F11" s="16" t="str">
        <x:v>Parcial</x:v>
      </x:c>
      <x:c r="G11" s="16" t="str">
        <x:v>Sim</x:v>
      </x:c>
      <x:c r="H11" s="16" t="str">
        <x:v>Workflow completo</x:v>
      </x:c>
    </x:row>
    <x:row r="12">
      <x:c r="A12" s="16" t="str">
        <x:v>7. Registrar contratação</x:v>
      </x:c>
      <x:c r="B12" s="16" t="str">
        <x:v>Empresa/Firjan</x:v>
      </x:c>
      <x:c r="C12" s="16" t="str">
        <x:v>Resultado da oportunidade</x:v>
      </x:c>
      <x:c r="D12" s="16" t="str">
        <x:v>Conversão e indicadores</x:v>
      </x:c>
      <x:c r="E12" s="16" t="str">
        <x:v>Validação</x:v>
      </x:c>
      <x:c r="F12" s="16" t="str">
        <x:v>Parcial</x:v>
      </x:c>
      <x:c r="G12" s="16" t="str">
        <x:v>Sim</x:v>
      </x:c>
      <x:c r="H12" s="16" t="str">
        <x:v>Integração RH/ATS</x:v>
      </x:c>
    </x:row>
    <x:row r="13">
      <x:c r="A13" s="16" t="str">
        <x:v>8. Medir impacto</x:v>
      </x:c>
      <x:c r="B13" s="16" t="str">
        <x:v>Plataforma + HUB</x:v>
      </x:c>
      <x:c r="C13" s="16" t="str">
        <x:v>Formação → oportunidade → contratação</x:v>
      </x:c>
      <x:c r="D13" s="16" t="str">
        <x:v>Dashboard</x:v>
      </x:c>
      <x:c r="E13" s="16" t="str">
        <x:v>Análise do programa</x:v>
      </x:c>
      <x:c r="F13" s="16" t="str">
        <x:v>Sim</x:v>
      </x:c>
      <x:c r="G13" s="16" t="str">
        <x:v>Sim</x:v>
      </x:c>
      <x:c r="H13" s="16" t="str">
        <x:v>Benchmark de empregabilidade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16" hidden="0" customWidth="1"/>
    <x:col min="5" max="5" width="8" hidden="0" customWidth="1"/>
    <x:col min="6" max="6" width="30" hidden="0" customWidth="1"/>
    <x:col min="7" max="7" width="32" hidden="0" customWidth="1"/>
    <x:col min="8" max="8" width="20" hidden="0" customWidth="1"/>
  </x:cols>
  <x:sheetData>
    <x:row r="1">
      <x:c r="A1" s="3" t="str">
        <x:v>DIMENSIONAMENTO — 10 EMPRESAS + 1.000 CANDIDATOS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Premissa</x:v>
      </x:c>
      <x:c r="B5" s="13" t="str">
        <x:v>Quantidade</x:v>
      </x:c>
      <x:c r="C5" s="13" t="str">
        <x:v>Unidade</x:v>
      </x:c>
      <x:c r="D5" s="13" t="str">
        <x:v>Editável?</x:v>
      </x:c>
      <x:c r="F5" s="13" t="str">
        <x:v>Indicador</x:v>
      </x:c>
      <x:c r="G5" s="13" t="str">
        <x:v>Lógica</x:v>
      </x:c>
      <x:c r="H5" s="13" t="str">
        <x:v>Estimativa</x:v>
      </x:c>
    </x:row>
    <x:row r="6">
      <x:c r="A6" t="str">
        <x:v>Empresas participantes</x:v>
      </x:c>
      <x:c r="B6" s="20" t="n">
        <x:v>10</x:v>
      </x:c>
      <x:c r="C6" t="str">
        <x:v>empresas</x:v>
      </x:c>
      <x:c r="D6" t="str">
        <x:v>Sim</x:v>
      </x:c>
      <x:c r="F6" t="str">
        <x:v>Oportunidades</x:v>
      </x:c>
      <x:c r="G6" t="str">
        <x:v>empresas × oportunidades</x:v>
      </x:c>
      <x:c r="H6" s="24" t="n">
        <x:f>B6*B11</x:f>
        <x:v>50</x:v>
      </x:c>
    </x:row>
    <x:row r="7">
      <x:c r="A7" t="str">
        <x:v>Candidatos por empresa (capacidade de referência)</x:v>
      </x:c>
      <x:c r="B7" s="20" t="n">
        <x:v>100</x:v>
      </x:c>
      <x:c r="C7" t="str">
        <x:v>candidatos</x:v>
      </x:c>
      <x:c r="D7" t="str">
        <x:v>Sim</x:v>
      </x:c>
      <x:c r="F7" t="str">
        <x:v>Matches apresentados</x:v>
      </x:c>
      <x:c r="G7" t="str">
        <x:v>oportunidades × matches</x:v>
      </x:c>
      <x:c r="H7" s="24" t="n">
        <x:f>H6*B12</x:f>
        <x:v>500</x:v>
      </x:c>
    </x:row>
    <x:row r="8">
      <x:c r="A8" t="str">
        <x:v>Candidatos totais</x:v>
      </x:c>
      <x:c r="B8" t="n">
        <x:f>B6*B7</x:f>
        <x:v>1000</x:v>
      </x:c>
      <x:c r="C8" t="str">
        <x:v>candidatos</x:v>
      </x:c>
      <x:c r="D8" t="str">
        <x:v>Fórmula</x:v>
      </x:c>
      <x:c r="F8" t="str">
        <x:v>Entrevistas</x:v>
      </x:c>
      <x:c r="G8" t="str">
        <x:v>matches × taxa avanço</x:v>
      </x:c>
      <x:c r="H8" s="24" t="n">
        <x:f>H7*B13</x:f>
        <x:v>150</x:v>
      </x:c>
    </x:row>
    <x:row r="9">
      <x:c r="A9" t="str">
        <x:v>Recrutadores por empresa</x:v>
      </x:c>
      <x:c r="B9" s="20" t="n">
        <x:v>2</x:v>
      </x:c>
      <x:c r="C9" t="str">
        <x:v>usuários</x:v>
      </x:c>
      <x:c r="D9" t="str">
        <x:v>Sim</x:v>
      </x:c>
      <x:c r="F9" t="str">
        <x:v>Contratações</x:v>
      </x:c>
      <x:c r="G9" t="str">
        <x:v>entrevistas × taxa contratação</x:v>
      </x:c>
      <x:c r="H9" s="24" t="n">
        <x:f>H8*B14</x:f>
        <x:v>30</x:v>
      </x:c>
    </x:row>
    <x:row r="10">
      <x:c r="A10" t="str">
        <x:v>Recrutadores totais</x:v>
      </x:c>
      <x:c r="B10" t="n">
        <x:f>B6*B9</x:f>
        <x:v>20</x:v>
      </x:c>
      <x:c r="C10" t="str">
        <x:v>usuários</x:v>
      </x:c>
      <x:c r="D10" t="str">
        <x:v>Fórmula</x:v>
      </x:c>
      <x:c r="F10" t="str">
        <x:v>Conversão candidato → contratação</x:v>
      </x:c>
      <x:c r="G10" t="str">
        <x:v>contratações / candidatos</x:v>
      </x:c>
      <x:c r="H10" s="26" t="n">
        <x:f>H9/B8</x:f>
        <x:v>0.03</x:v>
      </x:c>
    </x:row>
    <x:row r="11">
      <x:c r="A11" t="str">
        <x:v>Oportunidades médias por empresa no piloto</x:v>
      </x:c>
      <x:c r="B11" s="20" t="n">
        <x:v>5</x:v>
      </x:c>
      <x:c r="C11" t="str">
        <x:v>oportunidades</x:v>
      </x:c>
      <x:c r="D11" t="str">
        <x:v>Sim</x:v>
      </x:c>
    </x:row>
    <x:row r="12">
      <x:c r="A12" t="str">
        <x:v>Matches exibidos por oportunidade</x:v>
      </x:c>
      <x:c r="B12" s="20" t="n">
        <x:v>10</x:v>
      </x:c>
      <x:c r="C12" t="str">
        <x:v>matches</x:v>
      </x:c>
      <x:c r="D12" t="str">
        <x:v>Sim</x:v>
      </x:c>
    </x:row>
    <x:row r="13">
      <x:c r="A13" t="str">
        <x:v>Taxa de avanço para entrevista</x:v>
      </x:c>
      <x:c r="B13" s="22" t="n">
        <x:v>0.3</x:v>
      </x:c>
      <x:c r="C13" t="str">
        <x:v>% matches</x:v>
      </x:c>
      <x:c r="D13" t="str">
        <x:v>Sim</x:v>
      </x:c>
    </x:row>
    <x:row r="14">
      <x:c r="A14" t="str">
        <x:v>Taxa de contratação por entrevista</x:v>
      </x:c>
      <x:c r="B14" s="22" t="n">
        <x:v>0.2</x:v>
      </x:c>
      <x:c r="C14" t="str">
        <x:v>% entrevistas</x:v>
      </x:c>
      <x:c r="D14" t="str">
        <x:v>Sim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0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50" hidden="0" customWidth="1"/>
  </x:cols>
  <x:sheetData>
    <x:row r="1">
      <x:c r="A1" s="3" t="str">
        <x:v>ESCOPO ENXUTO — CANDIDATOS + RECRUTADORES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5">
      <x:c r="A5" s="13" t="str">
        <x:v>ID</x:v>
      </x:c>
      <x:c r="B5" s="13" t="str">
        <x:v>Tela/capacidade</x:v>
      </x:c>
      <x:c r="C5" s="13" t="str">
        <x:v>Público</x:v>
      </x:c>
      <x:c r="D5" s="13" t="str">
        <x:v>MVP</x:v>
      </x:c>
      <x:c r="E5" s="13" t="str">
        <x:v>Complex.</x:v>
      </x:c>
      <x:c r="F5" s="13" t="str">
        <x:v>Dados</x:v>
      </x:c>
      <x:c r="G5" s="13" t="str">
        <x:v>Front</x:v>
      </x:c>
      <x:c r="H5" s="13" t="str">
        <x:v>Back</x:v>
      </x:c>
      <x:c r="I5" s="13" t="str">
        <x:v>Match</x:v>
      </x:c>
      <x:c r="J5" s="13" t="str">
        <x:v>Observação</x:v>
      </x:c>
    </x:row>
    <x:row r="6">
      <x:c r="A6" s="16" t="n">
        <x:v>1</x:v>
      </x:c>
      <x:c r="B6" s="16" t="str">
        <x:v>Login simples</x:v>
      </x:c>
      <x:c r="C6" s="16" t="str">
        <x:v>Todos</x:v>
      </x:c>
      <x:c r="D6" s="16" t="str">
        <x:v>Sim</x:v>
      </x:c>
      <x:c r="E6" s="16" t="str">
        <x:v>Baixa</x:v>
      </x:c>
      <x:c r="F6" s="16" t="str">
        <x:v>Baixo</x:v>
      </x:c>
      <x:c r="G6" s="16" t="str">
        <x:v>Baixo</x:v>
      </x:c>
      <x:c r="H6" s="16" t="str">
        <x:v>Baixo</x:v>
      </x:c>
      <x:c r="I6" s="16" t="str">
        <x:v>Não</x:v>
      </x:c>
      <x:c r="J6" s="16" t="str">
        <x:v>Acesso simples</x:v>
      </x:c>
    </x:row>
    <x:row r="7">
      <x:c r="A7" s="16" t="n">
        <x:v>2</x:v>
      </x:c>
      <x:c r="B7" s="16" t="str">
        <x:v>Importação administrativa de candidatos</x:v>
      </x:c>
      <x:c r="C7" s="16" t="str">
        <x:v>HUB/Firjan</x:v>
      </x:c>
      <x:c r="D7" s="16" t="str">
        <x:v>Sim</x:v>
      </x:c>
      <x:c r="E7" s="16" t="str">
        <x:v>Média</x:v>
      </x:c>
      <x:c r="F7" s="16" t="str">
        <x:v>Alto</x:v>
      </x:c>
      <x:c r="G7" s="16" t="str">
        <x:v>Baixo</x:v>
      </x:c>
      <x:c r="H7" s="16" t="str">
        <x:v>Médio</x:v>
      </x:c>
      <x:c r="I7" s="16" t="str">
        <x:v>Não</x:v>
      </x:c>
      <x:c r="J7" s="16" t="str">
        <x:v>Evita onboarding manual de 1.000 pessoas no início</x:v>
      </x:c>
    </x:row>
    <x:row r="8">
      <x:c r="A8" s="16" t="n">
        <x:v>3</x:v>
      </x:c>
      <x:c r="B8" s="16" t="str">
        <x:v>Perfil do candidato</x:v>
      </x:c>
      <x:c r="C8" s="16" t="str">
        <x:v>Candidato</x:v>
      </x:c>
      <x:c r="D8" s="16" t="str">
        <x:v>Sim</x:v>
      </x:c>
      <x:c r="E8" s="16" t="str">
        <x:v>Média</x:v>
      </x:c>
      <x:c r="F8" s="16" t="str">
        <x:v>Alto</x:v>
      </x:c>
      <x:c r="G8" s="16" t="str">
        <x:v>Médio</x:v>
      </x:c>
      <x:c r="H8" s="16" t="str">
        <x:v>Médio</x:v>
      </x:c>
      <x:c r="I8" s="16" t="str">
        <x:v>Não</x:v>
      </x:c>
      <x:c r="J8" s="16" t="str">
        <x:v>Competências, curso, experiência, interesse</x:v>
      </x:c>
    </x:row>
    <x:row r="9">
      <x:c r="A9" s="16" t="n">
        <x:v>4</x:v>
      </x:c>
      <x:c r="B9" s="16" t="str">
        <x:v>Cadastro de oportunidade</x:v>
      </x:c>
      <x:c r="C9" s="16" t="str">
        <x:v>Recrutador</x:v>
      </x:c>
      <x:c r="D9" s="16" t="str">
        <x:v>Sim</x:v>
      </x:c>
      <x:c r="E9" s="16" t="str">
        <x:v>Média</x:v>
      </x:c>
      <x:c r="F9" s="16" t="str">
        <x:v>Médio</x:v>
      </x:c>
      <x:c r="G9" s="16" t="str">
        <x:v>Médio</x:v>
      </x:c>
      <x:c r="H9" s="16" t="str">
        <x:v>Médio</x:v>
      </x:c>
      <x:c r="I9" s="16" t="str">
        <x:v>Não</x:v>
      </x:c>
      <x:c r="J9" s="16" t="str">
        <x:v>Vaga/projeto</x:v>
      </x:c>
    </x:row>
    <x:row r="10">
      <x:c r="A10" s="16" t="n">
        <x:v>5</x:v>
      </x:c>
      <x:c r="B10" s="16" t="str">
        <x:v>Match candidato × oportunidade</x:v>
      </x:c>
      <x:c r="C10" s="16" t="str">
        <x:v>Plataforma</x:v>
      </x:c>
      <x:c r="D10" s="16" t="str">
        <x:v>Sim</x:v>
      </x:c>
      <x:c r="E10" s="16" t="str">
        <x:v>Alta</x:v>
      </x:c>
      <x:c r="F10" s="16" t="str">
        <x:v>Alto</x:v>
      </x:c>
      <x:c r="G10" s="16" t="str">
        <x:v>Alto</x:v>
      </x:c>
      <x:c r="H10" s="16" t="str">
        <x:v>Alto</x:v>
      </x:c>
      <x:c r="I10" s="16" t="str">
        <x:v>Sim</x:v>
      </x:c>
      <x:c r="J10" s="16" t="str">
        <x:v>Regras ponderadas primeiro</x:v>
      </x:c>
    </x:row>
    <x:row r="11">
      <x:c r="A11" s="16" t="n">
        <x:v>6</x:v>
      </x:c>
      <x:c r="B11" s="16" t="str">
        <x:v>Shortlist e filtros</x:v>
      </x:c>
      <x:c r="C11" s="16" t="str">
        <x:v>Recrutador</x:v>
      </x:c>
      <x:c r="D11" s="16" t="str">
        <x:v>Sim</x:v>
      </x:c>
      <x:c r="E11" s="16" t="str">
        <x:v>Alta</x:v>
      </x:c>
      <x:c r="F11" s="16" t="str">
        <x:v>Alto</x:v>
      </x:c>
      <x:c r="G11" s="16" t="str">
        <x:v>Alto</x:v>
      </x:c>
      <x:c r="H11" s="16" t="str">
        <x:v>Médio</x:v>
      </x:c>
      <x:c r="I11" s="16" t="str">
        <x:v>Leve</x:v>
      </x:c>
      <x:c r="J11" s="16" t="str">
        <x:v>Lista priorizada</x:v>
      </x:c>
    </x:row>
    <x:row r="12">
      <x:c r="A12" s="16" t="n">
        <x:v>7</x:v>
      </x:c>
      <x:c r="B12" s="16" t="str">
        <x:v>Interesse / candidatura</x:v>
      </x:c>
      <x:c r="C12" s="16" t="str">
        <x:v>Candidato</x:v>
      </x:c>
      <x:c r="D12" s="16" t="str">
        <x:v>Sim</x:v>
      </x:c>
      <x:c r="E12" s="16" t="str">
        <x:v>Média</x:v>
      </x:c>
      <x:c r="F12" s="16" t="str">
        <x:v>Médio</x:v>
      </x:c>
      <x:c r="G12" s="16" t="str">
        <x:v>Médio</x:v>
      </x:c>
      <x:c r="H12" s="16" t="str">
        <x:v>Médio</x:v>
      </x:c>
      <x:c r="I12" s="16" t="str">
        <x:v>Não</x:v>
      </x:c>
      <x:c r="J12" s="16" t="str">
        <x:v>Confirma interesse</x:v>
      </x:c>
    </x:row>
    <x:row r="13">
      <x:c r="A13" s="16" t="n">
        <x:v>8</x:v>
      </x:c>
      <x:c r="B13" s="16" t="str">
        <x:v>Funil seletivo</x:v>
      </x:c>
      <x:c r="C13" s="16" t="str">
        <x:v>Recrutador</x:v>
      </x:c>
      <x:c r="D13" s="16" t="str">
        <x:v>Sim</x:v>
      </x:c>
      <x:c r="E13" s="16" t="str">
        <x:v>Média</x:v>
      </x:c>
      <x:c r="F13" s="16" t="str">
        <x:v>Alto</x:v>
      </x:c>
      <x:c r="G13" s="16" t="str">
        <x:v>Médio</x:v>
      </x:c>
      <x:c r="H13" s="16" t="str">
        <x:v>Médio</x:v>
      </x:c>
      <x:c r="I13" s="16" t="str">
        <x:v>Não</x:v>
      </x:c>
      <x:c r="J13" s="16" t="str">
        <x:v>Match → entrevista → contratação</x:v>
      </x:c>
    </x:row>
    <x:row r="14">
      <x:c r="A14" s="16" t="n">
        <x:v>9</x:v>
      </x:c>
      <x:c r="B14" s="16" t="str">
        <x:v>Feedback / motivo de não avanço</x:v>
      </x:c>
      <x:c r="C14" s="16" t="str">
        <x:v>Recrutador</x:v>
      </x:c>
      <x:c r="D14" s="16" t="str">
        <x:v>Sim</x:v>
      </x:c>
      <x:c r="E14" s="16" t="str">
        <x:v>Média</x:v>
      </x:c>
      <x:c r="F14" s="16" t="str">
        <x:v>Alto</x:v>
      </x:c>
      <x:c r="G14" s="16" t="str">
        <x:v>Médio</x:v>
      </x:c>
      <x:c r="H14" s="16" t="str">
        <x:v>Médio</x:v>
      </x:c>
      <x:c r="I14" s="16" t="str">
        <x:v>Não</x:v>
      </x:c>
      <x:c r="J14" s="16" t="str">
        <x:v>Dado valioso para formação</x:v>
      </x:c>
    </x:row>
    <x:row r="15">
      <x:c r="A15" s="16" t="n">
        <x:v>10</x:v>
      </x:c>
      <x:c r="B15" s="16" t="str">
        <x:v>Dashboard Firjan</x:v>
      </x:c>
      <x:c r="C15" s="16" t="str">
        <x:v>Firjan</x:v>
      </x:c>
      <x:c r="D15" s="16" t="str">
        <x:v>Sim</x:v>
      </x:c>
      <x:c r="E15" s="16" t="str">
        <x:v>Alta</x:v>
      </x:c>
      <x:c r="F15" s="16" t="str">
        <x:v>Muito alto</x:v>
      </x:c>
      <x:c r="G15" s="16" t="str">
        <x:v>Alto</x:v>
      </x:c>
      <x:c r="H15" s="16" t="str">
        <x:v>Médio</x:v>
      </x:c>
      <x:c r="I15" s="16" t="str">
        <x:v>Não</x:v>
      </x:c>
      <x:c r="J15" s="16" t="str">
        <x:v>Formação, oportunidades, conversão</x:v>
      </x:c>
    </x:row>
    <x:row r="16">
      <x:c r="A16" s="16" t="n">
        <x:v>11</x:v>
      </x:c>
      <x:c r="B16" s="16" t="str">
        <x:v>Dashboard empresa</x:v>
      </x:c>
      <x:c r="C16" s="16" t="str">
        <x:v>Recrutador</x:v>
      </x:c>
      <x:c r="D16" s="16" t="str">
        <x:v>Sim</x:v>
      </x:c>
      <x:c r="E16" s="16" t="str">
        <x:v>Média</x:v>
      </x:c>
      <x:c r="F16" s="16" t="str">
        <x:v>Alto</x:v>
      </x:c>
      <x:c r="G16" s="16" t="str">
        <x:v>Médio</x:v>
      </x:c>
      <x:c r="H16" s="16" t="str">
        <x:v>Médio</x:v>
      </x:c>
      <x:c r="I16" s="16" t="str">
        <x:v>Não</x:v>
      </x:c>
      <x:c r="J16" s="16" t="str">
        <x:v>Pipeline e aderência</x:v>
      </x:c>
    </x:row>
    <x:row r="17">
      <x:c r="A17" s="16" t="n">
        <x:v>12</x:v>
      </x:c>
      <x:c r="B17" s="16" t="str">
        <x:v>Recomendações de desenvolvimento</x:v>
      </x:c>
      <x:c r="C17" s="16" t="str">
        <x:v>Candidato/Firjan</x:v>
      </x:c>
      <x:c r="D17" s="16" t="str">
        <x:v>Fase 2</x:v>
      </x:c>
      <x:c r="E17" s="16" t="str">
        <x:v>Alta</x:v>
      </x:c>
      <x:c r="F17" s="16" t="str">
        <x:v>Alto</x:v>
      </x:c>
      <x:c r="G17" s="16" t="str">
        <x:v>Médio</x:v>
      </x:c>
      <x:c r="H17" s="16" t="str">
        <x:v>Médio</x:v>
      </x:c>
      <x:c r="I17" s="16" t="str">
        <x:v>Leve</x:v>
      </x:c>
      <x:c r="J17" s="16" t="str">
        <x:v>Lacunas de competência</x:v>
      </x:c>
    </x:row>
    <x:row r="18">
      <x:c r="A18" s="16" t="n">
        <x:v>13</x:v>
      </x:c>
      <x:c r="B18" s="16" t="str">
        <x:v>Relatório de impacto</x:v>
      </x:c>
      <x:c r="C18" s="16" t="str">
        <x:v>Firjan</x:v>
      </x:c>
      <x:c r="D18" s="16" t="str">
        <x:v>Fase 2</x:v>
      </x:c>
      <x:c r="E18" s="16" t="str">
        <x:v>Média</x:v>
      </x:c>
      <x:c r="F18" s="16" t="str">
        <x:v>Alto</x:v>
      </x:c>
      <x:c r="G18" s="16" t="str">
        <x:v>Médio</x:v>
      </x:c>
      <x:c r="H18" s="16" t="str">
        <x:v>Médio</x:v>
      </x:c>
      <x:c r="I18" s="16" t="str">
        <x:v>Não</x:v>
      </x:c>
      <x:c r="J18" s="16" t="str">
        <x:v>Case e prestação de valor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22" hidden="0" customWidth="1"/>
    <x:col min="5" max="5" width="18" hidden="0" customWidth="1"/>
    <x:col min="6" max="6" width="60" hidden="0" customWidth="1"/>
  </x:cols>
  <x:sheetData>
    <x:row r="1">
      <x:c r="A1" s="3" t="str">
        <x:v>PREMISSAS DE MÃO DE OBRA — MVP FIRJAN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3">
      <x:c r="A3" s="7" t="str">
        <x:v>Premissas iniciais editáveis. O volume de 1.000 candidatos pesa mais em dados, testes, suporte e operação do que em infraestrutura bruta.</x:v>
      </x:c>
      <x:c r="B3" s="7"/>
      <x:c r="C3" s="7"/>
      <x:c r="D3" s="7"/>
      <x:c r="E3" s="7"/>
      <x:c r="F3" s="7"/>
    </x:row>
    <x:row r="5">
      <x:c r="A5" s="13" t="str">
        <x:v>Papel</x:v>
      </x:c>
      <x:c r="B5" s="13" t="str">
        <x:v>Rate R$/h</x:v>
      </x:c>
      <x:c r="C5" s="13" t="str">
        <x:v>Horas</x:v>
      </x:c>
      <x:c r="D5" s="13" t="str">
        <x:v>Custo econômico</x:v>
      </x:c>
      <x:c r="E5" s="13" t="str">
        <x:v>Pago agora?</x:v>
      </x:c>
      <x:c r="F5" s="13" t="str">
        <x:v>Escopo</x:v>
      </x:c>
    </x:row>
    <x:row r="6">
      <x:c r="A6" t="str">
        <x:v>Sócio de tecnologia</x:v>
      </x:c>
      <x:c r="B6" s="28" t="n">
        <x:v>180</x:v>
      </x:c>
      <x:c r="C6" s="20" t="n">
        <x:v>480</x:v>
      </x:c>
      <x:c r="D6" s="30" t="n">
        <x:f>B6*C6</x:f>
        <x:v>86400</x:v>
      </x:c>
      <x:c r="E6" t="str">
        <x:v>Não</x:v>
      </x:c>
      <x:c r="F6" t="str">
        <x:v>Perfis, oportunidades, matching, funil e dashboards</x:v>
      </x:c>
    </x:row>
    <x:row r="7">
      <x:c r="A7" t="str">
        <x:v>Tamara — estratégia e produto</x:v>
      </x:c>
      <x:c r="B7" s="28" t="n">
        <x:v>220</x:v>
      </x:c>
      <x:c r="C7" s="20" t="n">
        <x:v>220</x:v>
      </x:c>
      <x:c r="D7" s="30" t="n">
        <x:f>B7*C7</x:f>
        <x:v>48400</x:v>
      </x:c>
      <x:c r="E7" t="str">
        <x:v>Não</x:v>
      </x:c>
      <x:c r="F7" t="str">
        <x:v>Produto, regras, empregabilidade, proposta de valor e estratégia</x:v>
      </x:c>
    </x:row>
    <x:row r="8">
      <x:c r="A8" t="str">
        <x:v>Paulo Fábio — operação e estratégia</x:v>
      </x:c>
      <x:c r="B8" s="28" t="n">
        <x:v>160</x:v>
      </x:c>
      <x:c r="C8" s="20" t="n">
        <x:v>220</x:v>
      </x:c>
      <x:c r="D8" s="30" t="n">
        <x:f>B8*C8</x:f>
        <x:v>35200</x:v>
      </x:c>
      <x:c r="E8" t="str">
        <x:v>Não</x:v>
      </x:c>
      <x:c r="F8" t="str">
        <x:v>Operação do piloto, acompanhamento de empresas/candidatos e planos de ação</x:v>
      </x:c>
    </x:row>
    <x:row r="9">
      <x:c r="A9" t="str">
        <x:v>Pedro — operação e comunicação</x:v>
      </x:c>
      <x:c r="B9" s="28" t="n">
        <x:v>150</x:v>
      </x:c>
      <x:c r="C9" s="20" t="n">
        <x:v>190</x:v>
      </x:c>
      <x:c r="D9" s="30" t="n">
        <x:f>B9*C9</x:f>
        <x:v>28500</x:v>
      </x:c>
      <x:c r="E9" t="str">
        <x:v>Não</x:v>
      </x:c>
      <x:c r="F9" t="str">
        <x:v>Engajamento de 1.000 candidatos, empresas e comunicação</x:v>
      </x:c>
    </x:row>
    <x:row r="10">
      <x:c r="A10" t="str">
        <x:v>UX/UI enxuto</x:v>
      </x:c>
      <x:c r="B10" s="28" t="n">
        <x:v>140</x:v>
      </x:c>
      <x:c r="C10" s="20" t="n">
        <x:v>70</x:v>
      </x:c>
      <x:c r="D10" s="30" t="n">
        <x:f>B10*C10</x:f>
        <x:v>9800</x:v>
      </x:c>
      <x:c r="E10" t="str">
        <x:v>Sim/Não</x:v>
      </x:c>
      <x:c r="F10" t="str">
        <x:v>Jornadas candidato/recrutador/Firjan</x:v>
      </x:c>
    </x:row>
    <x:row r="11">
      <x:c r="A11" t="str">
        <x:v>QA / testes</x:v>
      </x:c>
      <x:c r="B11" s="28" t="n">
        <x:v>120</x:v>
      </x:c>
      <x:c r="C11" s="20" t="n">
        <x:v>90</x:v>
      </x:c>
      <x:c r="D11" s="30" t="n">
        <x:f>B11*C11</x:f>
        <x:v>10800</x:v>
      </x:c>
      <x:c r="E11" t="str">
        <x:v>Sim/Não</x:v>
      </x:c>
      <x:c r="F11" t="str">
        <x:v>Volume maior e múltiplos perfis</x:v>
      </x:c>
    </x:row>
    <x:row r="12">
      <x:c r="A12" t="str">
        <x:v>Dados / BI adicional</x:v>
      </x:c>
      <x:c r="B12" s="28" t="n">
        <x:v>180</x:v>
      </x:c>
      <x:c r="C12" s="20" t="n">
        <x:v>90</x:v>
      </x:c>
      <x:c r="D12" s="30" t="n">
        <x:f>B12*C12</x:f>
        <x:v>16200</x:v>
      </x:c>
      <x:c r="E12" t="str">
        <x:v>Sim/Não</x:v>
      </x:c>
      <x:c r="F12" t="str">
        <x:v>Importação, qualidade e indicadores</x:v>
      </x:c>
    </x:row>
    <x:row r="13">
      <x:c r="A13" t="str">
        <x:v>Segurança / revisão</x:v>
      </x:c>
      <x:c r="B13" s="28" t="n">
        <x:v>220</x:v>
      </x:c>
      <x:c r="C13" s="20" t="n">
        <x:v>24</x:v>
      </x:c>
      <x:c r="D13" s="30" t="n">
        <x:f>B13*C13</x:f>
        <x:v>5280</x:v>
      </x:c>
      <x:c r="E13" t="str">
        <x:v>Sim</x:v>
      </x:c>
      <x:c r="F13" t="str">
        <x:v>Dados pessoais e acessos</x:v>
      </x:c>
    </x:row>
    <x:row r="15">
      <x:c r="A15" s="33" t="str">
        <x:v>TOTAL MÃO DE OBRA</x:v>
      </x:c>
      <x:c r="B15" s="33"/>
      <x:c r="C15" s="33"/>
      <x:c r="D15" s="36" t="n">
        <x:f>SUM(D6:D13)</x:f>
        <x:v>240580</x:v>
      </x:c>
      <x:c r="E15" s="33"/>
      <x:c r="F15" s="33"/>
    </x:row>
  </x:sheetData>
  <x:mergeCells>
    <x:mergeCell ref="A1:F2"/>
    <x:mergeCell ref="A3:F3"/>
    <x:mergeCell ref="A15:C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8" hidden="0" customWidth="1"/>
    <x:col min="7" max="7" width="20" hidden="0" customWidth="1"/>
    <x:col min="8" max="8" width="18" hidden="0" customWidth="1"/>
    <x:col min="9" max="9" width="52" hidden="0" customWidth="1"/>
    <x:col min="10" max="10" width="18" hidden="0" customWidth="1"/>
  </x:cols>
  <x:sheetData>
    <x:row r="1">
      <x:c r="A1" s="3" t="str">
        <x:v>INVESTIMENTO DE TRABALHO — MVP FIRJAN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5">
      <x:c r="A5" s="13" t="str">
        <x:v>Pessoa</x:v>
      </x:c>
      <x:c r="B5" s="13" t="str">
        <x:v>Papel</x:v>
      </x:c>
      <x:c r="C5" s="13" t="str">
        <x:v>Horas</x:v>
      </x:c>
      <x:c r="D5" s="13" t="str">
        <x:v>Rate</x:v>
      </x:c>
      <x:c r="E5" s="13" t="str">
        <x:v>Valor econômico</x:v>
      </x:c>
      <x:c r="F5" s="13" t="str">
        <x:v>Pago agora</x:v>
      </x:c>
      <x:c r="G5" s="13" t="str">
        <x:v>Saldo diferido</x:v>
      </x:c>
      <x:c r="H5" s="13" t="str">
        <x:v>Critério</x:v>
      </x:c>
      <x:c r="I5" s="13" t="str">
        <x:v>Escopo</x:v>
      </x:c>
      <x:c r="J5" s="13" t="str">
        <x:v>Obs.</x:v>
      </x:c>
    </x:row>
    <x:row r="6">
      <x:c r="A6" t="str">
        <x:v>Tamara</x:v>
      </x:c>
      <x:c r="B6" t="str">
        <x:v>Estratégia e produto</x:v>
      </x:c>
      <x:c r="C6" s="20" t="n">
        <x:v>220</x:v>
      </x:c>
      <x:c r="D6" s="28" t="n">
        <x:v>220</x:v>
      </x:c>
      <x:c r="E6" s="30" t="n">
        <x:f>C6*D6</x:f>
        <x:v>48400</x:v>
      </x:c>
      <x:c r="F6" s="28" t="n">
        <x:v>0</x:v>
      </x:c>
      <x:c r="G6" s="30" t="n">
        <x:f>E6-F6</x:f>
        <x:v>48400</x:v>
      </x:c>
      <x:c r="H6" t="str">
        <x:v>Após aporte</x:v>
      </x:c>
      <x:c r="I6" t="str">
        <x:v>Concepção, produto, regras e estratégia</x:v>
      </x:c>
      <x:c r="J6" t="str">
        <x:v>Editável</x:v>
      </x:c>
    </x:row>
    <x:row r="7">
      <x:c r="A7" t="str">
        <x:v>Paulo Fábio</x:v>
      </x:c>
      <x:c r="B7" t="str">
        <x:v>Operação e estratégia</x:v>
      </x:c>
      <x:c r="C7" s="20" t="n">
        <x:v>220</x:v>
      </x:c>
      <x:c r="D7" s="28" t="n">
        <x:v>160</x:v>
      </x:c>
      <x:c r="E7" s="30" t="n">
        <x:f>C7*D7</x:f>
        <x:v>35200</x:v>
      </x:c>
      <x:c r="F7" s="28" t="n">
        <x:v>0</x:v>
      </x:c>
      <x:c r="G7" s="30" t="n">
        <x:f>E7-F7</x:f>
        <x:v>35200</x:v>
      </x:c>
      <x:c r="H7" t="str">
        <x:v>Após aporte</x:v>
      </x:c>
      <x:c r="I7" t="str">
        <x:v>Operação, empresas/candidatos e planos de ação</x:v>
      </x:c>
      <x:c r="J7" t="str">
        <x:v>Editável</x:v>
      </x:c>
    </x:row>
    <x:row r="8">
      <x:c r="A8" t="str">
        <x:v>Pedro</x:v>
      </x:c>
      <x:c r="B8" t="str">
        <x:v>Operação e comunicação</x:v>
      </x:c>
      <x:c r="C8" s="20" t="n">
        <x:v>190</x:v>
      </x:c>
      <x:c r="D8" s="28" t="n">
        <x:v>150</x:v>
      </x:c>
      <x:c r="E8" s="30" t="n">
        <x:f>C8*D8</x:f>
        <x:v>28500</x:v>
      </x:c>
      <x:c r="F8" s="28" t="n">
        <x:v>0</x:v>
      </x:c>
      <x:c r="G8" s="30" t="n">
        <x:f>E8-F8</x:f>
        <x:v>28500</x:v>
      </x:c>
      <x:c r="H8" t="str">
        <x:v>Após aporte</x:v>
      </x:c>
      <x:c r="I8" t="str">
        <x:v>Engajamento e comunicação</x:v>
      </x:c>
      <x:c r="J8" t="str">
        <x:v>Editável</x:v>
      </x:c>
    </x:row>
    <x:row r="9">
      <x:c r="A9" t="str">
        <x:v>Sócio de tecnologia</x:v>
      </x:c>
      <x:c r="B9" t="str">
        <x:v>Tecnologia</x:v>
      </x:c>
      <x:c r="C9" s="20" t="n">
        <x:v>480</x:v>
      </x:c>
      <x:c r="D9" s="28" t="n">
        <x:v>180</x:v>
      </x:c>
      <x:c r="E9" s="30" t="n">
        <x:f>C9*D9</x:f>
        <x:v>86400</x:v>
      </x:c>
      <x:c r="F9" s="28" t="n">
        <x:v>0</x:v>
      </x:c>
      <x:c r="G9" s="30" t="n">
        <x:f>E9-F9</x:f>
        <x:v>86400</x:v>
      </x:c>
      <x:c r="H9" t="str">
        <x:v>Após aporte</x:v>
      </x:c>
      <x:c r="I9" t="str">
        <x:v>Construção e evolução técnica</x:v>
      </x:c>
      <x:c r="J9" t="str">
        <x:v>Editável</x:v>
      </x:c>
    </x:row>
    <x:row r="11">
      <x:c r="A11" s="33" t="str">
        <x:v>TOTAL DIFERIDO</x:v>
      </x:c>
      <x:c r="B11" s="33"/>
      <x:c r="C11" s="33"/>
      <x:c r="D11" s="33"/>
      <x:c r="E11" s="36" t="n">
        <x:f>SUM(G6:G9)</x:f>
        <x:v>198500</x:v>
      </x:c>
      <x:c r="F11" s="33"/>
      <x:c r="G11" s="33"/>
      <x:c r="H11" s="33"/>
      <x:c r="I11" s="33"/>
      <x:c r="J11" s="33"/>
    </x:row>
  </x:sheetData>
  <x:mergeCells>
    <x:mergeCell ref="A1:J2"/>
    <x:mergeCell ref="A11:D11"/>
    <x:mergeCell ref="E11:G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2" hidden="0" customWidth="1"/>
    <x:col min="5" max="5" width="12" hidden="0" customWidth="1"/>
    <x:col min="6" max="6" width="12" hidden="0" customWidth="1"/>
    <x:col min="7" max="7" width="22" hidden="0" customWidth="1"/>
    <x:col min="8" max="8" width="48" hidden="0" customWidth="1"/>
  </x:cols>
  <x:sheetData>
    <x:row r="1">
      <x:c r="A1" s="3" t="str">
        <x:v>MVP FIRJAN — CUSTO ECONÔMICO × CAIXA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Categoria</x:v>
      </x:c>
      <x:c r="B5" s="13" t="str">
        <x:v>Custo econômico</x:v>
      </x:c>
      <x:c r="C5" s="13" t="str">
        <x:v>Caixa pré-aporte</x:v>
      </x:c>
      <x:c r="D5" s="13" t="str">
        <x:v>Diferido</x:v>
      </x:c>
      <x:c r="E5" s="13" t="str">
        <x:v>Mensal?</x:v>
      </x:c>
      <x:c r="F5" s="13" t="str">
        <x:v>Meses</x:v>
      </x:c>
      <x:c r="G5" s="13" t="str">
        <x:v>Total período</x:v>
      </x:c>
      <x:c r="H5" s="13" t="str">
        <x:v>Observação</x:v>
      </x:c>
    </x:row>
    <x:row r="6">
      <x:c r="A6" t="str">
        <x:v>Sócio tecnologia</x:v>
      </x:c>
      <x:c r="B6" s="30" t="n">
        <x:f>'04_Premissas_Mao_de_Obra'!D6</x:f>
        <x:v>86400</x:v>
      </x:c>
      <x:c r="C6" s="30" t="n">
        <x:v>0</x:v>
      </x:c>
      <x:c r="D6" s="30" t="n">
        <x:f>B6-C6</x:f>
        <x:v>86400</x:v>
      </x:c>
      <x:c r="E6" t="str">
        <x:v>Não</x:v>
      </x:c>
      <x:c r="F6" t="n">
        <x:v>1</x:v>
      </x:c>
      <x:c r="G6" s="30" t="n">
        <x:f>B6</x:f>
        <x:v>86400</x:v>
      </x:c>
      <x:c r="H6" t="str">
        <x:v>Tecnologia</x:v>
      </x:c>
    </x:row>
    <x:row r="7">
      <x:c r="A7" t="str">
        <x:v>Tamara</x:v>
      </x:c>
      <x:c r="B7" s="30" t="n">
        <x:f>'04_Premissas_Mao_de_Obra'!D7</x:f>
        <x:v>48400</x:v>
      </x:c>
      <x:c r="C7" s="30" t="n">
        <x:v>0</x:v>
      </x:c>
      <x:c r="D7" s="30" t="n">
        <x:f>B7-C7</x:f>
        <x:v>48400</x:v>
      </x:c>
      <x:c r="E7" t="str">
        <x:v>Não</x:v>
      </x:c>
      <x:c r="F7" t="n">
        <x:v>1</x:v>
      </x:c>
      <x:c r="G7" s="30" t="n">
        <x:f>B7</x:f>
        <x:v>48400</x:v>
      </x:c>
      <x:c r="H7" t="str">
        <x:v>Estratégia/produto</x:v>
      </x:c>
    </x:row>
    <x:row r="8">
      <x:c r="A8" t="str">
        <x:v>Paulo Fábio</x:v>
      </x:c>
      <x:c r="B8" s="30" t="n">
        <x:f>'04_Premissas_Mao_de_Obra'!D8</x:f>
        <x:v>35200</x:v>
      </x:c>
      <x:c r="C8" s="30" t="n">
        <x:v>0</x:v>
      </x:c>
      <x:c r="D8" s="30" t="n">
        <x:f>B8-C8</x:f>
        <x:v>35200</x:v>
      </x:c>
      <x:c r="E8" t="str">
        <x:v>Não</x:v>
      </x:c>
      <x:c r="F8" t="n">
        <x:v>1</x:v>
      </x:c>
      <x:c r="G8" s="30" t="n">
        <x:f>B8</x:f>
        <x:v>35200</x:v>
      </x:c>
      <x:c r="H8" t="str">
        <x:v>Operação/estratégia</x:v>
      </x:c>
    </x:row>
    <x:row r="9">
      <x:c r="A9" t="str">
        <x:v>Pedro</x:v>
      </x:c>
      <x:c r="B9" s="30" t="n">
        <x:f>'04_Premissas_Mao_de_Obra'!D9</x:f>
        <x:v>28500</x:v>
      </x:c>
      <x:c r="C9" s="30" t="n">
        <x:v>0</x:v>
      </x:c>
      <x:c r="D9" s="30" t="n">
        <x:f>B9-C9</x:f>
        <x:v>28500</x:v>
      </x:c>
      <x:c r="E9" t="str">
        <x:v>Não</x:v>
      </x:c>
      <x:c r="F9" t="n">
        <x:v>1</x:v>
      </x:c>
      <x:c r="G9" s="30" t="n">
        <x:f>B9</x:f>
        <x:v>28500</x:v>
      </x:c>
      <x:c r="H9" t="str">
        <x:v>Operação/comunicação</x:v>
      </x:c>
    </x:row>
    <x:row r="10">
      <x:c r="A10" t="str">
        <x:v>UX/UI</x:v>
      </x:c>
      <x:c r="B10" s="30" t="n">
        <x:f>'04_Premissas_Mao_de_Obra'!D10</x:f>
        <x:v>9800</x:v>
      </x:c>
      <x:c r="C10" s="30" t="n">
        <x:v>0</x:v>
      </x:c>
      <x:c r="D10" s="30" t="n">
        <x:f>B10-C10</x:f>
        <x:v>9800</x:v>
      </x:c>
      <x:c r="E10" t="str">
        <x:v>Não</x:v>
      </x:c>
      <x:c r="F10" t="n">
        <x:v>1</x:v>
      </x:c>
      <x:c r="G10" s="30" t="n">
        <x:f>B10</x:f>
        <x:v>9800</x:v>
      </x:c>
      <x:c r="H10" t="str">
        <x:v>Enxuto</x:v>
      </x:c>
    </x:row>
    <x:row r="11">
      <x:c r="A11" t="str">
        <x:v>QA</x:v>
      </x:c>
      <x:c r="B11" s="30" t="n">
        <x:f>'04_Premissas_Mao_de_Obra'!D11</x:f>
        <x:v>10800</x:v>
      </x:c>
      <x:c r="C11" s="30" t="n">
        <x:v>0</x:v>
      </x:c>
      <x:c r="D11" s="30" t="n">
        <x:f>B11-C11</x:f>
        <x:v>10800</x:v>
      </x:c>
      <x:c r="E11" t="str">
        <x:v>Não</x:v>
      </x:c>
      <x:c r="F11" t="n">
        <x:v>1</x:v>
      </x:c>
      <x:c r="G11" s="30" t="n">
        <x:f>B11</x:f>
        <x:v>10800</x:v>
      </x:c>
      <x:c r="H11" t="str">
        <x:v>Testes</x:v>
      </x:c>
    </x:row>
    <x:row r="12">
      <x:c r="A12" t="str">
        <x:v>Dados/BI</x:v>
      </x:c>
      <x:c r="B12" s="30" t="n">
        <x:f>'04_Premissas_Mao_de_Obra'!D12</x:f>
        <x:v>16200</x:v>
      </x:c>
      <x:c r="C12" s="30" t="n">
        <x:v>0</x:v>
      </x:c>
      <x:c r="D12" s="30" t="n">
        <x:f>B12-C12</x:f>
        <x:v>16200</x:v>
      </x:c>
      <x:c r="E12" t="str">
        <x:v>Não</x:v>
      </x:c>
      <x:c r="F12" t="n">
        <x:v>1</x:v>
      </x:c>
      <x:c r="G12" s="30" t="n">
        <x:f>B12</x:f>
        <x:v>16200</x:v>
      </x:c>
      <x:c r="H12" t="str">
        <x:v>Dados</x:v>
      </x:c>
    </x:row>
    <x:row r="13">
      <x:c r="A13" t="str">
        <x:v>Segurança</x:v>
      </x:c>
      <x:c r="B13" s="30" t="n">
        <x:f>'04_Premissas_Mao_de_Obra'!D13</x:f>
        <x:v>5280</x:v>
      </x:c>
      <x:c r="C13" s="30" t="n">
        <x:f>B13</x:f>
        <x:v>5280</x:v>
      </x:c>
      <x:c r="D13" s="30" t="n">
        <x:v>0</x:v>
      </x:c>
      <x:c r="E13" t="str">
        <x:v>Não</x:v>
      </x:c>
      <x:c r="F13" t="n">
        <x:v>1</x:v>
      </x:c>
      <x:c r="G13" s="30" t="n">
        <x:f>B13</x:f>
        <x:v>5280</x:v>
      </x:c>
      <x:c r="H13" t="str">
        <x:v>Revisão</x:v>
      </x:c>
    </x:row>
    <x:row r="14">
      <x:c r="A14" t="str">
        <x:v>Cloud/banco/storage</x:v>
      </x:c>
      <x:c r="B14" s="28" t="n">
        <x:v>2600</x:v>
      </x:c>
      <x:c r="C14" s="28" t="n">
        <x:v>2600</x:v>
      </x:c>
      <x:c r="D14" s="30" t="n">
        <x:v>0</x:v>
      </x:c>
      <x:c r="E14" t="str">
        <x:v>Sim</x:v>
      </x:c>
      <x:c r="F14" t="n">
        <x:v>6</x:v>
      </x:c>
      <x:c r="G14" s="30" t="n">
        <x:f>B14*F14</x:f>
        <x:v>15600</x:v>
      </x:c>
      <x:c r="H14" t="str">
        <x:v>1.000 candidatos ainda é escala pequena</x:v>
      </x:c>
    </x:row>
    <x:row r="15">
      <x:c r="A15" t="str">
        <x:v>E-mail/notificações</x:v>
      </x:c>
      <x:c r="B15" s="28" t="n">
        <x:v>1200</x:v>
      </x:c>
      <x:c r="C15" s="28" t="n">
        <x:v>1200</x:v>
      </x:c>
      <x:c r="D15" s="30" t="n">
        <x:v>0</x:v>
      </x:c>
      <x:c r="E15" t="str">
        <x:v>Sim</x:v>
      </x:c>
      <x:c r="F15" t="n">
        <x:v>6</x:v>
      </x:c>
      <x:c r="G15" s="30" t="n">
        <x:f>B15*F15</x:f>
        <x:v>7200</x:v>
      </x:c>
      <x:c r="H15" t="str">
        <x:v>Engajamento e transacional</x:v>
      </x:c>
    </x:row>
    <x:row r="16">
      <x:c r="A16" t="str">
        <x:v>Ferramentas/monitoramento</x:v>
      </x:c>
      <x:c r="B16" s="28" t="n">
        <x:v>800</x:v>
      </x:c>
      <x:c r="C16" s="28" t="n">
        <x:v>800</x:v>
      </x:c>
      <x:c r="D16" s="30" t="n">
        <x:v>0</x:v>
      </x:c>
      <x:c r="E16" t="str">
        <x:v>Sim</x:v>
      </x:c>
      <x:c r="F16" t="n">
        <x:v>6</x:v>
      </x:c>
      <x:c r="G16" s="30" t="n">
        <x:f>B16*F16</x:f>
        <x:v>4800</x:v>
      </x:c>
      <x:c r="H16" t="str">
        <x:v>Logs e analytics</x:v>
      </x:c>
    </x:row>
    <x:row r="17">
      <x:c r="A17" t="str">
        <x:v>Reserva matching/APIs</x:v>
      </x:c>
      <x:c r="B17" s="28" t="n">
        <x:v>1400</x:v>
      </x:c>
      <x:c r="C17" s="28" t="n">
        <x:v>1400</x:v>
      </x:c>
      <x:c r="D17" s="30" t="n">
        <x:v>0</x:v>
      </x:c>
      <x:c r="E17" t="str">
        <x:v>Sim</x:v>
      </x:c>
      <x:c r="F17" t="n">
        <x:v>6</x:v>
      </x:c>
      <x:c r="G17" s="30" t="n">
        <x:f>B17*F17</x:f>
        <x:v>8400</x:v>
      </x:c>
      <x:c r="H17" t="str">
        <x:v>Regras primeiro</x:v>
      </x:c>
    </x:row>
    <x:row r="19">
      <x:c r="A19" s="33" t="str">
        <x:v>CUSTO ECONÔMICO MVP — 6 MESES</x:v>
      </x:c>
      <x:c r="B19" s="33"/>
      <x:c r="C19" s="33"/>
      <x:c r="D19" s="33"/>
      <x:c r="E19" s="33"/>
      <x:c r="F19" s="33"/>
      <x:c r="G19" s="33" t="n">
        <x:f>SUM(G6:G17)</x:f>
        <x:v>276580</x:v>
      </x:c>
      <x:c r="H19" s="33"/>
    </x:row>
    <x:row r="20">
      <x:c r="A20" s="33" t="str">
        <x:v>CAIXA PRÉ-APORTE</x:v>
      </x:c>
      <x:c r="B20" s="33"/>
      <x:c r="C20" s="36" t="n">
        <x:f>SUM(C6:C13)+SUMPRODUCT(C14:C17,F14:F17)</x:f>
        <x:v>41280</x:v>
      </x:c>
      <x:c r="D20" s="36" t="str">
        <x:v>DIFERIDO / FUNDADORES</x:v>
      </x:c>
      <x:c r="E20" s="36"/>
      <x:c r="F20" s="36"/>
      <x:c r="G20" s="36" t="n">
        <x:f>SUM(D6:D17)</x:f>
        <x:v>235300</x:v>
      </x:c>
      <x:c r="H20" s="33"/>
    </x:row>
  </x:sheetData>
  <x:mergeCells>
    <x:mergeCell ref="A1:H2"/>
    <x:mergeCell ref="A19:F19"/>
    <x:mergeCell ref="A20:B20"/>
    <x:mergeCell ref="D20:F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34" hidden="0" customWidth="1"/>
    <x:col min="5" max="5" width="34" hidden="0" customWidth="1"/>
    <x:col min="6" max="6" width="42" hidden="0" customWidth="1"/>
    <x:col min="7" max="7" width="30" hidden="0" customWidth="1"/>
    <x:col min="8" max="8" width="34" hidden="0" customWidth="1"/>
  </x:cols>
  <x:sheetData>
    <x:row r="1">
      <x:c r="A1" s="3" t="str">
        <x:v>FIRJAN COMO MVP E CASE — FORMAÇÃO → OPORTUNIDADE → CONTRATAÇÃO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3" t="str">
        <x:v>Fase</x:v>
      </x:c>
      <x:c r="B5" s="13" t="str">
        <x:v>Período</x:v>
      </x:c>
      <x:c r="C5" s="13" t="str">
        <x:v>Modelo</x:v>
      </x:c>
      <x:c r="D5" s="13" t="str">
        <x:v>Objetivo</x:v>
      </x:c>
      <x:c r="E5" s="13" t="str">
        <x:v>Produto</x:v>
      </x:c>
      <x:c r="F5" s="13" t="str">
        <x:v>Evidência</x:v>
      </x:c>
      <x:c r="G5" s="13" t="str">
        <x:v>Critério de saída</x:v>
      </x:c>
      <x:c r="H5" s="13" t="str">
        <x:v>Evolução</x:v>
      </x:c>
    </x:row>
    <x:row r="6">
      <x:c r="A6" s="16" t="str">
        <x:v>0. Preparação</x:v>
      </x:c>
      <x:c r="B6" s="16" t="str">
        <x:v>Mês 1</x:v>
      </x:c>
      <x:c r="C6" s="16" t="str">
        <x:v>Piloto/parceria</x:v>
      </x:c>
      <x:c r="D6" s="16" t="str">
        <x:v>Organizar base e 10 empresas</x:v>
      </x:c>
      <x:c r="E6" s="16" t="str">
        <x:v>Importação + regras</x:v>
      </x:c>
      <x:c r="F6" s="16" t="str">
        <x:v>Baseline de empregabilidade</x:v>
      </x:c>
      <x:c r="G6" s="16" t="str">
        <x:v>Dados e vagas definidos</x:v>
      </x:c>
      <x:c r="H6" s="16" t="str">
        <x:v>Construir</x:v>
      </x:c>
    </x:row>
    <x:row r="7">
      <x:c r="A7" s="16" t="str">
        <x:v>1. Matching</x:v>
      </x:c>
      <x:c r="B7" s="16" t="str">
        <x:v>Meses 2–3</x:v>
      </x:c>
      <x:c r="C7" s="16" t="str">
        <x:v>Piloto/parceria</x:v>
      </x:c>
      <x:c r="D7" s="16" t="str">
        <x:v>Gerar oportunidades e shortlists</x:v>
      </x:c>
      <x:c r="E7" s="16" t="str">
        <x:v>Perfis + vagas + match</x:v>
      </x:c>
      <x:c r="F7" s="16" t="str">
        <x:v>Matches e entrevistas</x:v>
      </x:c>
      <x:c r="G7" s="16" t="str">
        <x:v>Aderência percebida</x:v>
      </x:c>
      <x:c r="H7" s="16" t="str">
        <x:v>Refinar</x:v>
      </x:c>
    </x:row>
    <x:row r="8">
      <x:c r="A8" s="16" t="str">
        <x:v>2. Conversão</x:v>
      </x:c>
      <x:c r="B8" s="16" t="str">
        <x:v>Meses 4–5</x:v>
      </x:c>
      <x:c r="C8" s="16" t="str">
        <x:v>Piloto/parceria</x:v>
      </x:c>
      <x:c r="D8" s="16" t="str">
        <x:v>Acompanhar seleção</x:v>
      </x:c>
      <x:c r="E8" s="16" t="str">
        <x:v>Funil + feedback</x:v>
      </x:c>
      <x:c r="F8" s="16" t="str">
        <x:v>Entrevistas e contratações</x:v>
      </x:c>
      <x:c r="G8" s="16" t="str">
        <x:v>Conversão mensurável</x:v>
      </x:c>
      <x:c r="H8" s="16" t="str">
        <x:v>Documentar</x:v>
      </x:c>
    </x:row>
    <x:row r="9">
      <x:c r="A9" s="16" t="str">
        <x:v>3. Case</x:v>
      </x:c>
      <x:c r="B9" s="16" t="str">
        <x:v>Mês 6</x:v>
      </x:c>
      <x:c r="C9" s="16" t="str">
        <x:v>Negociar continuidade</x:v>
      </x:c>
      <x:c r="D9" s="16" t="str">
        <x:v>Provar conexão formação-emprego</x:v>
      </x:c>
      <x:c r="E9" s="16" t="str">
        <x:v>Dashboard + impacto</x:v>
      </x:c>
      <x:c r="F9" s="16" t="str">
        <x:v>Case, depoimentos, métricas</x:v>
      </x:c>
      <x:c r="G9" s="16" t="str">
        <x:v>Valor validado</x:v>
      </x:c>
      <x:c r="H9" s="16" t="str">
        <x:v>Escalar</x:v>
      </x:c>
    </x:row>
    <x:row r="12">
      <x:c r="A12" s="13" t="str">
        <x:v>KPIs QUE DEVEM VIRAR O CASE</x:v>
      </x:c>
      <x:c r="B12" s="13"/>
      <x:c r="C12" s="13"/>
      <x:c r="D12" s="13"/>
      <x:c r="E12" s="13"/>
      <x:c r="F12" s="13"/>
      <x:c r="G12" s="13"/>
      <x:c r="H12" s="13"/>
    </x:row>
    <x:row r="13">
      <x:c r="A13" t="str">
        <x:v>1</x:v>
      </x:c>
      <x:c r="B13" t="str">
        <x:v>% das pessoas formadas com oportunidade aderente</x:v>
      </x:c>
    </x:row>
    <x:row r="14">
      <x:c r="A14" t="str">
        <x:v>2</x:v>
      </x:c>
      <x:c r="B14" t="str">
        <x:v>Tempo entre conclusão da formação e primeira oportunidade</x:v>
      </x:c>
    </x:row>
    <x:row r="15">
      <x:c r="A15" t="str">
        <x:v>3</x:v>
      </x:c>
      <x:c r="B15" t="str">
        <x:v>Match → entrevista</x:v>
      </x:c>
    </x:row>
    <x:row r="16">
      <x:c r="A16" t="str">
        <x:v>4</x:v>
      </x:c>
      <x:c r="B16" t="str">
        <x:v>Entrevista → contratação</x:v>
      </x:c>
    </x:row>
    <x:row r="17">
      <x:c r="A17" t="str">
        <x:v>5</x:v>
      </x:c>
      <x:c r="B17" t="str">
        <x:v>Candidato → contratação</x:v>
      </x:c>
    </x:row>
    <x:row r="18">
      <x:c r="A18" t="str">
        <x:v>6</x:v>
      </x:c>
      <x:c r="B18" t="str">
        <x:v>Empresas que contrataram pessoas formadas pela Firjan</x:v>
      </x:c>
    </x:row>
    <x:row r="19">
      <x:c r="A19" t="str">
        <x:v>7</x:v>
      </x:c>
      <x:c r="B19" t="str">
        <x:v>Principais lacunas de competências apontadas pelas empresas</x:v>
      </x:c>
    </x:row>
    <x:row r="20">
      <x:c r="A20" t="str">
        <x:v>8</x:v>
      </x:c>
      <x:c r="B20" t="str">
        <x:v>Cursos/formações com maior conversão em oportunidade</x:v>
      </x:c>
    </x:row>
    <x:row r="21">
      <x:c r="A21" t="str">
        <x:v>9</x:v>
      </x:c>
      <x:c r="B21" t="str">
        <x:v>Motivos de não avanço no processo seletivo</x:v>
      </x:c>
    </x:row>
    <x:row r="22">
      <x:c r="A22" t="str">
        <x:v>10</x:v>
      </x:c>
      <x:c r="B22" t="str">
        <x:v>Retenção/qualidade da contratação, se houver dado posterior</x:v>
      </x:c>
    </x:row>
  </x:sheetData>
  <x:mergeCells>
    <x:mergeCell ref="A1:H2"/>
    <x:mergeCell ref="A12:H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HUB — MVP FIRJAN | VISÃO ECONÔMICA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8" t="str">
        <x:v>Piloto: 10 empresas, capacidade de referência de 100 candidatos por empresa (1.000 candidatos no total) e 2 recrutadores por empresa. A tese é provar que a HUB fecha o gap entre formação e contratação, não apenas que distribui currículos.</x:v>
      </x:c>
      <x:c r="B3" s="8"/>
      <x:c r="C3" s="8"/>
      <x:c r="D3" s="8"/>
      <x:c r="E3" s="8"/>
      <x:c r="F3" s="8"/>
      <x:c r="G3" s="8"/>
      <x:c r="H3" s="8"/>
      <x:c r="I3" s="8"/>
      <x:c r="J3" s="8"/>
    </x:row>
    <x:row r="5">
      <x:c r="A5" s="39" t="str">
        <x:v>CUSTO ECONÔMICO MVP</x:v>
      </x:c>
      <x:c r="B5" s="39"/>
      <x:c r="D5" s="39" t="str">
        <x:v>CAIXA PRÉ-APORTE</x:v>
      </x:c>
      <x:c r="E5" s="39"/>
      <x:c r="G5" s="39" t="str">
        <x:v>DIFERIDO / FUNDADORES</x:v>
      </x:c>
      <x:c r="H5" s="39"/>
      <x:c r="I5" s="39" t="str">
        <x:v>CANDIDATOS</x:v>
      </x:c>
      <x:c r="J5" s="39"/>
    </x:row>
    <x:row r="6">
      <x:c r="A6" s="44" t="n">
        <x:f>'06_Custo_MVP_e_Caixa'!G19</x:f>
        <x:v>276580</x:v>
      </x:c>
      <x:c r="B6" s="39"/>
      <x:c r="D6" s="44" t="n">
        <x:f>'06_Custo_MVP_e_Caixa'!C20</x:f>
        <x:v>41280</x:v>
      </x:c>
      <x:c r="E6" s="39"/>
      <x:c r="G6" s="44" t="n">
        <x:f>'06_Custo_MVP_e_Caixa'!G20</x:f>
        <x:v>235300</x:v>
      </x:c>
      <x:c r="H6" s="39"/>
      <x:c r="I6" s="42" t="n">
        <x:f>'02_Volume_1010_Usuarios'!B8</x:f>
        <x:v>1000</x:v>
      </x:c>
      <x:c r="J6" s="39"/>
    </x:row>
    <x:row r="7">
      <x:c r="A7" s="39"/>
      <x:c r="B7" s="39"/>
      <x:c r="D7" s="39"/>
      <x:c r="E7" s="39"/>
      <x:c r="G7" s="39"/>
      <x:c r="H7" s="39"/>
      <x:c r="I7" s="39"/>
      <x:c r="J7" s="39"/>
    </x:row>
    <x:row r="10">
      <x:c r="A10" s="13" t="str">
        <x:v>Cenário de capacidade</x:v>
      </x:c>
      <x:c r="B10" s="13" t="str">
        <x:v>Empresas</x:v>
      </x:c>
      <x:c r="C10" s="13" t="str">
        <x:v>Candidatos</x:v>
      </x:c>
      <x:c r="D10" s="13" t="str">
        <x:v>Oportunidades</x:v>
      </x:c>
      <x:c r="E10" s="13" t="str">
        <x:v>Matches</x:v>
      </x:c>
      <x:c r="F10" s="13" t="str">
        <x:v>Contratações*</x:v>
      </x:c>
    </x:row>
    <x:row r="11">
      <x:c r="A11" t="str">
        <x:v>Piloto</x:v>
      </x:c>
      <x:c r="B11" t="n">
        <x:f>'02_Volume_1010_Usuarios'!B6</x:f>
        <x:v>10</x:v>
      </x:c>
      <x:c r="C11" t="n">
        <x:f>'02_Volume_1010_Usuarios'!B8</x:f>
        <x:v>1000</x:v>
      </x:c>
      <x:c r="D11" t="n">
        <x:f>'02_Volume_1010_Usuarios'!H6</x:f>
        <x:v>50</x:v>
      </x:c>
      <x:c r="E11" t="n">
        <x:f>'02_Volume_1010_Usuarios'!H7</x:f>
        <x:v>500</x:v>
      </x:c>
      <x:c r="F11" t="n">
        <x:f>'02_Volume_1010_Usuarios'!H9</x:f>
        <x:v>30</x:v>
      </x:c>
    </x:row>
    <x:row r="13">
      <x:c r="A13" s="8" t="str">
        <x:v>* A estimativa de contratações é apenas uma premissa de capacidade baseada em taxas editáveis; o objetivo do MVP é descobrir as taxas reais da Firjan e das empresas participantes.</x:v>
      </x:c>
      <x:c r="B13" s="8"/>
      <x:c r="C13" s="8"/>
      <x:c r="D13" s="8"/>
      <x:c r="E13" s="8"/>
      <x:c r="F13" s="8"/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  <x:mergeCell ref="A13:F13"/>
  </x:mergeCells>
  <x:pageMargins left="0.7" right="0.7" top="0.75" bottom="0.75" header="0.3" footer="0.3"/>
</x:worksheet>
</file>