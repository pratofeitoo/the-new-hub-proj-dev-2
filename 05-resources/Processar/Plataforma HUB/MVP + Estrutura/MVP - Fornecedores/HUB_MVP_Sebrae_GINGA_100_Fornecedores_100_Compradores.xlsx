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ee5eb9c57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MVP_Sebrae_GINGA" sheetId="1" r:id="Rfc038abb02ab4093"/>
    <x:sheet xmlns:r="http://schemas.openxmlformats.org/officeDocument/2006/relationships" name="02_Escopo_Enxuto" sheetId="2" r:id="Refcbace9389e4845"/>
    <x:sheet xmlns:r="http://schemas.openxmlformats.org/officeDocument/2006/relationships" name="03_Premissas_Mao_de_Obra" sheetId="3" r:id="Rcf31594428334e88"/>
    <x:sheet xmlns:r="http://schemas.openxmlformats.org/officeDocument/2006/relationships" name="04_Credito_Fundadores" sheetId="4" r:id="R1cd440d6b35a4bac"/>
    <x:sheet xmlns:r="http://schemas.openxmlformats.org/officeDocument/2006/relationships" name="05_Custo_MVP_e_Caixa" sheetId="5" r:id="R19dfa8addd41474f"/>
    <x:sheet xmlns:r="http://schemas.openxmlformats.org/officeDocument/2006/relationships" name="06_Plano_Case_Sebrae" sheetId="6" r:id="R30a5333a1c5b42ff"/>
    <x:sheet xmlns:r="http://schemas.openxmlformats.org/officeDocument/2006/relationships" name="07_Resumo_Executivo" sheetId="7" r:id="R05ad88726c654e69"/>
    <x:sheet xmlns:r="http://schemas.openxmlformats.org/officeDocument/2006/relationships" name="02A_Volume_200_Usuarios" sheetId="8" r:id="Ra91d5919ae74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;[Red](R$ #,##0);-"/>
    <x:numFmt numFmtId="201" formatCode="#,##0;[Red](#,##0);-"/>
    <x:numFmt numFmtId="202" formatCode="0"/>
    <x:numFmt numFmtId="203" formatCode="0%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063747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63747"/>
      <x:name val="Carlito"/>
    </x:font>
    <x:font>
      <x:b/>
      <x:sz val="16"/>
      <x:color rgb="FF063747"/>
      <x:name val="Carlito"/>
    </x:font>
    <x:font>
      <x:sz val="11"/>
      <x:color rgb="FF0080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63747"/>
      </x:patternFill>
    </x:fill>
    <x:fill>
      <x:patternFill patternType="solid">
        <x:fgColor rgb="FFF7F4EC"/>
      </x:patternFill>
    </x:fill>
    <x:fill>
      <x:patternFill patternType="solid">
        <x:fgColor rgb="FF073E32"/>
      </x:patternFill>
    </x:fill>
    <x:fill>
      <x:patternFill patternType="solid">
        <x:fgColor rgb="FFFFF2CC"/>
      </x:patternFill>
    </x:fill>
    <x:fill>
      <x:patternFill patternType="solid">
        <x:fgColor rgb="FFEEF2EA"/>
      </x:patternFill>
    </x:fill>
    <x:fill>
      <x:patternFill patternType="solid">
        <x:fgColor rgb="FF063747"/>
      </x:patternFill>
    </x:fill>
    <x:fill>
      <x:patternFill patternType="solid">
        <x:fgColor rgb="FFF7F4EC"/>
      </x:patternFill>
    </x:fill>
    <x:fill>
      <x:patternFill patternType="solid">
        <x:fgColor rgb="FF073E32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5" fillId="6" borderId="0" xfId="0" applyNumberFormat="1" applyFont="1" applyFill="1" applyBorder="1"/>
    <x:xf numFmtId="200" fontId="5" fillId="6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0" fontId="6" fillId="6" borderId="0" xfId="0" applyNumberFormat="1" applyFont="1" applyFill="1" applyBorder="1" applyAlignment="1">
      <x:alignment horizontal="center" vertical="center"/>
    </x:xf>
    <x:xf numFmtId="200" fontId="6" fillId="6" borderId="1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  <x:xf numFmtId="202" fontId="6" fillId="6" borderId="0" xfId="0" applyNumberFormat="1" applyFont="1" applyFill="1" applyBorder="1" applyAlignment="1">
      <x:alignment horizontal="center" vertical="center"/>
    </x:xf>
    <x:xf numFmtId="202" fontId="6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4" fillId="10" borderId="0" xfId="0" applyNumberFormat="1" applyFont="1" applyFill="1" applyBorder="1"/>
    <x:xf numFmtId="203" fontId="4" fillId="10" borderId="0" xfId="0" applyNumberFormat="1" applyFont="1" applyFill="1" applyBorder="1"/>
    <x:xf numFmtId="201" fontId="0" fillId="0" borderId="0" xfId="0" applyNumberFormat="1" applyFont="1" applyFill="1" applyBorder="1"/>
    <x:xf numFmtId="200" fontId="4" fillId="10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4" fillId="10" borderId="0" xfId="0" applyNumberFormat="1" applyFont="1" applyFill="1" applyBorder="1" applyAlignment="1">
      <x:alignment wrapText="1"/>
    </x:xf>
    <x:xf numFmtId="200" fontId="4" fillId="10" borderId="0" xfId="0" applyNumberFormat="1" applyFont="1" applyFill="1" applyBorder="1" applyAlignment="1">
      <x:alignment wrapText="1"/>
    </x:xf>
    <x:xf numFmtId="201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200" fontId="7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62dd8bb9f4778" /><Relationship Type="http://schemas.openxmlformats.org/officeDocument/2006/relationships/theme" Target="/xl/theme/theme1.xml" Id="Rd14e86bb3613455b" /><Relationship Type="http://schemas.openxmlformats.org/officeDocument/2006/relationships/sharedStrings" Target="/xl/sharedStrings.xml" Id="R9621c9c0939d4276" /><Relationship Type="http://schemas.openxmlformats.org/officeDocument/2006/relationships/worksheet" Target="/xl/worksheets/sheet1.xml" Id="Rfc038abb02ab4093" /><Relationship Type="http://schemas.openxmlformats.org/officeDocument/2006/relationships/worksheet" Target="/xl/worksheets/sheet2.xml" Id="Refcbace9389e4845" /><Relationship Type="http://schemas.openxmlformats.org/officeDocument/2006/relationships/worksheet" Target="/xl/worksheets/sheet3.xml" Id="Rcf31594428334e88" /><Relationship Type="http://schemas.openxmlformats.org/officeDocument/2006/relationships/worksheet" Target="/xl/worksheets/sheet4.xml" Id="R1cd440d6b35a4bac" /><Relationship Type="http://schemas.openxmlformats.org/officeDocument/2006/relationships/worksheet" Target="/xl/worksheets/sheet5.xml" Id="R19dfa8addd41474f" /><Relationship Type="http://schemas.openxmlformats.org/officeDocument/2006/relationships/worksheet" Target="/xl/worksheets/sheet6.xml" Id="R30a5333a1c5b42ff" /><Relationship Type="http://schemas.openxmlformats.org/officeDocument/2006/relationships/worksheet" Target="/xl/worksheets/sheet7.xml" Id="R05ad88726c654e69" /><Relationship Type="http://schemas.openxmlformats.org/officeDocument/2006/relationships/worksheet" Target="/xl/worksheets/sheet8.xml" Id="Ra91d5919ae744d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38" hidden="0" customWidth="1"/>
    <x:col min="5" max="5" width="38" hidden="0" customWidth="1"/>
    <x:col min="6" max="6" width="18" hidden="0" customWidth="1"/>
    <x:col min="7" max="7" width="16" hidden="0" customWidth="1"/>
    <x:col min="8" max="8" width="36" hidden="0" customWidth="1"/>
  </x:cols>
  <x:sheetData>
    <x:row r="1">
      <x:c r="A1" s="3" t="str">
        <x:v>HUB — MVP SEBRAE / GINGA | FORNECEDORES &amp; NEGÓCIOS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8" t="str">
        <x:v>Objetivo: validar a frente de fornecedores usando o GINGA como aplicação real — desenvolvimento de fornecedores, demandas de empresas, matching, conexões e conversão em negócios — sem construir o marketplace completo no primeiro ciclo.</x:v>
      </x:c>
      <x:c r="B3" s="8"/>
      <x:c r="C3" s="8"/>
      <x:c r="D3" s="8"/>
      <x:c r="E3" s="8"/>
      <x:c r="F3" s="8"/>
      <x:c r="G3" s="8"/>
      <x:c r="H3" s="8"/>
    </x:row>
    <x:row r="5">
      <x:c r="A5" s="13" t="str">
        <x:v>Etapa</x:v>
      </x:c>
      <x:c r="B5" s="13" t="str">
        <x:v>Quem faz</x:v>
      </x:c>
      <x:c r="C5" s="13" t="str">
        <x:v>Entrada</x:v>
      </x:c>
      <x:c r="D5" s="13" t="str">
        <x:v>Tecnologia no MVP</x:v>
      </x:c>
      <x:c r="E5" s="13" t="str">
        <x:v>Operação HUB/Sebrae</x:v>
      </x:c>
      <x:c r="F5" s="13" t="str">
        <x:v>Automação agora?</x:v>
      </x:c>
      <x:c r="G5" s="13" t="str">
        <x:v>Necessário?</x:v>
      </x:c>
      <x:c r="H5" s="13" t="str">
        <x:v>Evolução futura</x:v>
      </x:c>
    </x:row>
    <x:row r="6">
      <x:c r="A6" s="16" t="str">
        <x:v>1. Cadastrar fornecedores</x:v>
      </x:c>
      <x:c r="B6" s="16" t="str">
        <x:v>Fornecedor + HUB</x:v>
      </x:c>
      <x:c r="C6" s="16" t="str">
        <x:v>Perfil, oferta, capacidade, localização</x:v>
      </x:c>
      <x:c r="D6" s="16" t="str">
        <x:v>Cadastro e base estruturada</x:v>
      </x:c>
      <x:c r="E6" s="16" t="str">
        <x:v>Validação e apoio</x:v>
      </x:c>
      <x:c r="F6" s="16" t="str">
        <x:v>Parcial</x:v>
      </x:c>
      <x:c r="G6" s="16" t="str">
        <x:v>Sim</x:v>
      </x:c>
      <x:c r="H6" s="16" t="str">
        <x:v>Onboarding self-service completo</x:v>
      </x:c>
    </x:row>
    <x:row r="7">
      <x:c r="A7" s="16" t="str">
        <x:v>2. Mapear maturidade</x:v>
      </x:c>
      <x:c r="B7" s="16" t="str">
        <x:v>HUB/Sebrae</x:v>
      </x:c>
      <x:c r="C7" s="16" t="str">
        <x:v>Diagnóstico e critérios</x:v>
      </x:c>
      <x:c r="D7" s="16" t="str">
        <x:v>Score e classificação</x:v>
      </x:c>
      <x:c r="E7" s="16" t="str">
        <x:v>Leitura e orientação</x:v>
      </x:c>
      <x:c r="F7" s="16" t="str">
        <x:v>Parcial</x:v>
      </x:c>
      <x:c r="G7" s="16" t="str">
        <x:v>Sim</x:v>
      </x:c>
      <x:c r="H7" s="16" t="str">
        <x:v>Diagnóstico automatizado</x:v>
      </x:c>
    </x:row>
    <x:row r="8">
      <x:c r="A8" s="16" t="str">
        <x:v>3. Cadastrar demandas</x:v>
      </x:c>
      <x:c r="B8" s="16" t="str">
        <x:v>Empresa compradora + HUB</x:v>
      </x:c>
      <x:c r="C8" s="16" t="str">
        <x:v>Necessidade, requisitos e prazo</x:v>
      </x:c>
      <x:c r="D8" s="16" t="str">
        <x:v>Registro estruturado</x:v>
      </x:c>
      <x:c r="E8" s="16" t="str">
        <x:v>Qualificação da demanda</x:v>
      </x:c>
      <x:c r="F8" s="16" t="str">
        <x:v>Parcial</x:v>
      </x:c>
      <x:c r="G8" s="16" t="str">
        <x:v>Sim</x:v>
      </x:c>
      <x:c r="H8" s="16" t="str">
        <x:v>Portal comprador</x:v>
      </x:c>
    </x:row>
    <x:row r="9">
      <x:c r="A9" s="16" t="str">
        <x:v>4. Fazer match</x:v>
      </x:c>
      <x:c r="B9" s="16" t="str">
        <x:v>Plataforma + HUB</x:v>
      </x:c>
      <x:c r="C9" s="16" t="str">
        <x:v>Fornecedor × demanda</x:v>
      </x:c>
      <x:c r="D9" s="16" t="str">
        <x:v>Ranking por critérios</x:v>
      </x:c>
      <x:c r="E9" s="16" t="str">
        <x:v>Curadoria e validação</x:v>
      </x:c>
      <x:c r="F9" s="16" t="str">
        <x:v>Sim</x:v>
      </x:c>
      <x:c r="G9" s="16" t="str">
        <x:v>Sim</x:v>
      </x:c>
      <x:c r="H9" s="16" t="str">
        <x:v>Matching inteligente avançado</x:v>
      </x:c>
    </x:row>
    <x:row r="10">
      <x:c r="A10" s="16" t="str">
        <x:v>5. Conectar</x:v>
      </x:c>
      <x:c r="B10" s="16" t="str">
        <x:v>HUB/Sebrae</x:v>
      </x:c>
      <x:c r="C10" s="16" t="str">
        <x:v>Matches priorizados</x:v>
      </x:c>
      <x:c r="D10" s="16" t="str">
        <x:v>Agenda/status simples</x:v>
      </x:c>
      <x:c r="E10" s="16" t="str">
        <x:v>Facilitação da conexão</x:v>
      </x:c>
      <x:c r="F10" s="16" t="str">
        <x:v>Parcial</x:v>
      </x:c>
      <x:c r="G10" s="16" t="str">
        <x:v>Sim</x:v>
      </x:c>
      <x:c r="H10" s="16" t="str">
        <x:v>Mensageria e agenda nativas</x:v>
      </x:c>
    </x:row>
    <x:row r="11">
      <x:c r="A11" s="16" t="str">
        <x:v>6. Acompanhar negociação</x:v>
      </x:c>
      <x:c r="B11" s="16" t="str">
        <x:v>HUB</x:v>
      </x:c>
      <x:c r="C11" s="16" t="str">
        <x:v>Status e feedback</x:v>
      </x:c>
      <x:c r="D11" s="16" t="str">
        <x:v>Funil de conversão</x:v>
      </x:c>
      <x:c r="E11" s="16" t="str">
        <x:v>Follow-up</x:v>
      </x:c>
      <x:c r="F11" s="16" t="str">
        <x:v>Parcial</x:v>
      </x:c>
      <x:c r="G11" s="16" t="str">
        <x:v>Sim</x:v>
      </x:c>
      <x:c r="H11" s="16" t="str">
        <x:v>Workflow comercial completo</x:v>
      </x:c>
    </x:row>
    <x:row r="12">
      <x:c r="A12" s="16" t="str">
        <x:v>7. Registrar negócio</x:v>
      </x:c>
      <x:c r="B12" s="16" t="str">
        <x:v>HUB/Sebrae</x:v>
      </x:c>
      <x:c r="C12" s="16" t="str">
        <x:v>Valor, estágio e resultado</x:v>
      </x:c>
      <x:c r="D12" s="16" t="str">
        <x:v>Indicadores de conversão</x:v>
      </x:c>
      <x:c r="E12" s="16" t="str">
        <x:v>Validação do resultado</x:v>
      </x:c>
      <x:c r="F12" s="16" t="str">
        <x:v>Parcial</x:v>
      </x:c>
      <x:c r="G12" s="16" t="str">
        <x:v>Sim</x:v>
      </x:c>
      <x:c r="H12" s="16" t="str">
        <x:v>Integração CRM/ERP</x:v>
      </x:c>
    </x:row>
    <x:row r="13">
      <x:c r="A13" s="16" t="str">
        <x:v>8. Medir impacto</x:v>
      </x:c>
      <x:c r="B13" s="16" t="str">
        <x:v>Plataforma + HUB</x:v>
      </x:c>
      <x:c r="C13" s="16" t="str">
        <x:v>Antes/depois e negócios</x:v>
      </x:c>
      <x:c r="D13" s="16" t="str">
        <x:v>Dashboard do programa</x:v>
      </x:c>
      <x:c r="E13" s="16" t="str">
        <x:v>Narrativa e recomendações</x:v>
      </x:c>
      <x:c r="F13" s="16" t="str">
        <x:v>Sim</x:v>
      </x:c>
      <x:c r="G13" s="16" t="str">
        <x:v>Sim</x:v>
      </x:c>
      <x:c r="H13" s="16" t="str">
        <x:v>Benchmark entre programas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16" hidden="0" customWidth="1"/>
    <x:col min="4" max="4" width="12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</x:cols>
  <x:sheetData>
    <x:row r="1">
      <x:c r="A1" s="3" t="str">
        <x:v>ESCOPO ENXUTO — FORNECEDORES / GINGA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5">
      <x:c r="A5" s="13" t="str">
        <x:v>ID</x:v>
      </x:c>
      <x:c r="B5" s="13" t="str">
        <x:v>Tela/capacidade</x:v>
      </x:c>
      <x:c r="C5" s="13" t="str">
        <x:v>Tipo</x:v>
      </x:c>
      <x:c r="D5" s="13" t="str">
        <x:v>MVP</x:v>
      </x:c>
      <x:c r="E5" s="13" t="str">
        <x:v>Complexidade</x:v>
      </x:c>
      <x:c r="F5" s="13" t="str">
        <x:v>Dados</x:v>
      </x:c>
      <x:c r="G5" s="13" t="str">
        <x:v>Front</x:v>
      </x:c>
      <x:c r="H5" s="13" t="str">
        <x:v>Back</x:v>
      </x:c>
      <x:c r="I5" s="13" t="str">
        <x:v>IA/Match</x:v>
      </x:c>
      <x:c r="J5" s="13" t="str">
        <x:v>Observação</x:v>
      </x:c>
    </x:row>
    <x:row r="6">
      <x:c r="A6" s="16" t="n">
        <x:v>1</x:v>
      </x:c>
      <x:c r="B6" s="16" t="str">
        <x:v>Login simples / acesso</x:v>
      </x:c>
      <x:c r="C6" s="16" t="str">
        <x:v>Core</x:v>
      </x:c>
      <x:c r="D6" s="16" t="str">
        <x:v>Sim</x:v>
      </x:c>
      <x:c r="E6" s="16" t="str">
        <x:v>Baixa</x:v>
      </x:c>
      <x:c r="F6" s="16" t="str">
        <x:v>Baixo</x:v>
      </x:c>
      <x:c r="G6" s="16" t="str">
        <x:v>Baixo</x:v>
      </x:c>
      <x:c r="H6" s="16" t="str">
        <x:v>Baixo</x:v>
      </x:c>
      <x:c r="I6" s="16" t="str">
        <x:v>Não</x:v>
      </x:c>
      <x:c r="J6" s="16" t="str">
        <x:v>Sem SSO enterprise no MVP</x:v>
      </x:c>
    </x:row>
    <x:row r="7">
      <x:c r="A7" s="16" t="n">
        <x:v>2</x:v>
      </x:c>
      <x:c r="B7" s="16" t="str">
        <x:v>Cadastro do fornecedor</x:v>
      </x:c>
      <x:c r="C7" s="16" t="str">
        <x:v>Produto</x:v>
      </x:c>
      <x:c r="D7" s="16" t="str">
        <x:v>Sim</x:v>
      </x:c>
      <x:c r="E7" s="16" t="str">
        <x:v>Média</x:v>
      </x:c>
      <x:c r="F7" s="16" t="str">
        <x:v>Médio</x:v>
      </x:c>
      <x:c r="G7" s="16" t="str">
        <x:v>Médio</x:v>
      </x:c>
      <x:c r="H7" s="16" t="str">
        <x:v>Médio</x:v>
      </x:c>
      <x:c r="I7" s="16" t="str">
        <x:v>Não</x:v>
      </x:c>
      <x:c r="J7" s="16" t="str">
        <x:v>Perfil, oferta, capacidade e região</x:v>
      </x:c>
    </x:row>
    <x:row r="8">
      <x:c r="A8" s="16" t="n">
        <x:v>3</x:v>
      </x:c>
      <x:c r="B8" s="16" t="str">
        <x:v>Diagnóstico / maturidade</x:v>
      </x:c>
      <x:c r="C8" s="16" t="str">
        <x:v>Produto</x:v>
      </x:c>
      <x:c r="D8" s="16" t="str">
        <x:v>Sim</x:v>
      </x:c>
      <x:c r="E8" s="16" t="str">
        <x:v>Média</x:v>
      </x:c>
      <x:c r="F8" s="16" t="str">
        <x:v>Alto</x:v>
      </x:c>
      <x:c r="G8" s="16" t="str">
        <x:v>Médio</x:v>
      </x:c>
      <x:c r="H8" s="16" t="str">
        <x:v>Médio</x:v>
      </x:c>
      <x:c r="I8" s="16" t="str">
        <x:v>Leve</x:v>
      </x:c>
      <x:c r="J8" s="16" t="str">
        <x:v>Score simples baseado em critérios</x:v>
      </x:c>
    </x:row>
    <x:row r="9">
      <x:c r="A9" s="16" t="n">
        <x:v>4</x:v>
      </x:c>
      <x:c r="B9" s="16" t="str">
        <x:v>Cadastro de demanda</x:v>
      </x:c>
      <x:c r="C9" s="16" t="str">
        <x:v>Produto</x:v>
      </x:c>
      <x:c r="D9" s="16" t="str">
        <x:v>Sim</x:v>
      </x:c>
      <x:c r="E9" s="16" t="str">
        <x:v>Média</x:v>
      </x:c>
      <x:c r="F9" s="16" t="str">
        <x:v>Médio</x:v>
      </x:c>
      <x:c r="G9" s="16" t="str">
        <x:v>Médio</x:v>
      </x:c>
      <x:c r="H9" s="16" t="str">
        <x:v>Médio</x:v>
      </x:c>
      <x:c r="I9" s="16" t="str">
        <x:v>Não</x:v>
      </x:c>
      <x:c r="J9" s="16" t="str">
        <x:v>Empresa/HUB registra oportunidade</x:v>
      </x:c>
    </x:row>
    <x:row r="10">
      <x:c r="A10" s="16" t="n">
        <x:v>5</x:v>
      </x:c>
      <x:c r="B10" s="16" t="str">
        <x:v>Match fornecedor × demanda</x:v>
      </x:c>
      <x:c r="C10" s="16" t="str">
        <x:v>Produto</x:v>
      </x:c>
      <x:c r="D10" s="16" t="str">
        <x:v>Sim</x:v>
      </x:c>
      <x:c r="E10" s="16" t="str">
        <x:v>Alta</x:v>
      </x:c>
      <x:c r="F10" s="16" t="str">
        <x:v>Alto</x:v>
      </x:c>
      <x:c r="G10" s="16" t="str">
        <x:v>Alto</x:v>
      </x:c>
      <x:c r="H10" s="16" t="str">
        <x:v>Alto</x:v>
      </x:c>
      <x:c r="I10" s="16" t="str">
        <x:v>Sim</x:v>
      </x:c>
      <x:c r="J10" s="16" t="str">
        <x:v>Regras ponderadas antes de IA pesada</x:v>
      </x:c>
    </x:row>
    <x:row r="11">
      <x:c r="A11" s="16" t="n">
        <x:v>6</x:v>
      </x:c>
      <x:c r="B11" s="16" t="str">
        <x:v>Lista de matches / curadoria</x:v>
      </x:c>
      <x:c r="C11" s="16" t="str">
        <x:v>Produto</x:v>
      </x:c>
      <x:c r="D11" s="16" t="str">
        <x:v>Sim</x:v>
      </x:c>
      <x:c r="E11" s="16" t="str">
        <x:v>Média</x:v>
      </x:c>
      <x:c r="F11" s="16" t="str">
        <x:v>Médio</x:v>
      </x:c>
      <x:c r="G11" s="16" t="str">
        <x:v>Médio</x:v>
      </x:c>
      <x:c r="H11" s="16" t="str">
        <x:v>Médio</x:v>
      </x:c>
      <x:c r="I11" s="16" t="str">
        <x:v>Leve</x:v>
      </x:c>
      <x:c r="J11" s="16" t="str">
        <x:v>HUB/Sebrae valida recomendações</x:v>
      </x:c>
    </x:row>
    <x:row r="12">
      <x:c r="A12" s="16" t="n">
        <x:v>7</x:v>
      </x:c>
      <x:c r="B12" s="16" t="str">
        <x:v>Conexões / reuniões</x:v>
      </x:c>
      <x:c r="C12" s="16" t="str">
        <x:v>Produto</x:v>
      </x:c>
      <x:c r="D12" s="16" t="str">
        <x:v>Sim</x:v>
      </x:c>
      <x:c r="E12" s="16" t="str">
        <x:v>Média</x:v>
      </x:c>
      <x:c r="F12" s="16" t="str">
        <x:v>Baixo</x:v>
      </x:c>
      <x:c r="G12" s="16" t="str">
        <x:v>Médio</x:v>
      </x:c>
      <x:c r="H12" s="16" t="str">
        <x:v>Médio</x:v>
      </x:c>
      <x:c r="I12" s="16" t="str">
        <x:v>Não</x:v>
      </x:c>
      <x:c r="J12" s="16" t="str">
        <x:v>Status simples, sem agenda nativa complexa</x:v>
      </x:c>
    </x:row>
    <x:row r="13">
      <x:c r="A13" s="16" t="n">
        <x:v>8</x:v>
      </x:c>
      <x:c r="B13" s="16" t="str">
        <x:v>Funil de negociação</x:v>
      </x:c>
      <x:c r="C13" s="16" t="str">
        <x:v>Produto</x:v>
      </x:c>
      <x:c r="D13" s="16" t="str">
        <x:v>Sim</x:v>
      </x:c>
      <x:c r="E13" s="16" t="str">
        <x:v>Média</x:v>
      </x:c>
      <x:c r="F13" s="16" t="str">
        <x:v>Médio</x:v>
      </x:c>
      <x:c r="G13" s="16" t="str">
        <x:v>Médio</x:v>
      </x:c>
      <x:c r="H13" s="16" t="str">
        <x:v>Médio</x:v>
      </x:c>
      <x:c r="I13" s="16" t="str">
        <x:v>Não</x:v>
      </x:c>
      <x:c r="J13" s="16" t="str">
        <x:v>Conectado → proposta → negociação → negócio</x:v>
      </x:c>
    </x:row>
    <x:row r="14">
      <x:c r="A14" s="16" t="n">
        <x:v>9</x:v>
      </x:c>
      <x:c r="B14" s="16" t="str">
        <x:v>Registro de negócios</x:v>
      </x:c>
      <x:c r="C14" s="16" t="str">
        <x:v>Produto</x:v>
      </x:c>
      <x:c r="D14" s="16" t="str">
        <x:v>Sim</x:v>
      </x:c>
      <x:c r="E14" s="16" t="str">
        <x:v>Média</x:v>
      </x:c>
      <x:c r="F14" s="16" t="str">
        <x:v>Alto</x:v>
      </x:c>
      <x:c r="G14" s="16" t="str">
        <x:v>Médio</x:v>
      </x:c>
      <x:c r="H14" s="16" t="str">
        <x:v>Médio</x:v>
      </x:c>
      <x:c r="I14" s="16" t="str">
        <x:v>Não</x:v>
      </x:c>
      <x:c r="J14" s="16" t="str">
        <x:v>Valor e resultado</x:v>
      </x:c>
    </x:row>
    <x:row r="15">
      <x:c r="A15" s="16" t="n">
        <x:v>10</x:v>
      </x:c>
      <x:c r="B15" s="16" t="str">
        <x:v>Dashboard de conversão e impacto</x:v>
      </x:c>
      <x:c r="C15" s="16" t="str">
        <x:v>Produto</x:v>
      </x:c>
      <x:c r="D15" s="16" t="str">
        <x:v>Sim</x:v>
      </x:c>
      <x:c r="E15" s="16" t="str">
        <x:v>Alta</x:v>
      </x:c>
      <x:c r="F15" s="16" t="str">
        <x:v>Muito alto</x:v>
      </x:c>
      <x:c r="G15" s="16" t="str">
        <x:v>Alto</x:v>
      </x:c>
      <x:c r="H15" s="16" t="str">
        <x:v>Médio</x:v>
      </x:c>
      <x:c r="I15" s="16" t="str">
        <x:v>Não</x:v>
      </x:c>
      <x:c r="J15" s="16" t="str">
        <x:v>Matches, reuniões, propostas, contratos e R$</x:v>
      </x:c>
    </x:row>
    <x:row r="16">
      <x:c r="A16" s="16" t="n">
        <x:v>11</x:v>
      </x:c>
      <x:c r="B16" s="16" t="str">
        <x:v>Plano de desenvolvimento do fornecedor</x:v>
      </x:c>
      <x:c r="C16" s="16" t="str">
        <x:v>Produto</x:v>
      </x:c>
      <x:c r="D16" s="16" t="str">
        <x:v>Fase 2</x:v>
      </x:c>
      <x:c r="E16" s="16" t="str">
        <x:v>Média</x:v>
      </x:c>
      <x:c r="F16" s="16" t="str">
        <x:v>Médio</x:v>
      </x:c>
      <x:c r="G16" s="16" t="str">
        <x:v>Médio</x:v>
      </x:c>
      <x:c r="H16" s="16" t="str">
        <x:v>Médio</x:v>
      </x:c>
      <x:c r="I16" s="16" t="str">
        <x:v>Leve</x:v>
      </x:c>
      <x:c r="J16" s="16" t="str">
        <x:v>Recomendações de desenvolvimento</x:v>
      </x:c>
    </x:row>
    <x:row r="17">
      <x:c r="A17" s="16" t="n">
        <x:v>12</x:v>
      </x:c>
      <x:c r="B17" s="16" t="str">
        <x:v>Exportação / relatório do programa</x:v>
      </x:c>
      <x:c r="C17" s="16" t="str">
        <x:v>Produto</x:v>
      </x:c>
      <x:c r="D17" s="16" t="str">
        <x:v>Fase 2</x:v>
      </x:c>
      <x:c r="E17" s="16" t="str">
        <x:v>Média</x:v>
      </x:c>
      <x:c r="F17" s="16" t="str">
        <x:v>Médio</x:v>
      </x:c>
      <x:c r="G17" s="16" t="str">
        <x:v>Médio</x:v>
      </x:c>
      <x:c r="H17" s="16" t="str">
        <x:v>Médio</x:v>
      </x:c>
      <x:c r="I17" s="16" t="str">
        <x:v>Não</x:v>
      </x:c>
      <x:c r="J17" s="16" t="str">
        <x:v>Relatório executivo</x:v>
      </x:c>
    </x:row>
  </x:sheetData>
  <x:mergeCells>
    <x:mergeCell ref="A1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22" hidden="0" customWidth="1"/>
    <x:col min="5" max="5" width="20" hidden="0" customWidth="1"/>
    <x:col min="6" max="6" width="58" hidden="0" customWidth="1"/>
  </x:cols>
  <x:sheetData>
    <x:row r="1">
      <x:c r="A1" s="34" t="str">
        <x:v>PREMISSAS DE MÃO DE OBRA — MVP SEBRAE / GINGA</x:v>
      </x:c>
      <x:c r="B1" s="34"/>
      <x:c r="C1" s="34"/>
      <x:c r="D1" s="34"/>
      <x:c r="E1" s="34"/>
      <x:c r="F1" s="34"/>
    </x:row>
    <x:row r="2">
      <x:c r="A2" s="34"/>
      <x:c r="B2" s="34"/>
      <x:c r="C2" s="34"/>
      <x:c r="D2" s="34"/>
      <x:c r="E2" s="34"/>
      <x:c r="F2" s="34"/>
    </x:row>
    <x:row r="3">
      <x:c r="A3" s="8" t="str">
        <x:v>Valores em azul são editáveis. O modelo reconhece o trabalho dos fundadores e da tecnologia mesmo quando não há desembolso imediato, permitindo visualizar o investimento real feito para criar o ativo.</x:v>
      </x:c>
      <x:c r="B3" s="8"/>
      <x:c r="C3" s="8"/>
      <x:c r="D3" s="8"/>
      <x:c r="E3" s="8"/>
      <x:c r="F3" s="8"/>
    </x:row>
    <x:row r="4">
      <x:c r="A4" s="16"/>
      <x:c r="B4" s="16"/>
      <x:c r="C4" s="16"/>
      <x:c r="D4" s="16"/>
      <x:c r="E4" s="16"/>
      <x:c r="F4" s="16"/>
    </x:row>
    <x:row r="5">
      <x:c r="A5" s="35" t="str">
        <x:v>Papel</x:v>
      </x:c>
      <x:c r="B5" s="35" t="str">
        <x:v>Rate referência R$/h</x:v>
      </x:c>
      <x:c r="C5" s="35" t="str">
        <x:v>Horas previstas</x:v>
      </x:c>
      <x:c r="D5" s="35" t="str">
        <x:v>Custo econômico R$</x:v>
      </x:c>
      <x:c r="E5" s="35" t="str">
        <x:v>Desembolso agora?</x:v>
      </x:c>
      <x:c r="F5" s="35" t="str">
        <x:v>Escopo</x:v>
      </x:c>
    </x:row>
    <x:row r="6">
      <x:c r="A6" s="16" t="str">
        <x:v>Sócio de tecnologia</x:v>
      </x:c>
      <x:c r="B6" s="36" t="n">
        <x:v>180</x:v>
      </x:c>
      <x:c r="C6" s="37" t="n">
        <x:v>420</x:v>
      </x:c>
      <x:c r="D6" s="38" t="n">
        <x:f>B6*C6</x:f>
        <x:v>75600</x:v>
      </x:c>
      <x:c r="E6" s="16" t="str">
        <x:v>Não</x:v>
      </x:c>
      <x:c r="F6" s="16" t="str">
        <x:v>Arquitetura, cadastro, matching, funil, dashboard e evolução</x:v>
      </x:c>
    </x:row>
    <x:row r="7">
      <x:c r="A7" s="16" t="str">
        <x:v>Tamara — estratégia e produto</x:v>
      </x:c>
      <x:c r="B7" s="36" t="n">
        <x:v>220</x:v>
      </x:c>
      <x:c r="C7" s="37" t="n">
        <x:v>210</x:v>
      </x:c>
      <x:c r="D7" s="38" t="n">
        <x:f>B7*C7</x:f>
        <x:v>46200</x:v>
      </x:c>
      <x:c r="E7" s="16" t="str">
        <x:v>Não</x:v>
      </x:c>
      <x:c r="F7" s="16" t="str">
        <x:v>Desenho do produto, regras de negócio, proposta de valor e estratégia do programa</x:v>
      </x:c>
    </x:row>
    <x:row r="8">
      <x:c r="A8" s="16" t="str">
        <x:v>Paulo Fábio — operação e estratégia</x:v>
      </x:c>
      <x:c r="B8" s="36" t="n">
        <x:v>160</x:v>
      </x:c>
      <x:c r="C8" s="78" t="n">
        <x:f>'02A_Volume_200_Usuarios'!C17</x:f>
        <x:v>210</x:v>
      </x:c>
      <x:c r="D8" s="38" t="n">
        <x:f>B8*C8</x:f>
        <x:v>33600</x:v>
      </x:c>
      <x:c r="E8" s="16" t="str">
        <x:v>Não</x:v>
      </x:c>
      <x:c r="F8" s="16" t="str">
        <x:v>Operação, curadoria de conexões, ajustes de estratégia e planos de desenvolvimento</x:v>
      </x:c>
    </x:row>
    <x:row r="9">
      <x:c r="A9" s="16" t="str">
        <x:v>Pedro — operação e comunicação</x:v>
      </x:c>
      <x:c r="B9" s="36" t="n">
        <x:v>150</x:v>
      </x:c>
      <x:c r="C9" s="78" t="n">
        <x:f>'02A_Volume_200_Usuarios'!C18</x:f>
        <x:v>170</x:v>
      </x:c>
      <x:c r="D9" s="38" t="n">
        <x:f>B9*C9</x:f>
        <x:v>25500</x:v>
      </x:c>
      <x:c r="E9" s="16" t="str">
        <x:v>Não</x:v>
      </x:c>
      <x:c r="F9" s="16" t="str">
        <x:v>Operação, comunicação do programa, jornadas e materiais</x:v>
      </x:c>
    </x:row>
    <x:row r="10">
      <x:c r="A10" s="16" t="str">
        <x:v>UX/UI enxuto</x:v>
      </x:c>
      <x:c r="B10" s="36" t="n">
        <x:v>140</x:v>
      </x:c>
      <x:c r="C10" s="37" t="n">
        <x:v>60</x:v>
      </x:c>
      <x:c r="D10" s="38" t="n">
        <x:f>B10*C10</x:f>
        <x:v>8400</x:v>
      </x:c>
      <x:c r="E10" s="16" t="str">
        <x:v>Sim/Não</x:v>
      </x:c>
      <x:c r="F10" s="16" t="str">
        <x:v>Fluxos fornecedor, comprador e dashboard</x:v>
      </x:c>
    </x:row>
    <x:row r="11">
      <x:c r="A11" s="16" t="str">
        <x:v>QA / testes</x:v>
      </x:c>
      <x:c r="B11" s="36" t="n">
        <x:v>120</x:v>
      </x:c>
      <x:c r="C11" s="78" t="n">
        <x:f>'02A_Volume_200_Usuarios'!C19</x:f>
        <x:v>70</x:v>
      </x:c>
      <x:c r="D11" s="38" t="n">
        <x:f>B11*C11</x:f>
        <x:v>8400</x:v>
      </x:c>
      <x:c r="E11" s="16" t="str">
        <x:v>Sim/Não</x:v>
      </x:c>
      <x:c r="F11" s="16" t="str">
        <x:v>Testes de cadastro, matching, funil e indicadores</x:v>
      </x:c>
    </x:row>
    <x:row r="12">
      <x:c r="A12" s="16" t="str">
        <x:v>Dados / BI adicional</x:v>
      </x:c>
      <x:c r="B12" s="36" t="n">
        <x:v>180</x:v>
      </x:c>
      <x:c r="C12" s="37" t="n">
        <x:v>70</x:v>
      </x:c>
      <x:c r="D12" s="38" t="n">
        <x:f>B12*C12</x:f>
        <x:v>12600</x:v>
      </x:c>
      <x:c r="E12" s="16" t="str">
        <x:v>Sim/Não</x:v>
      </x:c>
      <x:c r="F12" s="16" t="str">
        <x:v>Indicadores e dashboard, se necessário</x:v>
      </x:c>
    </x:row>
    <x:row r="13">
      <x:c r="A13" s="16" t="str">
        <x:v>Segurança / revisão pontual</x:v>
      </x:c>
      <x:c r="B13" s="36" t="n">
        <x:v>220</x:v>
      </x:c>
      <x:c r="C13" s="37" t="n">
        <x:v>20</x:v>
      </x:c>
      <x:c r="D13" s="38" t="n">
        <x:f>B13*C13</x:f>
        <x:v>4400</x:v>
      </x:c>
      <x:c r="E13" s="16" t="str">
        <x:v>Sim</x:v>
      </x:c>
      <x:c r="F13" s="16" t="str">
        <x:v>Dados empresariais, acessos e revisão mínima</x:v>
      </x:c>
    </x:row>
    <x:row r="14">
      <x:c r="A14" s="16"/>
      <x:c r="B14" s="16"/>
      <x:c r="C14" s="16"/>
      <x:c r="D14" s="16"/>
      <x:c r="E14" s="16"/>
      <x:c r="F14" s="16"/>
    </x:row>
    <x:row r="15">
      <x:c r="A15" s="39" t="str">
        <x:v>CUSTO ECONÔMICO TOTAL DE MÃO DE OBRA</x:v>
      </x:c>
      <x:c r="B15" s="39"/>
      <x:c r="C15" s="39"/>
      <x:c r="D15" s="40" t="n">
        <x:f>SUM(D6:D13)</x:f>
        <x:v>214700</x:v>
      </x:c>
      <x:c r="E15" s="39"/>
      <x:c r="F15" s="39"/>
    </x:row>
    <x:row r="16">
      <x:c r="A16" s="16"/>
      <x:c r="B16" s="16"/>
      <x:c r="C16" s="16"/>
      <x:c r="D16" s="16"/>
      <x:c r="E16" s="16"/>
      <x:c r="F16" s="16"/>
    </x:row>
    <x:row r="17">
      <x:c r="A17" s="16"/>
      <x:c r="B17" s="16"/>
      <x:c r="C17" s="16"/>
      <x:c r="D17" s="16"/>
      <x:c r="E17" s="16"/>
      <x:c r="F17" s="16"/>
    </x:row>
    <x:row r="18">
      <x:c r="A18" s="16"/>
      <x:c r="B18" s="16"/>
      <x:c r="C18" s="16"/>
      <x:c r="D18" s="16"/>
      <x:c r="E18" s="16"/>
      <x:c r="F18" s="16"/>
    </x:row>
  </x:sheetData>
  <x:mergeCells>
    <x:mergeCell ref="A1:F2"/>
    <x:mergeCell ref="A3:F3"/>
    <x:mergeCell ref="A15:C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8" hidden="0" customWidth="1"/>
    <x:col min="7" max="7" width="20" hidden="0" customWidth="1"/>
    <x:col min="8" max="8" width="20" hidden="0" customWidth="1"/>
    <x:col min="9" max="9" width="52" hidden="0" customWidth="1"/>
    <x:col min="10" max="10" width="20" hidden="0" customWidth="1"/>
  </x:cols>
  <x:sheetData>
    <x:row r="1">
      <x:c r="A1" s="3" t="str">
        <x:v>INVESTIMENTO DE TRABALHO — MVP FORNECEDORES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8" t="str">
        <x:v>Memória econômica do trabalho dedicado ao produto. A forma jurídica/contábil de eventual reembolso após aporte deve ser formalizada entre sócios e assessoria contábil/jurídica.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>
      <x:c r="A5" s="13" t="str">
        <x:v>Pessoa</x:v>
      </x:c>
      <x:c r="B5" s="13" t="str">
        <x:v>Papel</x:v>
      </x:c>
      <x:c r="C5" s="13" t="str">
        <x:v>Horas</x:v>
      </x:c>
      <x:c r="D5" s="13" t="str">
        <x:v>Rate R$/h</x:v>
      </x:c>
      <x:c r="E5" s="13" t="str">
        <x:v>Valor econômico</x:v>
      </x:c>
      <x:c r="F5" s="13" t="str">
        <x:v>Pago agora</x:v>
      </x:c>
      <x:c r="G5" s="13" t="str">
        <x:v>Saldo diferido</x:v>
      </x:c>
      <x:c r="H5" s="13" t="str">
        <x:v>Critério futuro</x:v>
      </x:c>
      <x:c r="I5" s="13" t="str">
        <x:v>Escopo reconhecido</x:v>
      </x:c>
      <x:c r="J5" s="13" t="str">
        <x:v>Observação</x:v>
      </x:c>
    </x:row>
    <x:row r="6">
      <x:c r="A6" t="str">
        <x:v>Tamara</x:v>
      </x:c>
      <x:c r="B6" t="str">
        <x:v>Estratégia e produto</x:v>
      </x:c>
      <x:c r="C6" s="20" t="n">
        <x:v>210</x:v>
      </x:c>
      <x:c r="D6" s="22" t="n">
        <x:v>220</x:v>
      </x:c>
      <x:c r="E6" s="26" t="n">
        <x:f>C6*D6</x:f>
        <x:v>46200</x:v>
      </x:c>
      <x:c r="F6" s="22" t="n">
        <x:v>0</x:v>
      </x:c>
      <x:c r="G6" s="26" t="n">
        <x:f>E6-F6</x:f>
        <x:v>46200</x:v>
      </x:c>
      <x:c r="H6" t="str">
        <x:v>Após aporte</x:v>
      </x:c>
      <x:c r="I6" t="str">
        <x:v>Produto, regras, estratégia e proposta de valor</x:v>
      </x:c>
      <x:c r="J6" t="str">
        <x:v>Editável</x:v>
      </x:c>
    </x:row>
    <x:row r="7">
      <x:c r="A7" t="str">
        <x:v>Paulo Fábio</x:v>
      </x:c>
      <x:c r="B7" t="str">
        <x:v>Operação e estratégia</x:v>
      </x:c>
      <x:c r="C7" s="79" t="n">
        <x:f>'03_Premissas_Mao_de_Obra'!C8</x:f>
        <x:v>210</x:v>
      </x:c>
      <x:c r="D7" s="22" t="n">
        <x:v>160</x:v>
      </x:c>
      <x:c r="E7" s="26" t="n">
        <x:f>C7*D7</x:f>
        <x:v>33600</x:v>
      </x:c>
      <x:c r="F7" s="22" t="n">
        <x:v>0</x:v>
      </x:c>
      <x:c r="G7" s="26" t="n">
        <x:f>E7-F7</x:f>
        <x:v>33600</x:v>
      </x:c>
      <x:c r="H7" t="str">
        <x:v>Após aporte</x:v>
      </x:c>
      <x:c r="I7" t="str">
        <x:v>Operação, curadoria e planos de desenvolvimento</x:v>
      </x:c>
      <x:c r="J7" t="str">
        <x:v>Editável</x:v>
      </x:c>
    </x:row>
    <x:row r="8">
      <x:c r="A8" t="str">
        <x:v>Pedro</x:v>
      </x:c>
      <x:c r="B8" t="str">
        <x:v>Operação e comunicação</x:v>
      </x:c>
      <x:c r="C8" s="79" t="n">
        <x:f>'03_Premissas_Mao_de_Obra'!C9</x:f>
        <x:v>170</x:v>
      </x:c>
      <x:c r="D8" s="22" t="n">
        <x:v>150</x:v>
      </x:c>
      <x:c r="E8" s="26" t="n">
        <x:f>C8*D8</x:f>
        <x:v>25500</x:v>
      </x:c>
      <x:c r="F8" s="22" t="n">
        <x:v>0</x:v>
      </x:c>
      <x:c r="G8" s="26" t="n">
        <x:f>E8-F8</x:f>
        <x:v>25500</x:v>
      </x:c>
      <x:c r="H8" t="str">
        <x:v>Após aporte</x:v>
      </x:c>
      <x:c r="I8" t="str">
        <x:v>Operação e comunicação do programa</x:v>
      </x:c>
      <x:c r="J8" t="str">
        <x:v>Editável</x:v>
      </x:c>
    </x:row>
    <x:row r="9">
      <x:c r="A9" t="str">
        <x:v>Sócio de tecnologia</x:v>
      </x:c>
      <x:c r="B9" t="str">
        <x:v>Tecnologia</x:v>
      </x:c>
      <x:c r="C9" s="20" t="n">
        <x:v>420</x:v>
      </x:c>
      <x:c r="D9" s="22" t="n">
        <x:v>180</x:v>
      </x:c>
      <x:c r="E9" s="26" t="n">
        <x:f>C9*D9</x:f>
        <x:v>75600</x:v>
      </x:c>
      <x:c r="F9" s="22" t="n">
        <x:v>0</x:v>
      </x:c>
      <x:c r="G9" s="26" t="n">
        <x:f>E9-F9</x:f>
        <x:v>75600</x:v>
      </x:c>
      <x:c r="H9" t="str">
        <x:v>Após aporte</x:v>
      </x:c>
      <x:c r="I9" t="str">
        <x:v>Construção e evolução técnica</x:v>
      </x:c>
      <x:c r="J9" t="str">
        <x:v>Editável</x:v>
      </x:c>
    </x:row>
    <x:row r="11">
      <x:c r="A11" s="29" t="str">
        <x:v>TOTAL DE TRABALHO FUNDADOR DIFERIDO</x:v>
      </x:c>
      <x:c r="B11" s="29"/>
      <x:c r="C11" s="29"/>
      <x:c r="D11" s="29"/>
      <x:c r="E11" s="32" t="n">
        <x:f>SUM(G6:G9)</x:f>
        <x:v>180900</x:v>
      </x:c>
      <x:c r="F11" s="29"/>
      <x:c r="G11" s="29"/>
      <x:c r="H11" s="29"/>
      <x:c r="I11" s="29"/>
      <x:c r="J11" s="29"/>
    </x:row>
  </x:sheetData>
  <x:mergeCells>
    <x:mergeCell ref="A1:J2"/>
    <x:mergeCell ref="A3:J3"/>
    <x:mergeCell ref="A11:D11"/>
    <x:mergeCell ref="E11:G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5" hidden="0" customWidth="1"/>
    <x:col min="4" max="4" width="24" hidden="0" customWidth="1"/>
    <x:col min="5" max="5" width="12" hidden="0" customWidth="1"/>
    <x:col min="6" max="6" width="12" hidden="0" customWidth="1"/>
    <x:col min="7" max="7" width="22" hidden="0" customWidth="1"/>
    <x:col min="8" max="8" width="48" hidden="0" customWidth="1"/>
  </x:cols>
  <x:sheetData>
    <x:row r="1">
      <x:c r="A1" s="34" t="str">
        <x:v>MVP SEBRAE / GINGA — CUSTO ECONÔMICO × CAIXA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16"/>
      <x:c r="B4" s="16"/>
      <x:c r="C4" s="16"/>
      <x:c r="D4" s="16"/>
      <x:c r="E4" s="16"/>
      <x:c r="F4" s="16"/>
      <x:c r="G4" s="16"/>
      <x:c r="H4" s="16"/>
    </x:row>
    <x:row r="5">
      <x:c r="A5" s="35" t="str">
        <x:v>Categoria</x:v>
      </x:c>
      <x:c r="B5" s="35" t="str">
        <x:v>Custo econômico R$</x:v>
      </x:c>
      <x:c r="C5" s="35" t="str">
        <x:v>Desembolso pré-aporte R$</x:v>
      </x:c>
      <x:c r="D5" s="35" t="str">
        <x:v>Diferido/fundadores R$</x:v>
      </x:c>
      <x:c r="E5" s="35" t="str">
        <x:v>Mensal?</x:v>
      </x:c>
      <x:c r="F5" s="35" t="str">
        <x:v>Meses</x:v>
      </x:c>
      <x:c r="G5" s="35" t="str">
        <x:v>Total período R$</x:v>
      </x:c>
      <x:c r="H5" s="35" t="str">
        <x:v>Observação</x:v>
      </x:c>
    </x:row>
    <x:row r="6">
      <x:c r="A6" s="16" t="str">
        <x:v>Sócio tecnologia</x:v>
      </x:c>
      <x:c r="B6" s="38" t="n">
        <x:f>'03_Premissas_Mao_de_Obra'!D6</x:f>
        <x:v>75600</x:v>
      </x:c>
      <x:c r="C6" s="38" t="n">
        <x:v>0</x:v>
      </x:c>
      <x:c r="D6" s="38" t="n">
        <x:f>B6-C6</x:f>
        <x:v>75600</x:v>
      </x:c>
      <x:c r="E6" s="16" t="str">
        <x:v>Não</x:v>
      </x:c>
      <x:c r="F6" s="16" t="n">
        <x:v>1</x:v>
      </x:c>
      <x:c r="G6" s="38" t="n">
        <x:f>B6</x:f>
        <x:v>75600</x:v>
      </x:c>
      <x:c r="H6" s="16" t="str">
        <x:v>Construção técnica</x:v>
      </x:c>
    </x:row>
    <x:row r="7">
      <x:c r="A7" s="16" t="str">
        <x:v>Tamara — estratégia/produto</x:v>
      </x:c>
      <x:c r="B7" s="38" t="n">
        <x:f>'03_Premissas_Mao_de_Obra'!D7</x:f>
        <x:v>46200</x:v>
      </x:c>
      <x:c r="C7" s="38" t="n">
        <x:v>0</x:v>
      </x:c>
      <x:c r="D7" s="38" t="n">
        <x:f>B7-C7</x:f>
        <x:v>46200</x:v>
      </x:c>
      <x:c r="E7" s="16" t="str">
        <x:v>Não</x:v>
      </x:c>
      <x:c r="F7" s="16" t="n">
        <x:v>1</x:v>
      </x:c>
      <x:c r="G7" s="38" t="n">
        <x:f>B7</x:f>
        <x:v>46200</x:v>
      </x:c>
      <x:c r="H7" s="16" t="str">
        <x:v>Desenho e estratégia</x:v>
      </x:c>
    </x:row>
    <x:row r="8">
      <x:c r="A8" s="16" t="str">
        <x:v>Paulo Fábio — operação/estratégia</x:v>
      </x:c>
      <x:c r="B8" s="38" t="n">
        <x:f>'03_Premissas_Mao_de_Obra'!D8</x:f>
        <x:v>33600</x:v>
      </x:c>
      <x:c r="C8" s="38" t="n">
        <x:v>0</x:v>
      </x:c>
      <x:c r="D8" s="38" t="n">
        <x:f>B8-C8</x:f>
        <x:v>33600</x:v>
      </x:c>
      <x:c r="E8" s="16" t="str">
        <x:v>Não</x:v>
      </x:c>
      <x:c r="F8" s="16" t="n">
        <x:v>1</x:v>
      </x:c>
      <x:c r="G8" s="38" t="n">
        <x:f>B8</x:f>
        <x:v>33600</x:v>
      </x:c>
      <x:c r="H8" s="16" t="str">
        <x:v>Curadoria e operação</x:v>
      </x:c>
    </x:row>
    <x:row r="9">
      <x:c r="A9" s="16" t="str">
        <x:v>Pedro — operação/comunicação</x:v>
      </x:c>
      <x:c r="B9" s="38" t="n">
        <x:f>'03_Premissas_Mao_de_Obra'!D9</x:f>
        <x:v>25500</x:v>
      </x:c>
      <x:c r="C9" s="38" t="n">
        <x:v>0</x:v>
      </x:c>
      <x:c r="D9" s="38" t="n">
        <x:f>B9-C9</x:f>
        <x:v>25500</x:v>
      </x:c>
      <x:c r="E9" s="16" t="str">
        <x:v>Não</x:v>
      </x:c>
      <x:c r="F9" s="16" t="n">
        <x:v>1</x:v>
      </x:c>
      <x:c r="G9" s="38" t="n">
        <x:f>B9</x:f>
        <x:v>25500</x:v>
      </x:c>
      <x:c r="H9" s="16" t="str">
        <x:v>Operação e comunicação</x:v>
      </x:c>
    </x:row>
    <x:row r="10">
      <x:c r="A10" s="16" t="str">
        <x:v>UX/UI</x:v>
      </x:c>
      <x:c r="B10" s="38" t="n">
        <x:f>'03_Premissas_Mao_de_Obra'!D10</x:f>
        <x:v>8400</x:v>
      </x:c>
      <x:c r="C10" s="38" t="n">
        <x:v>0</x:v>
      </x:c>
      <x:c r="D10" s="38" t="n">
        <x:f>B10-C10</x:f>
        <x:v>8400</x:v>
      </x:c>
      <x:c r="E10" s="16" t="str">
        <x:v>Não</x:v>
      </x:c>
      <x:c r="F10" s="16" t="n">
        <x:v>1</x:v>
      </x:c>
      <x:c r="G10" s="38" t="n">
        <x:f>B10</x:f>
        <x:v>8400</x:v>
      </x:c>
      <x:c r="H10" s="16" t="str">
        <x:v>Enxuto</x:v>
      </x:c>
    </x:row>
    <x:row r="11">
      <x:c r="A11" s="16" t="str">
        <x:v>QA</x:v>
      </x:c>
      <x:c r="B11" s="38" t="n">
        <x:f>'03_Premissas_Mao_de_Obra'!D11</x:f>
        <x:v>8400</x:v>
      </x:c>
      <x:c r="C11" s="38" t="n">
        <x:v>0</x:v>
      </x:c>
      <x:c r="D11" s="38" t="n">
        <x:f>B11-C11</x:f>
        <x:v>8400</x:v>
      </x:c>
      <x:c r="E11" s="16" t="str">
        <x:v>Não</x:v>
      </x:c>
      <x:c r="F11" s="16" t="n">
        <x:v>1</x:v>
      </x:c>
      <x:c r="G11" s="38" t="n">
        <x:f>B11</x:f>
        <x:v>8400</x:v>
      </x:c>
      <x:c r="H11" s="16" t="str">
        <x:v>Pode ser parcialmente interno</x:v>
      </x:c>
    </x:row>
    <x:row r="12">
      <x:c r="A12" s="16" t="str">
        <x:v>Dados/BI extra</x:v>
      </x:c>
      <x:c r="B12" s="38" t="n">
        <x:f>'03_Premissas_Mao_de_Obra'!D12</x:f>
        <x:v>12600</x:v>
      </x:c>
      <x:c r="C12" s="38" t="n">
        <x:v>0</x:v>
      </x:c>
      <x:c r="D12" s="38" t="n">
        <x:f>B12-C12</x:f>
        <x:v>12600</x:v>
      </x:c>
      <x:c r="E12" s="16" t="str">
        <x:v>Não</x:v>
      </x:c>
      <x:c r="F12" s="16" t="n">
        <x:v>1</x:v>
      </x:c>
      <x:c r="G12" s="38" t="n">
        <x:f>B12</x:f>
        <x:v>12600</x:v>
      </x:c>
      <x:c r="H12" s="16" t="str">
        <x:v>Se necessário</x:v>
      </x:c>
    </x:row>
    <x:row r="13">
      <x:c r="A13" s="16" t="str">
        <x:v>Segurança pontual</x:v>
      </x:c>
      <x:c r="B13" s="38" t="n">
        <x:f>'03_Premissas_Mao_de_Obra'!D13</x:f>
        <x:v>4400</x:v>
      </x:c>
      <x:c r="C13" s="38" t="n">
        <x:f>B13</x:f>
        <x:v>4400</x:v>
      </x:c>
      <x:c r="D13" s="38" t="n">
        <x:v>0</x:v>
      </x:c>
      <x:c r="E13" s="16" t="str">
        <x:v>Não</x:v>
      </x:c>
      <x:c r="F13" s="16" t="n">
        <x:v>1</x:v>
      </x:c>
      <x:c r="G13" s="38" t="n">
        <x:f>B13</x:f>
        <x:v>4400</x:v>
      </x:c>
      <x:c r="H13" s="16" t="str">
        <x:v>Recomendado</x:v>
      </x:c>
    </x:row>
    <x:row r="14">
      <x:c r="A14" s="16" t="str">
        <x:v>Cloud / banco / storage</x:v>
      </x:c>
      <x:c r="B14" s="80" t="n">
        <x:f>'02A_Volume_200_Usuarios'!C20</x:f>
        <x:v>1900</x:v>
      </x:c>
      <x:c r="C14" s="80" t="n">
        <x:f>B14</x:f>
        <x:v>1900</x:v>
      </x:c>
      <x:c r="D14" s="38" t="n">
        <x:v>0</x:v>
      </x:c>
      <x:c r="E14" s="16" t="str">
        <x:v>Sim</x:v>
      </x:c>
      <x:c r="F14" s="16" t="n">
        <x:v>6</x:v>
      </x:c>
      <x:c r="G14" s="38" t="n">
        <x:f>B14*F14</x:f>
        <x:v>11400</x:v>
      </x:c>
      <x:c r="H14" s="16" t="str">
        <x:v>Mais perfis e dados que Monks</x:v>
      </x:c>
    </x:row>
    <x:row r="15">
      <x:c r="A15" s="16" t="str">
        <x:v>Ferramentas / monitoramento</x:v>
      </x:c>
      <x:c r="B15" s="80" t="n">
        <x:f>'02A_Volume_200_Usuarios'!C21</x:f>
        <x:v>750</x:v>
      </x:c>
      <x:c r="C15" s="80" t="n">
        <x:f>B15</x:f>
        <x:v>750</x:v>
      </x:c>
      <x:c r="D15" s="38" t="n">
        <x:v>0</x:v>
      </x:c>
      <x:c r="E15" s="16" t="str">
        <x:v>Sim</x:v>
      </x:c>
      <x:c r="F15" s="16" t="n">
        <x:v>6</x:v>
      </x:c>
      <x:c r="G15" s="38" t="n">
        <x:f>B15*F15</x:f>
        <x:v>4500</x:v>
      </x:c>
      <x:c r="H15" s="16" t="str">
        <x:v>Logs, analytics e serviços</x:v>
      </x:c>
    </x:row>
    <x:row r="16">
      <x:c r="A16" s="16" t="str">
        <x:v>E-mail / notificações / APIs</x:v>
      </x:c>
      <x:c r="B16" s="80" t="n">
        <x:f>'02A_Volume_200_Usuarios'!C22</x:f>
        <x:v>650</x:v>
      </x:c>
      <x:c r="C16" s="80" t="n">
        <x:f>B16</x:f>
        <x:v>650</x:v>
      </x:c>
      <x:c r="D16" s="38" t="n">
        <x:v>0</x:v>
      </x:c>
      <x:c r="E16" s="16" t="str">
        <x:v>Sim</x:v>
      </x:c>
      <x:c r="F16" s="16" t="n">
        <x:v>6</x:v>
      </x:c>
      <x:c r="G16" s="38" t="n">
        <x:f>B16*F16</x:f>
        <x:v>3900</x:v>
      </x:c>
      <x:c r="H16" s="16" t="str">
        <x:v>Comunicação transacional</x:v>
      </x:c>
    </x:row>
    <x:row r="17">
      <x:c r="A17" s="16" t="str">
        <x:v>Reserva IA / matching</x:v>
      </x:c>
      <x:c r="B17" s="80" t="n">
        <x:f>'02A_Volume_200_Usuarios'!C23</x:f>
        <x:v>1100</x:v>
      </x:c>
      <x:c r="C17" s="80" t="n">
        <x:f>B17</x:f>
        <x:v>1100</x:v>
      </x:c>
      <x:c r="D17" s="38" t="n">
        <x:v>0</x:v>
      </x:c>
      <x:c r="E17" s="16" t="str">
        <x:v>Sim</x:v>
      </x:c>
      <x:c r="F17" s="16" t="n">
        <x:v>6</x:v>
      </x:c>
      <x:c r="G17" s="38" t="n">
        <x:f>B17*F17</x:f>
        <x:v>6600</x:v>
      </x:c>
      <x:c r="H17" s="16" t="str">
        <x:v>Matching inicialmente por regras</x:v>
      </x:c>
    </x:row>
    <x:row r="18">
      <x:c r="A18" s="16"/>
      <x:c r="B18" s="16"/>
      <x:c r="C18" s="16"/>
      <x:c r="D18" s="16"/>
      <x:c r="E18" s="16"/>
      <x:c r="F18" s="16"/>
      <x:c r="G18" s="16"/>
      <x:c r="H18" s="16"/>
    </x:row>
    <x:row r="19">
      <x:c r="A19" s="39" t="str">
        <x:v>CUSTO ECONÔMICO DO MVP (6 MESES)</x:v>
      </x:c>
      <x:c r="B19" s="39"/>
      <x:c r="C19" s="39"/>
      <x:c r="D19" s="39"/>
      <x:c r="E19" s="39"/>
      <x:c r="F19" s="39"/>
      <x:c r="G19" s="39" t="n">
        <x:f>SUM(G6:G17)</x:f>
        <x:v>241100</x:v>
      </x:c>
      <x:c r="H19" s="39"/>
    </x:row>
    <x:row r="20">
      <x:c r="A20" s="39" t="str">
        <x:v>CAIXA NECESSÁRIO PRÉ-APORTE</x:v>
      </x:c>
      <x:c r="B20" s="39"/>
      <x:c r="C20" s="40" t="n">
        <x:f>SUM(C6:C13)+SUMPRODUCT(C14:C17,F14:F17)</x:f>
        <x:v>30800</x:v>
      </x:c>
      <x:c r="D20" s="40" t="str">
        <x:v>VALOR DIFERIDO / FUNDADORES</x:v>
      </x:c>
      <x:c r="E20" s="40"/>
      <x:c r="F20" s="40"/>
      <x:c r="G20" s="40" t="n">
        <x:f>SUM(D6:D17)</x:f>
        <x:v>210300</x:v>
      </x:c>
      <x:c r="H20" s="39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2">
      <x:c r="A22" s="16"/>
      <x:c r="B22" s="16"/>
      <x:c r="C22" s="16"/>
      <x:c r="D22" s="16"/>
      <x:c r="E22" s="16"/>
      <x:c r="F22" s="16"/>
      <x:c r="G22" s="16"/>
      <x:c r="H22" s="16"/>
    </x:row>
  </x:sheetData>
  <x:mergeCells>
    <x:mergeCell ref="A1:H2"/>
    <x:mergeCell ref="A19:F19"/>
    <x:mergeCell ref="A20:B20"/>
    <x:mergeCell ref="D20:F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34" hidden="0" customWidth="1"/>
    <x:col min="5" max="5" width="34" hidden="0" customWidth="1"/>
    <x:col min="6" max="6" width="42" hidden="0" customWidth="1"/>
    <x:col min="7" max="7" width="30" hidden="0" customWidth="1"/>
    <x:col min="8" max="8" width="34" hidden="0" customWidth="1"/>
  </x:cols>
  <x:sheetData>
    <x:row r="1">
      <x:c r="A1" s="3" t="str">
        <x:v>SEBRAE / GINGA COMO MVP E CASE — PLANO DE VALIDAÇÃO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5">
      <x:c r="A5" s="13" t="str">
        <x:v>Fase</x:v>
      </x:c>
      <x:c r="B5" s="13" t="str">
        <x:v>Período sugerido</x:v>
      </x:c>
      <x:c r="C5" s="13" t="str">
        <x:v>Modelo comercial</x:v>
      </x:c>
      <x:c r="D5" s="13" t="str">
        <x:v>Objetivo</x:v>
      </x:c>
      <x:c r="E5" s="13" t="str">
        <x:v>Produto</x:v>
      </x:c>
      <x:c r="F5" s="13" t="str">
        <x:v>Evidência</x:v>
      </x:c>
      <x:c r="G5" s="13" t="str">
        <x:v>Critério de saída</x:v>
      </x:c>
      <x:c r="H5" s="13" t="str">
        <x:v>Evolução</x:v>
      </x:c>
    </x:row>
    <x:row r="6">
      <x:c r="A6" s="16" t="str">
        <x:v>0. Desenho</x:v>
      </x:c>
      <x:c r="B6" s="16" t="str">
        <x:v>Mês 1</x:v>
      </x:c>
      <x:c r="C6" s="16" t="str">
        <x:v>Piloto / parceria</x:v>
      </x:c>
      <x:c r="D6" s="16" t="str">
        <x:v>Definir recorte, compradores, fornecedores e critérios</x:v>
      </x:c>
      <x:c r="E6" s="16" t="str">
        <x:v>Template + regras</x:v>
      </x:c>
      <x:c r="F6" s="16" t="str">
        <x:v>Baseline do programa</x:v>
      </x:c>
      <x:c r="G6" s="16" t="str">
        <x:v>Escopo e dados definidos</x:v>
      </x:c>
      <x:c r="H6" s="16" t="str">
        <x:v>Construir</x:v>
      </x:c>
    </x:row>
    <x:row r="7">
      <x:c r="A7" s="16" t="str">
        <x:v>1. MVP</x:v>
      </x:c>
      <x:c r="B7" s="16" t="str">
        <x:v>Meses 2–3</x:v>
      </x:c>
      <x:c r="C7" s="16" t="str">
        <x:v>Piloto / parceria</x:v>
      </x:c>
      <x:c r="D7" s="16" t="str">
        <x:v>Rodar cadastro, demandas e matches reais</x:v>
      </x:c>
      <x:c r="E7" s="16" t="str">
        <x:v>Fluxo essencial</x:v>
      </x:c>
      <x:c r="F7" s="16" t="str">
        <x:v>Matches e reuniões</x:v>
      </x:c>
      <x:c r="G7" s="16" t="str">
        <x:v>Uso real funcionando</x:v>
      </x:c>
      <x:c r="H7" s="16" t="str">
        <x:v>Refinar</x:v>
      </x:c>
    </x:row>
    <x:row r="8">
      <x:c r="A8" s="16" t="str">
        <x:v>2. Conversão</x:v>
      </x:c>
      <x:c r="B8" s="16" t="str">
        <x:v>Meses 4–5</x:v>
      </x:c>
      <x:c r="C8" s="16" t="str">
        <x:v>Piloto / parceria</x:v>
      </x:c>
      <x:c r="D8" s="16" t="str">
        <x:v>Acompanhar proposta, negociação e negócio</x:v>
      </x:c>
      <x:c r="E8" s="16" t="str">
        <x:v>Funil + dashboard</x:v>
      </x:c>
      <x:c r="F8" s="16" t="str">
        <x:v>Conversão e R$ gerados</x:v>
      </x:c>
      <x:c r="G8" s="16" t="str">
        <x:v>Negócios mensuráveis</x:v>
      </x:c>
      <x:c r="H8" s="16" t="str">
        <x:v>Documentar case</x:v>
      </x:c>
    </x:row>
    <x:row r="9">
      <x:c r="A9" s="16" t="str">
        <x:v>3. Case</x:v>
      </x:c>
      <x:c r="B9" s="16" t="str">
        <x:v>Mês 6</x:v>
      </x:c>
      <x:c r="C9" s="16" t="str">
        <x:v>Negociar continuidade</x:v>
      </x:c>
      <x:c r="D9" s="16" t="str">
        <x:v>Provar impacto para Sebrae e empresas</x:v>
      </x:c>
      <x:c r="E9" s="16" t="str">
        <x:v>Relatório de impacto</x:v>
      </x:c>
      <x:c r="F9" s="16" t="str">
        <x:v>Depoimentos + métricas</x:v>
      </x:c>
      <x:c r="G9" s="16" t="str">
        <x:v>Valor validado</x:v>
      </x:c>
      <x:c r="H9" s="16" t="str">
        <x:v>Fee recorrente / expansão</x:v>
      </x:c>
    </x:row>
    <x:row r="12">
      <x:c r="A12" s="13" t="str">
        <x:v>O QUE O MVP PRECISA PROVAR</x:v>
      </x:c>
      <x:c r="B12" s="13"/>
      <x:c r="C12" s="13"/>
      <x:c r="D12" s="13"/>
      <x:c r="E12" s="13"/>
      <x:c r="F12" s="13"/>
      <x:c r="G12" s="13"/>
      <x:c r="H12" s="13"/>
    </x:row>
    <x:row r="13">
      <x:c r="A13" t="str">
        <x:v>1</x:v>
      </x:c>
      <x:c r="B13" t="str">
        <x:v>Fornecedores conseguem ser classificados por capacidade/maturidade de forma útil</x:v>
      </x:c>
    </x:row>
    <x:row r="14">
      <x:c r="A14" t="str">
        <x:v>2</x:v>
      </x:c>
      <x:c r="B14" t="str">
        <x:v>Demandas reais das empresas podem ser traduzidas em critérios de matching</x:v>
      </x:c>
    </x:row>
    <x:row r="15">
      <x:c r="A15" t="str">
        <x:v>3</x:v>
      </x:c>
      <x:c r="B15" t="str">
        <x:v>O matching reduz esforço para encontrar fornecedores aderentes</x:v>
      </x:c>
    </x:row>
    <x:row r="16">
      <x:c r="A16" t="str">
        <x:v>4</x:v>
      </x:c>
      <x:c r="B16" t="str">
        <x:v>Matches viram reuniões/conexões qualificadas</x:v>
      </x:c>
    </x:row>
    <x:row r="17">
      <x:c r="A17" t="str">
        <x:v>5</x:v>
      </x:c>
      <x:c r="B17" t="str">
        <x:v>Conexões viram propostas, negociações e contratos</x:v>
      </x:c>
    </x:row>
    <x:row r="18">
      <x:c r="A18" t="str">
        <x:v>6</x:v>
      </x:c>
      <x:c r="B18" t="str">
        <x:v>É possível medir valor financeiro movimentado pelo programa</x:v>
      </x:c>
    </x:row>
    <x:row r="19">
      <x:c r="A19" t="str">
        <x:v>7</x:v>
      </x:c>
      <x:c r="B19" t="str">
        <x:v>O Sebrae consegue identificar lacunas de desenvolvimento dos fornecedores</x:v>
      </x:c>
    </x:row>
    <x:row r="20">
      <x:c r="A20" t="str">
        <x:v>8</x:v>
      </x:c>
      <x:c r="B20" t="str">
        <x:v>O case é replicável para outros programas, territórios e empresas</x:v>
      </x:c>
    </x:row>
  </x:sheetData>
  <x:mergeCells>
    <x:mergeCell ref="A1:H2"/>
    <x:mergeCell ref="A12:H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2" hidden="0" customWidth="1"/>
    <x:col min="4" max="4" width="44" hidden="0" customWidth="1"/>
    <x:col min="5" max="5" width="34" hidden="0" customWidth="1"/>
    <x:col min="6" max="6" width="30" hidden="0" customWidth="1"/>
  </x:cols>
  <x:sheetData>
    <x:row r="1">
      <x:c r="A1" s="3" t="str">
        <x:v>HUB — MVP SEBRAE / GINGA | VISÃO ECONÔMICA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8" t="str">
        <x:v>Piloto dimensionado para 100 pessoas fornecedoras e 100 pessoas compradoras. O foco é provar que demandas reais geram matches qualificados, conexões, propostas e negócios — sem superdimensionar tecnologia para apenas 200 usuários.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>
      <x:c r="A5" s="49" t="str">
        <x:v>CUSTO ECONÔMICO MVP</x:v>
      </x:c>
      <x:c r="B5" s="49"/>
      <x:c r="D5" s="49" t="str">
        <x:v>CAIXA PRÉ-APORTE</x:v>
      </x:c>
      <x:c r="E5" s="49"/>
      <x:c r="G5" s="49" t="str">
        <x:v>DIFERIDO / FUNDADORES</x:v>
      </x:c>
      <x:c r="H5" s="49"/>
      <x:c r="I5" s="49" t="str">
        <x:v>TELAS / CAPACIDADES</x:v>
      </x:c>
      <x:c r="J5" s="49"/>
    </x:row>
    <x:row r="6">
      <x:c r="A6" s="54" t="n">
        <x:f>'05_Custo_MVP_e_Caixa'!G19</x:f>
        <x:v>241100</x:v>
      </x:c>
      <x:c r="B6" s="49"/>
      <x:c r="D6" s="54" t="n">
        <x:f>'05_Custo_MVP_e_Caixa'!C20</x:f>
        <x:v>30800</x:v>
      </x:c>
      <x:c r="E6" s="49"/>
      <x:c r="G6" s="54" t="n">
        <x:f>'05_Custo_MVP_e_Caixa'!G20</x:f>
        <x:v>210300</x:v>
      </x:c>
      <x:c r="H6" s="49"/>
      <x:c r="I6" s="58" t="n">
        <x:f>COUNTA('02_Escopo_Enxuto'!B6:B17)</x:f>
        <x:v>12</x:v>
      </x:c>
      <x:c r="J6" s="49"/>
    </x:row>
    <x:row r="7">
      <x:c r="A7" s="49"/>
      <x:c r="B7" s="49"/>
      <x:c r="D7" s="49"/>
      <x:c r="E7" s="49"/>
      <x:c r="G7" s="49"/>
      <x:c r="H7" s="49"/>
      <x:c r="I7" s="49"/>
      <x:c r="J7" s="49"/>
    </x:row>
    <x:row r="10">
      <x:c r="A10" s="13" t="str">
        <x:v>Decisão</x:v>
      </x:c>
      <x:c r="B10" s="13" t="str">
        <x:v>MVP</x:v>
      </x:c>
      <x:c r="C10" s="13" t="str">
        <x:v>Não construir agora</x:v>
      </x:c>
      <x:c r="D10" s="13" t="str">
        <x:v>Por quê</x:v>
      </x:c>
      <x:c r="E10" s="13" t="str">
        <x:v>Quando evoluir</x:v>
      </x:c>
      <x:c r="F10" s="13" t="str">
        <x:v>Impacto</x:v>
      </x:c>
    </x:row>
    <x:row r="11">
      <x:c r="A11" s="16" t="str">
        <x:v>Matching</x:v>
      </x:c>
      <x:c r="B11" s="16" t="str">
        <x:v>Regras ponderadas + curadoria</x:v>
      </x:c>
      <x:c r="C11" s="16" t="str">
        <x:v>IA sofisticada</x:v>
      </x:c>
      <x:c r="D11" s="16" t="str">
        <x:v>Primeiro precisamos aprender o que prediz bons matches</x:v>
      </x:c>
      <x:c r="E11" s="16" t="str">
        <x:v>Após volume de resultados</x:v>
      </x:c>
      <x:c r="F11" s="16" t="str">
        <x:v>Menor custo e mais aprendizado</x:v>
      </x:c>
    </x:row>
    <x:row r="12">
      <x:c r="A12" s="16" t="str">
        <x:v>Compradores</x:v>
      </x:c>
      <x:c r="B12" s="16" t="str">
        <x:v>Cadastro assistido</x:v>
      </x:c>
      <x:c r="C12" s="16" t="str">
        <x:v>Portal enterprise completo</x:v>
      </x:c>
      <x:c r="D12" s="16" t="str">
        <x:v>Poucas empresas no piloto</x:v>
      </x:c>
      <x:c r="E12" s="16" t="str">
        <x:v>Escala comercial</x:v>
      </x:c>
      <x:c r="F12" s="16" t="str">
        <x:v>Reduz front/back</x:v>
      </x:c>
    </x:row>
    <x:row r="13">
      <x:c r="A13" s="16" t="str">
        <x:v>Fornecedores</x:v>
      </x:c>
      <x:c r="B13" s="16" t="str">
        <x:v>Cadastro + diagnóstico simples</x:v>
      </x:c>
      <x:c r="C13" s="16" t="str">
        <x:v>Compliance documental completo</x:v>
      </x:c>
      <x:c r="D13" s="16" t="str">
        <x:v>Validar conversão primeiro</x:v>
      </x:c>
      <x:c r="E13" s="16" t="str">
        <x:v>Contratos enterprise</x:v>
      </x:c>
      <x:c r="F13" s="16" t="str">
        <x:v>Foco no negócio</x:v>
      </x:c>
    </x:row>
    <x:row r="14">
      <x:c r="A14" s="16" t="str">
        <x:v>Conexão</x:v>
      </x:c>
      <x:c r="B14" s="16" t="str">
        <x:v>Status e follow-up</x:v>
      </x:c>
      <x:c r="C14" s="16" t="str">
        <x:v>Chat/agenda nativos</x:v>
      </x:c>
      <x:c r="D14" s="16" t="str">
        <x:v>HUB/Sebrae pode operar</x:v>
      </x:c>
      <x:c r="E14" s="16" t="str">
        <x:v>Maior volume</x:v>
      </x:c>
      <x:c r="F14" s="16" t="str">
        <x:v>Evita construir commodity</x:v>
      </x:c>
    </x:row>
    <x:row r="15">
      <x:c r="A15" s="16" t="str">
        <x:v>Impacto</x:v>
      </x:c>
      <x:c r="B15" s="16" t="str">
        <x:v>Dashboard de conversão e R$</x:v>
      </x:c>
      <x:c r="C15" s="16" t="str">
        <x:v>BI totalmente customizável</x:v>
      </x:c>
      <x:c r="D15" s="16" t="str">
        <x:v>KPIs principais bastam para o case</x:v>
      </x:c>
      <x:c r="E15" s="16" t="str">
        <x:v>Novos clientes</x:v>
      </x:c>
      <x:c r="F15" s="16" t="str">
        <x:v>Prova ROI rapidamente</x:v>
      </x:c>
    </x:row>
    <x:row r="18">
      <x:c r="A18" s="67" t="str">
        <x:v>VOLUME DO PILOTO</x:v>
      </x:c>
      <x:c r="B18" s="67" t="str">
        <x:v>Fornecedores</x:v>
      </x:c>
      <x:c r="C18" s="67" t="str">
        <x:v>Compradores</x:v>
      </x:c>
      <x:c r="D18" s="67" t="str">
        <x:v>Demandas estimadas</x:v>
      </x:c>
      <x:c r="E18" s="67" t="str">
        <x:v>Matches estimados</x:v>
      </x:c>
      <x:c r="F18" s="67" t="str">
        <x:v>Negócios estimados*</x:v>
      </x:c>
    </x:row>
    <x:row r="19">
      <x:c r="A19" t="str">
        <x:v>200 usuários</x:v>
      </x:c>
      <x:c r="B19" t="n">
        <x:f>'02A_Volume_200_Usuarios'!B6</x:f>
        <x:v>100</x:v>
      </x:c>
      <x:c r="C19" t="n">
        <x:f>'02A_Volume_200_Usuarios'!B7</x:f>
        <x:v>100</x:v>
      </x:c>
      <x:c r="D19" t="n">
        <x:f>'02A_Volume_200_Usuarios'!H6</x:f>
        <x:v>200</x:v>
      </x:c>
      <x:c r="E19" t="n">
        <x:f>'02A_Volume_200_Usuarios'!H7</x:f>
        <x:v>1000</x:v>
      </x:c>
      <x:c r="F19" t="n">
        <x:f>'02A_Volume_200_Usuarios'!H10</x:f>
        <x:v>21</x:v>
      </x:c>
    </x:row>
    <x:row r="21">
      <x:c r="A21" s="65" t="str">
        <x:v>* Negócios estimados usam taxas editáveis apenas para planejamento de capacidade; não são promessa de resultado do piloto.</x:v>
      </x:c>
      <x:c r="B21" s="65"/>
      <x:c r="C21" s="65"/>
      <x:c r="D21" s="65"/>
      <x:c r="E21" s="65"/>
      <x:c r="F21" s="65"/>
    </x:row>
  </x:sheetData>
  <x:mergeCells>
    <x:mergeCell ref="A1:J2"/>
    <x:mergeCell ref="A3:J3"/>
    <x:mergeCell ref="A5:B5"/>
    <x:mergeCell ref="A6:B7"/>
    <x:mergeCell ref="D5:E5"/>
    <x:mergeCell ref="D6:E7"/>
    <x:mergeCell ref="G5:H5"/>
    <x:mergeCell ref="G6:H7"/>
    <x:mergeCell ref="I5:J5"/>
    <x:mergeCell ref="I6:J7"/>
    <x:mergeCell ref="A21:F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46" hidden="0" customWidth="1"/>
    <x:col min="7" max="7" width="20" hidden="0" customWidth="1"/>
    <x:col min="8" max="8" width="42" hidden="0" customWidth="1"/>
  </x:cols>
  <x:sheetData>
    <x:row r="1">
      <x:c r="A1" s="72" t="str">
        <x:v>DIMENSIONAMENTO DO PILOTO — 100 FORNECEDORES + 100 COMPRADORES</x:v>
      </x:c>
      <x:c r="B1" s="72"/>
      <x:c r="C1" s="72"/>
      <x:c r="D1" s="72"/>
      <x:c r="E1" s="72"/>
      <x:c r="F1" s="72"/>
      <x:c r="G1" s="72"/>
      <x:c r="H1" s="72"/>
    </x:row>
    <x:row r="2">
      <x:c r="A2" s="72"/>
      <x:c r="B2" s="72"/>
      <x:c r="C2" s="72"/>
      <x:c r="D2" s="72"/>
      <x:c r="E2" s="72"/>
      <x:c r="F2" s="72"/>
      <x:c r="G2" s="72"/>
      <x:c r="H2" s="72"/>
    </x:row>
    <x:row r="3">
      <x:c r="A3" s="65" t="str">
        <x:v>O volume de 200 usuários muda principalmente operação, suporte, comunicação, QA e acompanhamento do funil. Para infraestrutura tecnológica, ainda é um piloto pequeno e não exige arquitetura de grande escala.</x:v>
      </x:c>
      <x:c r="B3" s="65"/>
      <x:c r="C3" s="65"/>
      <x:c r="D3" s="65"/>
      <x:c r="E3" s="65"/>
      <x:c r="F3" s="65"/>
      <x:c r="G3" s="65"/>
      <x:c r="H3" s="65"/>
    </x:row>
    <x:row r="4">
      <x:c r="A4" s="16"/>
      <x:c r="B4" s="16"/>
      <x:c r="C4" s="16"/>
      <x:c r="D4" s="16"/>
      <x:c r="E4" s="16"/>
      <x:c r="F4" s="16"/>
      <x:c r="G4" s="16"/>
      <x:c r="H4" s="16"/>
    </x:row>
    <x:row r="5">
      <x:c r="A5" s="73" t="str">
        <x:v>Premissa</x:v>
      </x:c>
      <x:c r="B5" s="73" t="str">
        <x:v>Quantidade</x:v>
      </x:c>
      <x:c r="C5" s="73" t="str">
        <x:v>Unidade</x:v>
      </x:c>
      <x:c r="D5" s="73" t="str">
        <x:v>Editável?</x:v>
      </x:c>
      <x:c r="E5" s="16"/>
      <x:c r="F5" s="73" t="str">
        <x:v>Indicador potencial</x:v>
      </x:c>
      <x:c r="G5" s="73" t="str">
        <x:v>Fórmula</x:v>
      </x:c>
      <x:c r="H5" s="73" t="str">
        <x:v>Volume estimado</x:v>
      </x:c>
    </x:row>
    <x:row r="6">
      <x:c r="A6" s="16" t="str">
        <x:v>Pessoas fornecedoras</x:v>
      </x:c>
      <x:c r="B6" s="74" t="n">
        <x:v>100</x:v>
      </x:c>
      <x:c r="C6" s="16" t="str">
        <x:v>usuários</x:v>
      </x:c>
      <x:c r="D6" s="16" t="str">
        <x:v>Sim</x:v>
      </x:c>
      <x:c r="E6" s="16"/>
      <x:c r="F6" s="16" t="str">
        <x:v>Demandas cadastradas</x:v>
      </x:c>
      <x:c r="G6" s="16" t="str">
        <x:v>compradores × demandas</x:v>
      </x:c>
      <x:c r="H6" s="75" t="n">
        <x:f>B7*B9</x:f>
        <x:v>200</x:v>
      </x:c>
    </x:row>
    <x:row r="7">
      <x:c r="A7" s="16" t="str">
        <x:v>Pessoas compradoras</x:v>
      </x:c>
      <x:c r="B7" s="74" t="n">
        <x:v>100</x:v>
      </x:c>
      <x:c r="C7" s="16" t="str">
        <x:v>usuários</x:v>
      </x:c>
      <x:c r="D7" s="16" t="str">
        <x:v>Sim</x:v>
      </x:c>
      <x:c r="E7" s="16"/>
      <x:c r="F7" s="16" t="str">
        <x:v>Matches apresentados</x:v>
      </x:c>
      <x:c r="G7" s="16" t="str">
        <x:v>demandas × matches</x:v>
      </x:c>
      <x:c r="H7" s="75" t="n">
        <x:f>H6*B10</x:f>
        <x:v>1000</x:v>
      </x:c>
    </x:row>
    <x:row r="8">
      <x:c r="A8" s="16" t="str">
        <x:v>Total de usuários</x:v>
      </x:c>
      <x:c r="B8" s="16" t="n">
        <x:f>B6+B7</x:f>
        <x:v>200</x:v>
      </x:c>
      <x:c r="C8" s="16" t="str">
        <x:v>usuários</x:v>
      </x:c>
      <x:c r="D8" s="16" t="str">
        <x:v>Fórmula</x:v>
      </x:c>
      <x:c r="E8" s="16"/>
      <x:c r="F8" s="16" t="str">
        <x:v>Conexões qualificadas</x:v>
      </x:c>
      <x:c r="G8" s="16" t="str">
        <x:v>matches × taxa conexão</x:v>
      </x:c>
      <x:c r="H8" s="75" t="n">
        <x:f>H7*B11</x:f>
        <x:v>350</x:v>
      </x:c>
    </x:row>
    <x:row r="9">
      <x:c r="A9" s="16" t="str">
        <x:v>Demandas médias por comprador no piloto</x:v>
      </x:c>
      <x:c r="B9" s="74" t="n">
        <x:v>2</x:v>
      </x:c>
      <x:c r="C9" s="16" t="str">
        <x:v>demandas</x:v>
      </x:c>
      <x:c r="D9" s="16" t="str">
        <x:v>Sim</x:v>
      </x:c>
      <x:c r="E9" s="16"/>
      <x:c r="F9" s="16" t="str">
        <x:v>Propostas</x:v>
      </x:c>
      <x:c r="G9" s="16" t="str">
        <x:v>conexões × taxa proposta</x:v>
      </x:c>
      <x:c r="H9" s="75" t="n">
        <x:f>H8*B12</x:f>
        <x:v>105</x:v>
      </x:c>
    </x:row>
    <x:row r="10">
      <x:c r="A10" s="16" t="str">
        <x:v>Matches médios exibidos por demanda</x:v>
      </x:c>
      <x:c r="B10" s="74" t="n">
        <x:v>5</x:v>
      </x:c>
      <x:c r="C10" s="16" t="str">
        <x:v>matches</x:v>
      </x:c>
      <x:c r="D10" s="16" t="str">
        <x:v>Sim</x:v>
      </x:c>
      <x:c r="E10" s="16"/>
      <x:c r="F10" s="16" t="str">
        <x:v>Negócios fechados</x:v>
      </x:c>
      <x:c r="G10" s="16" t="str">
        <x:v>propostas × taxa fechamento</x:v>
      </x:c>
      <x:c r="H10" s="75" t="n">
        <x:f>H9*B13</x:f>
        <x:v>21</x:v>
      </x:c>
    </x:row>
    <x:row r="11">
      <x:c r="A11" s="16" t="str">
        <x:v>Taxa de conexão estimada</x:v>
      </x:c>
      <x:c r="B11" s="76" t="n">
        <x:v>0.35</x:v>
      </x:c>
      <x:c r="C11" s="16" t="str">
        <x:v>% dos matches</x:v>
      </x:c>
      <x:c r="D11" s="16" t="str">
        <x:v>Sim</x:v>
      </x:c>
      <x:c r="E11" s="16"/>
      <x:c r="F11" s="16"/>
      <x:c r="G11" s="16"/>
      <x:c r="H11" s="16"/>
    </x:row>
    <x:row r="12">
      <x:c r="A12" s="16" t="str">
        <x:v>Taxa de proposta estimada</x:v>
      </x:c>
      <x:c r="B12" s="76" t="n">
        <x:v>0.3</x:v>
      </x:c>
      <x:c r="C12" s="16" t="str">
        <x:v>% das conexões</x:v>
      </x:c>
      <x:c r="D12" s="16" t="str">
        <x:v>Sim</x:v>
      </x:c>
      <x:c r="E12" s="16"/>
      <x:c r="F12" s="16"/>
      <x:c r="G12" s="16"/>
      <x:c r="H12" s="16"/>
    </x:row>
    <x:row r="13">
      <x:c r="A13" s="16" t="str">
        <x:v>Taxa de fechamento estimada</x:v>
      </x:c>
      <x:c r="B13" s="76" t="n">
        <x:v>0.2</x:v>
      </x:c>
      <x:c r="C13" s="16" t="str">
        <x:v>% das propostas</x:v>
      </x:c>
      <x:c r="D13" s="16" t="str">
        <x:v>Sim</x:v>
      </x:c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  <x:row r="15">
      <x:c r="A15" s="16"/>
      <x:c r="B15" s="16"/>
      <x:c r="C15" s="16"/>
      <x:c r="D15" s="16"/>
      <x:c r="E15" s="16"/>
      <x:c r="F15" s="16"/>
      <x:c r="G15" s="16"/>
      <x:c r="H15" s="16"/>
    </x:row>
    <x:row r="16">
      <x:c r="A16" s="73" t="str">
        <x:v>Impacto operacional</x:v>
      </x:c>
      <x:c r="B16" s="73" t="str">
        <x:v>Base anterior</x:v>
      </x:c>
      <x:c r="C16" s="73" t="str">
        <x:v>Ajuste para 200 usuários</x:v>
      </x:c>
      <x:c r="D16" s="73" t="str">
        <x:v>Novo valor</x:v>
      </x:c>
      <x:c r="E16" s="73" t="str">
        <x:v>Tipo</x:v>
      </x:c>
      <x:c r="F16" s="73" t="str">
        <x:v>Por quê</x:v>
      </x:c>
      <x:c r="G16" s="73" t="str">
        <x:v>Pode reduzir?</x:v>
      </x:c>
      <x:c r="H16" s="73" t="str">
        <x:v>Observação</x:v>
      </x:c>
    </x:row>
    <x:row r="17">
      <x:c r="A17" s="16" t="str">
        <x:v>Paulo Fábio — horas</x:v>
      </x:c>
      <x:c r="B17" s="16" t="n">
        <x:v>150</x:v>
      </x:c>
      <x:c r="C17" s="74" t="n">
        <x:v>210</x:v>
      </x:c>
      <x:c r="D17" s="16" t="n">
        <x:f>C17</x:f>
        <x:v>210</x:v>
      </x:c>
      <x:c r="E17" s="16" t="str">
        <x:v>Mão de obra</x:v>
      </x:c>
      <x:c r="F17" s="16" t="str">
        <x:v>Curadoria, follow-up e planos de desenvolvimento</x:v>
      </x:c>
      <x:c r="G17" s="16" t="str">
        <x:v>Sim</x:v>
      </x:c>
      <x:c r="H17" s="16" t="str">
        <x:v>Depende do apoio operacional do Sebrae</x:v>
      </x:c>
    </x:row>
    <x:row r="18">
      <x:c r="A18" s="16" t="str">
        <x:v>Pedro — horas</x:v>
      </x:c>
      <x:c r="B18" s="16" t="n">
        <x:v>120</x:v>
      </x:c>
      <x:c r="C18" s="74" t="n">
        <x:v>170</x:v>
      </x:c>
      <x:c r="D18" s="16" t="n">
        <x:f>C18</x:f>
        <x:v>170</x:v>
      </x:c>
      <x:c r="E18" s="16" t="str">
        <x:v>Mão de obra</x:v>
      </x:c>
      <x:c r="F18" s="16" t="str">
        <x:v>Comunicação, engajamento e acompanhamento</x:v>
      </x:c>
      <x:c r="G18" s="16" t="str">
        <x:v>Sim</x:v>
      </x:c>
      <x:c r="H18" s="16" t="str">
        <x:v>Pode compartilhar execução com Sebrae</x:v>
      </x:c>
    </x:row>
    <x:row r="19">
      <x:c r="A19" s="16" t="str">
        <x:v>QA — horas</x:v>
      </x:c>
      <x:c r="B19" s="16" t="n">
        <x:v>55</x:v>
      </x:c>
      <x:c r="C19" s="74" t="n">
        <x:v>70</x:v>
      </x:c>
      <x:c r="D19" s="16" t="n">
        <x:f>C19</x:f>
        <x:v>70</x:v>
      </x:c>
      <x:c r="E19" s="16" t="str">
        <x:v>Mão de obra</x:v>
      </x:c>
      <x:c r="F19" s="16" t="str">
        <x:v>Mais perfis e jornadas para testar</x:v>
      </x:c>
      <x:c r="G19" s="16" t="str">
        <x:v>Pouco</x:v>
      </x:c>
      <x:c r="H19" s="16" t="str">
        <x:v>200 usuários ainda é volume controlado</x:v>
      </x:c>
    </x:row>
    <x:row r="20">
      <x:c r="A20" s="16" t="str">
        <x:v>Cloud / banco / mês</x:v>
      </x:c>
      <x:c r="B20" s="38" t="n">
        <x:v>1600</x:v>
      </x:c>
      <x:c r="C20" s="77" t="n">
        <x:v>1900</x:v>
      </x:c>
      <x:c r="D20" s="38" t="n">
        <x:f>C20</x:f>
        <x:v>1900</x:v>
      </x:c>
      <x:c r="E20" s="16" t="str">
        <x:v>OPEX</x:v>
      </x:c>
      <x:c r="F20" s="16" t="str">
        <x:v>Mais perfis, logs e atividade</x:v>
      </x:c>
      <x:c r="G20" s="16" t="str">
        <x:v>Sim</x:v>
      </x:c>
      <x:c r="H20" s="16" t="str">
        <x:v>Ainda é piloto pequeno</x:v>
      </x:c>
    </x:row>
    <x:row r="21">
      <x:c r="A21" s="16" t="str">
        <x:v>Ferramentas / mês</x:v>
      </x:c>
      <x:c r="B21" s="38" t="n">
        <x:v>600</x:v>
      </x:c>
      <x:c r="C21" s="77" t="n">
        <x:v>750</x:v>
      </x:c>
      <x:c r="D21" s="38" t="n">
        <x:f>C21</x:f>
        <x:v>750</x:v>
      </x:c>
      <x:c r="E21" s="16" t="str">
        <x:v>OPEX</x:v>
      </x:c>
      <x:c r="F21" s="16" t="str">
        <x:v>Comunicação/analytics</x:v>
      </x:c>
      <x:c r="G21" s="16" t="str">
        <x:v>Sim</x:v>
      </x:c>
      <x:c r="H21" s="16" t="str">
        <x:v>Depende das ferramentas escolhidas</x:v>
      </x:c>
    </x:row>
    <x:row r="22">
      <x:c r="A22" s="16" t="str">
        <x:v>E-mail/notificações / mês</x:v>
      </x:c>
      <x:c r="B22" s="38" t="n">
        <x:v>500</x:v>
      </x:c>
      <x:c r="C22" s="77" t="n">
        <x:v>650</x:v>
      </x:c>
      <x:c r="D22" s="38" t="n">
        <x:f>C22</x:f>
        <x:v>650</x:v>
      </x:c>
      <x:c r="E22" s="16" t="str">
        <x:v>OPEX</x:v>
      </x:c>
      <x:c r="F22" s="16" t="str">
        <x:v>200 usuários + mensagens transacionais</x:v>
      </x:c>
      <x:c r="G22" s="16" t="str">
        <x:v>Sim</x:v>
      </x:c>
      <x:c r="H22" s="16" t="str">
        <x:v>Uso moderado</x:v>
      </x:c>
    </x:row>
    <x:row r="23">
      <x:c r="A23" s="16" t="str">
        <x:v>Reserva matching / mês</x:v>
      </x:c>
      <x:c r="B23" s="38" t="n">
        <x:v>900</x:v>
      </x:c>
      <x:c r="C23" s="77" t="n">
        <x:v>1100</x:v>
      </x:c>
      <x:c r="D23" s="38" t="n">
        <x:f>C23</x:f>
        <x:v>1100</x:v>
      </x:c>
      <x:c r="E23" s="16" t="str">
        <x:v>OPEX</x:v>
      </x:c>
      <x:c r="F23" s="16" t="str">
        <x:v>Mais execuções de matching</x:v>
      </x:c>
      <x:c r="G23" s="16" t="str">
        <x:v>Sim</x:v>
      </x:c>
      <x:c r="H23" s="16" t="str">
        <x:v>Regras ponderadas são baratas</x:v>
      </x:c>
    </x:row>
    <x:row r="24">
      <x:c r="A24" s="16"/>
      <x:c r="B24" s="16"/>
      <x:c r="C24" s="16"/>
      <x:c r="D24" s="16"/>
      <x:c r="E24" s="16"/>
      <x:c r="F24" s="16"/>
      <x:c r="G24" s="16"/>
      <x:c r="H24" s="16"/>
    </x:row>
    <x:row r="25">
      <x:c r="A25" s="16"/>
      <x:c r="B25" s="16"/>
      <x:c r="C25" s="16"/>
      <x:c r="D25" s="16"/>
      <x:c r="E25" s="16"/>
      <x:c r="F25" s="16"/>
      <x:c r="G25" s="16"/>
      <x:c r="H25" s="16"/>
    </x:row>
  </x:sheetData>
  <x:mergeCells>
    <x:mergeCell ref="A1:H2"/>
    <x:mergeCell ref="A3:H3"/>
  </x:mergeCells>
  <x:pageMargins left="0.7" right="0.7" top="0.75" bottom="0.75" header="0.3" footer="0.3"/>
</x:worksheet>
</file>