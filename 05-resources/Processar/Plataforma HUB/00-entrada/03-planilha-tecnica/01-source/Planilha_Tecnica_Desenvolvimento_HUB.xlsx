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LEIA-ME" sheetId="1" state="visible" r:id="rId1"/>
    <sheet xmlns:r="http://schemas.openxmlformats.org/officeDocument/2006/relationships" name="01_PAINEL" sheetId="2" state="visible" r:id="rId2"/>
    <sheet xmlns:r="http://schemas.openxmlformats.org/officeDocument/2006/relationships" name="02_MODULOS" sheetId="3" state="visible" r:id="rId3"/>
    <sheet xmlns:r="http://schemas.openxmlformats.org/officeDocument/2006/relationships" name="03_PERFIS" sheetId="4" state="visible" r:id="rId4"/>
    <sheet xmlns:r="http://schemas.openxmlformats.org/officeDocument/2006/relationships" name="04_FONTES_DADOS" sheetId="5" state="visible" r:id="rId5"/>
    <sheet xmlns:r="http://schemas.openxmlformats.org/officeDocument/2006/relationships" name="05_DICIONARIO" sheetId="6" state="visible" r:id="rId6"/>
    <sheet xmlns:r="http://schemas.openxmlformats.org/officeDocument/2006/relationships" name="06_KPIS" sheetId="7" state="visible" r:id="rId7"/>
    <sheet xmlns:r="http://schemas.openxmlformats.org/officeDocument/2006/relationships" name="07_RELACOES" sheetId="8" state="visible" r:id="rId8"/>
    <sheet xmlns:r="http://schemas.openxmlformats.org/officeDocument/2006/relationships" name="08_INTEGRACOES" sheetId="9" state="visible" r:id="rId9"/>
    <sheet xmlns:r="http://schemas.openxmlformats.org/officeDocument/2006/relationships" name="09_REGRAS_ALERTAS" sheetId="10" state="visible" r:id="rId10"/>
    <sheet xmlns:r="http://schemas.openxmlformats.org/officeDocument/2006/relationships" name="10_TELAS_OUTPUTS" sheetId="11" state="visible" r:id="rId11"/>
    <sheet xmlns:r="http://schemas.openxmlformats.org/officeDocument/2006/relationships" name="11_SEGURANCA_LGPD" sheetId="12" state="visible" r:id="rId12"/>
    <sheet xmlns:r="http://schemas.openxmlformats.org/officeDocument/2006/relationships" name="12_BACKLOG" sheetId="13" state="visible" r:id="rId13"/>
    <sheet xmlns:r="http://schemas.openxmlformats.org/officeDocument/2006/relationships" name="13_PILOTO_MONKS" sheetId="14" state="visible" r:id="rId14"/>
    <sheet xmlns:r="http://schemas.openxmlformats.org/officeDocument/2006/relationships" name="14_ROI_HUB" sheetId="15" state="visible" r:id="rId15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"/>
  </numFmts>
  <fonts count="13">
    <font>
      <name val="Carlito"/>
      <sz val="11"/>
    </font>
    <font>
      <name val="Carlito"/>
      <b val="1"/>
      <color rgb="FFFFFFFF"/>
      <sz val="18"/>
    </font>
    <font>
      <name val="Carlito"/>
      <i val="1"/>
      <color rgb="FFFFFFFF"/>
      <sz val="10"/>
    </font>
    <font>
      <name val="Carlito"/>
      <b val="1"/>
      <color rgb="FFFFFFFF"/>
      <sz val="11"/>
    </font>
    <font>
      <name val="Carlito"/>
      <color rgb="FF17324D"/>
      <sz val="9"/>
    </font>
    <font>
      <name val="Carlito"/>
      <color rgb="FF0066CC"/>
      <sz val="9"/>
    </font>
    <font>
      <name val="Carlito"/>
      <b val="1"/>
      <color rgb="FFFFFFFF"/>
      <sz val="20"/>
    </font>
    <font>
      <name val="Carlito"/>
      <i val="1"/>
      <color rgb="FFFFFFFF"/>
      <sz val="11"/>
    </font>
    <font>
      <name val="Carlito"/>
      <b val="1"/>
      <color rgb="FF002B49"/>
      <sz val="11"/>
    </font>
    <font>
      <name val="Carlito"/>
      <color rgb="FF17324D"/>
      <sz val="10"/>
    </font>
    <font>
      <name val="Carlito"/>
      <b val="1"/>
      <color rgb="FF17324D"/>
      <sz val="11"/>
    </font>
    <font>
      <name val="Carlito"/>
      <b val="1"/>
      <color rgb="FF17324D"/>
      <sz val="10"/>
    </font>
    <font>
      <name val="Carlito"/>
      <i val="1"/>
      <color rgb="FF17324D"/>
      <sz val="10"/>
    </font>
  </fonts>
  <fills count="8">
    <fill>
      <patternFill/>
    </fill>
    <fill>
      <patternFill patternType="gray125"/>
    </fill>
    <fill>
      <patternFill patternType="solid">
        <fgColor rgb="FF002B49"/>
      </patternFill>
    </fill>
    <fill>
      <patternFill patternType="solid">
        <fgColor rgb="FF008E8A"/>
      </patternFill>
    </fill>
    <fill>
      <patternFill patternType="solid">
        <fgColor rgb="FFF36C21"/>
      </patternFill>
    </fill>
    <fill>
      <patternFill patternType="solid">
        <fgColor rgb="FFF3F7F7"/>
      </patternFill>
    </fill>
    <fill>
      <patternFill patternType="solid">
        <fgColor rgb="FF6D4AA2"/>
      </patternFill>
    </fill>
    <fill>
      <patternFill patternType="solid">
        <fgColor rgb="FFFFFFFF"/>
      </patternFill>
    </fill>
  </fills>
  <borders count="5">
    <border/>
    <border>
      <bottom style="thin">
        <color rgb="FFD7E5E5"/>
      </bottom>
    </border>
    <border>
      <top style="thin">
        <color rgb="FFD7E5E5"/>
      </top>
      <bottom style="thin">
        <color rgb="FFD7E5E5"/>
      </bottom>
    </border>
    <border>
      <top style="thin">
        <color rgb="FFD7E5E5"/>
      </top>
    </border>
    <border>
      <bottom style="thin">
        <color rgb="FFD9D9D9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4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0" borderId="3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4" fillId="0" borderId="2" applyAlignment="1" pivotButton="0" quotePrefix="0" xfId="0">
      <alignment vertical="top" wrapText="1"/>
    </xf>
    <xf numFmtId="165" fontId="4" fillId="0" borderId="3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0" borderId="2" applyAlignment="1" pivotButton="0" quotePrefix="0" xfId="0">
      <alignment vertical="top" wrapText="1"/>
    </xf>
    <xf numFmtId="165" fontId="5" fillId="0" borderId="3" applyAlignment="1" pivotButton="0" quotePrefix="0" xfId="0">
      <alignment vertical="top" wrapText="1"/>
    </xf>
    <xf numFmtId="0" fontId="3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0" fillId="5" borderId="0" pivotButton="0" quotePrefix="0" xfId="0"/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6" borderId="0" pivotButton="0" quotePrefix="0" xfId="0"/>
    <xf numFmtId="0" fontId="3" fillId="6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2" borderId="2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0" fillId="5" borderId="2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pivotButton="0" quotePrefix="0" xfId="0"/>
    <xf numFmtId="0" fontId="0" fillId="7" borderId="3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164" fontId="0" fillId="0" borderId="0" pivotButton="0" quotePrefix="0" xfId="0"/>
    <xf numFmtId="164" fontId="4" fillId="0" borderId="1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0" borderId="3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0" borderId="2" applyAlignment="1" pivotButton="0" quotePrefix="0" xfId="0">
      <alignment vertical="top" wrapText="1"/>
    </xf>
    <xf numFmtId="165" fontId="5" fillId="0" borderId="3" applyAlignment="1" pivotButton="0" quotePrefix="0" xfId="0">
      <alignment vertical="top" wrapText="1"/>
    </xf>
    <xf numFmtId="165" fontId="0" fillId="0" borderId="0" pivotButton="0" quotePrefix="0" xfId="0"/>
    <xf numFmtId="0" fontId="9" fillId="0" borderId="4" applyAlignment="1" pivotButton="0" quotePrefix="0" xfId="0">
      <alignment vertical="top" wrapText="1"/>
    </xf>
    <xf numFmtId="165" fontId="9" fillId="0" borderId="4" applyAlignment="1" pivotButton="0" quotePrefix="0" xfId="0">
      <alignment vertical="top" wrapText="1"/>
    </xf>
    <xf numFmtId="0" fontId="10" fillId="2" borderId="0" applyAlignment="1" pivotButton="0" quotePrefix="0" xfId="0">
      <alignment horizontal="left" vertical="center"/>
    </xf>
    <xf numFmtId="0" fontId="11" fillId="0" borderId="4" applyAlignment="1" pivotButton="0" quotePrefix="0" xfId="0">
      <alignment vertical="top" wrapText="1"/>
    </xf>
    <xf numFmtId="165" fontId="9" fillId="0" borderId="4" applyAlignment="1" pivotButton="0" quotePrefix="0" xfId="0">
      <alignment horizontal="right" vertical="top"/>
    </xf>
    <xf numFmtId="164" fontId="11" fillId="0" borderId="4" applyAlignment="1" pivotButton="0" quotePrefix="0" xfId="0">
      <alignment horizontal="right" vertical="top"/>
    </xf>
    <xf numFmtId="0" fontId="12" fillId="0" borderId="4" applyAlignment="1" pivotButton="0" quotePrefix="0" xfId="0">
      <alignment horizontal="center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02MODULOSTable" displayName="02MODULOSTable" ref="A4:K12" headerRowCount="1" totalsRowCount="0" totalsRowShown="0">
  <autoFilter ref="A4:K12"/>
  <tableColumns count="11">
    <tableColumn id="1" name="ID"/>
    <tableColumn id="2" name="Domínio"/>
    <tableColumn id="3" name="Módulo"/>
    <tableColumn id="4" name="Objetivo"/>
    <tableColumn id="5" name="Usuários"/>
    <tableColumn id="6" name="Inputs"/>
    <tableColumn id="7" name="Outputs"/>
    <tableColumn id="8" name="Motor de dados"/>
    <tableColumn id="9" name="Plataforma completa"/>
    <tableColumn id="10" name="Fase"/>
    <tableColumn id="11" name="Prior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3PERFISTable" displayName="03PERFISTable" ref="A4:I16" headerRowCount="1" totalsRowCount="0" totalsRowShown="0">
  <autoFilter ref="A4:I16"/>
  <tableColumns count="9">
    <tableColumn id="1" name="ID"/>
    <tableColumn id="2" name="Domínio"/>
    <tableColumn id="3" name="Perfil"/>
    <tableColumn id="4" name="Objetivo"/>
    <tableColumn id="5" name="Fornece"/>
    <tableColumn id="6" name="Visualiza"/>
    <tableColumn id="7" name="Ações"/>
    <tableColumn id="8" name="Restrições"/>
    <tableColumn id="9" name="Fa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4FONTESDADOSTable" displayName="04FONTESDADOSTable" ref="A4:M16" headerRowCount="1" totalsRowCount="0" totalsRowShown="0">
  <autoFilter ref="A4:M16"/>
  <tableColumns count="13">
    <tableColumn id="1" name="ID"/>
    <tableColumn id="2" name="Domínio"/>
    <tableColumn id="3" name="Fonte"/>
    <tableColumn id="4" name="Dados"/>
    <tableColumn id="5" name="Campos-chave"/>
    <tableColumn id="6" name="Chaves de conexão"/>
    <tableColumn id="7" name="Cadência"/>
    <tableColumn id="8" name="Método"/>
    <tableColumn id="9" name="Dono"/>
    <tableColumn id="10" name="Sensibilidade"/>
    <tableColumn id="11" name="Qualidade"/>
    <tableColumn id="12" name="Retenção"/>
    <tableColumn id="13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5DICIONARIOTable" displayName="05DICIONARIOTable" ref="A4:N27" headerRowCount="1" totalsRowCount="0" totalsRowShown="0">
  <autoFilter ref="A4:N27"/>
  <tableColumns count="14">
    <tableColumn id="1" name="ID"/>
    <tableColumn id="2" name="Entidade"/>
    <tableColumn id="3" name="Campo"/>
    <tableColumn id="4" name="Descrição"/>
    <tableColumn id="5" name="Tipo"/>
    <tableColumn id="6" name="Obrigatório"/>
    <tableColumn id="7" name="Exemplo"/>
    <tableColumn id="8" name="Fonte"/>
    <tableColumn id="9" name="Transformação"/>
    <tableColumn id="10" name="Relacionamento"/>
    <tableColumn id="11" name="Sensibilidade"/>
    <tableColumn id="12" name="Visibilidade"/>
    <tableColumn id="13" name="Validação"/>
    <tableColumn id="14" name="Cadê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6KPISTable" displayName="06KPISTable" ref="A4:O20" headerRowCount="1" totalsRowCount="0" totalsRowShown="0">
  <autoFilter ref="A4:O20"/>
  <tableColumns count="15">
    <tableColumn id="1" name="ID"/>
    <tableColumn id="2" name="Domínio"/>
    <tableColumn id="3" name="KPI"/>
    <tableColumn id="4" name="Pergunta"/>
    <tableColumn id="5" name="Fórmula funcional"/>
    <tableColumn id="6" name="Unidade"/>
    <tableColumn id="7" name="Granularidade"/>
    <tableColumn id="8" name="Cadência"/>
    <tableColumn id="9" name="Fonte"/>
    <tableColumn id="10" name="Meta"/>
    <tableColumn id="11" name="Alerta"/>
    <tableColumn id="12" name="Direção"/>
    <tableColumn id="13" name="Dono"/>
    <tableColumn id="14" name="Ligação financeira"/>
    <tableColumn id="15" name="Governanç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7RELACOESTable" displayName="07RELACOESTable" ref="A4:L13" headerRowCount="1" totalsRowCount="0" totalsRowShown="0">
  <autoFilter ref="A4:L13"/>
  <tableColumns count="12">
    <tableColumn id="1" name="ID"/>
    <tableColumn id="2" name="Sinal"/>
    <tableColumn id="3" name="Mediador"/>
    <tableColumn id="4" name="Resultado"/>
    <tableColumn id="5" name="Relação"/>
    <tableColumn id="6" name="Hipótese"/>
    <tableColumn id="7" name="Janela"/>
    <tableColumn id="8" name="Controles"/>
    <tableColumn id="9" name="Validação"/>
    <tableColumn id="10" name="Ação"/>
    <tableColumn id="11" name="Risco de viés"/>
    <tableColumn id="12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8INTEGRACOESTable" displayName="08INTEGRACOESTable" ref="A4:O12" headerRowCount="1" totalsRowCount="0" totalsRowShown="0">
  <autoFilter ref="A4:O12"/>
  <tableColumns count="15">
    <tableColumn id="1" name="ID"/>
    <tableColumn id="2" name="Sistema"/>
    <tableColumn id="3" name="Objeto"/>
    <tableColumn id="4" name="Direção"/>
    <tableColumn id="5" name="Método"/>
    <tableColumn id="6" name="Frequência"/>
    <tableColumn id="7" name="Chave"/>
    <tableColumn id="8" name="Campos mínimos"/>
    <tableColumn id="9" name="Autenticação"/>
    <tableColumn id="10" name="Erro/Reprocessamento"/>
    <tableColumn id="11" name="SLA"/>
    <tableColumn id="12" name="Histórico"/>
    <tableColumn id="13" name="Dono"/>
    <tableColumn id="14" name="Prioridade"/>
    <tableColumn id="15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9REGRASALERTASTable" displayName="09REGRASALERTASTable" ref="A4:M12" headerRowCount="1" totalsRowCount="0" totalsRowShown="0">
  <autoFilter ref="A4:M12"/>
  <tableColumns count="13">
    <tableColumn id="1" name="ID"/>
    <tableColumn id="2" name="Regra"/>
    <tableColumn id="3" name="Condição"/>
    <tableColumn id="4" name="Janela"/>
    <tableColumn id="5" name="Condições adicionais"/>
    <tableColumn id="6" name="Severidade"/>
    <tableColumn id="7" name="Destinatário"/>
    <tableColumn id="8" name="Saída"/>
    <tableColumn id="9" name="Recomendação"/>
    <tableColumn id="10" name="SLA"/>
    <tableColumn id="11" name="Escalonamento/Supressão"/>
    <tableColumn id="12" name="Explicação"/>
    <tableColumn id="13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10TELASOUTPUTSTable" displayName="10TELASOUTPUTSTable" ref="A4:L13" headerRowCount="1" totalsRowCount="0" totalsRowShown="0">
  <autoFilter ref="A4:L13"/>
  <tableColumns count="12">
    <tableColumn id="1" name="ID"/>
    <tableColumn id="2" name="Tela/Output"/>
    <tableColumn id="3" name="Perfil"/>
    <tableColumn id="4" name="Objetivo"/>
    <tableColumn id="5" name="Componentes"/>
    <tableColumn id="6" name="Filtros"/>
    <tableColumn id="7" name="Ações"/>
    <tableColumn id="8" name="Dados/KPIs"/>
    <tableColumn id="9" name="Erro/Vazio"/>
    <tableColumn id="10" name="Fase"/>
    <tableColumn id="11" name="Prioridade"/>
    <tableColumn id="12" name="Acei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1SEGURANCALGPDTable" displayName="11SEGURANCALGPDTable" ref="A4:I16" headerRowCount="1" totalsRowCount="0" totalsRowShown="0">
  <autoFilter ref="A4:I16"/>
  <tableColumns count="9">
    <tableColumn id="1" name="ID"/>
    <tableColumn id="2" name="Tema"/>
    <tableColumn id="3" name="Requisito"/>
    <tableColumn id="4" name="Aplicação"/>
    <tableColumn id="5" name="Responsável"/>
    <tableColumn id="6" name="Evidência"/>
    <tableColumn id="7" name="Fase"/>
    <tableColumn id="8" name="Prioridade"/>
    <tableColumn id="9" name="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2BACKLOGTable" displayName="12BACKLOGTable" ref="A4:O24" headerRowCount="1" totalsRowCount="0" totalsRowShown="0">
  <autoFilter ref="A4:O24"/>
  <tableColumns count="15">
    <tableColumn id="1" name="ID"/>
    <tableColumn id="2" name="Épico"/>
    <tableColumn id="3" name="Requisito"/>
    <tableColumn id="4" name="Como"/>
    <tableColumn id="5" name="Quero"/>
    <tableColumn id="6" name="Para"/>
    <tableColumn id="7" name="Aceite resumido"/>
    <tableColumn id="8" name="Dependências"/>
    <tableColumn id="9" name="Fase"/>
    <tableColumn id="10" name="Prioridade"/>
    <tableColumn id="11" name="Esforço"/>
    <tableColumn id="12" name="Responsável"/>
    <tableColumn id="13" name="Sprint"/>
    <tableColumn id="14" name="Status"/>
    <tableColumn id="15" name="Observaçõ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3PILOTOMONKSTable" displayName="13PILOTOMONKSTable" ref="A4:N9" headerRowCount="1" totalsRowCount="0" totalsRowShown="0">
  <autoFilter ref="A4:N9"/>
  <tableColumns count="14">
    <tableColumn id="1" name="ID"/>
    <tableColumn id="2" name="Frente"/>
    <tableColumn id="3" name="Hipótese/Entrega"/>
    <tableColumn id="4" name="Dados"/>
    <tableColumn id="5" name="Sucesso"/>
    <tableColumn id="6" name="Baseline"/>
    <tableColumn id="7" name="Meta"/>
    <tableColumn id="8" name="Método"/>
    <tableColumn id="9" name="Dono cliente"/>
    <tableColumn id="10" name="Dono HUB"/>
    <tableColumn id="11" name="Prazo"/>
    <tableColumn id="12" name="Dependência"/>
    <tableColumn id="13" name="Status"/>
    <tableColumn id="14" name="Saí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4ROIHUBTable" displayName="14ROIHUBTable" ref="A4:H12" headerRowCount="1" totalsRowCount="0" totalsRowShown="0">
  <autoFilter ref="A4:H12"/>
  <tableColumns count="8">
    <tableColumn id="1" name="Categoria"/>
    <tableColumn id="2" name="Item"/>
    <tableColumn id="3" name="Premissa"/>
    <tableColumn id="4" name="Estimado (R$)"/>
    <tableColumn id="5" name="Realizado validado (R$)"/>
    <tableColumn id="6" name="Evidência"/>
    <tableColumn id="7" name="Responsável"/>
    <tableColumn id="8" name="Valid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  <col width="4" customWidth="1" min="3" max="3"/>
    <col width="28" customWidth="1" min="4" max="4"/>
    <col width="42" customWidth="1" min="5" max="5"/>
  </cols>
  <sheetData>
    <row r="1">
      <c r="A1" s="31" t="inlineStr">
        <is>
          <t>HUB — PLANILHA TÉCNICA PARA DESENVOLVIMENTO</t>
        </is>
      </c>
    </row>
    <row r="2"/>
    <row r="3">
      <c r="A3" s="32" t="inlineStr">
        <is>
          <t>Versão completa e prática | Produto, dados, tecnologia, RH, financeiro e piloto Monks</t>
        </is>
      </c>
    </row>
    <row r="5">
      <c r="A5" s="8" t="inlineStr">
        <is>
          <t>Campo</t>
        </is>
      </c>
      <c r="B5" s="8" t="inlineStr">
        <is>
          <t>Conteúdo</t>
        </is>
      </c>
      <c r="D5" s="38" t="inlineStr">
        <is>
          <t>MAPA DAS ABAS</t>
        </is>
      </c>
    </row>
    <row r="6">
      <c r="A6" s="35" t="inlineStr">
        <is>
          <t>Objetivo</t>
        </is>
      </c>
      <c r="B6" s="36" t="inlineStr">
        <is>
          <t>Traduzir a inteligência HUB em requisitos rastreáveis para arquitetura, desenvolvimento e validação.</t>
        </is>
      </c>
      <c r="D6" s="42" t="inlineStr">
        <is>
          <t>00_LEIA-ME</t>
        </is>
      </c>
      <c r="E6" s="42" t="inlineStr">
        <is>
          <t>Orientação</t>
        </is>
      </c>
    </row>
    <row r="7">
      <c r="A7" s="35" t="inlineStr">
        <is>
          <t>Escopo</t>
        </is>
      </c>
      <c r="B7" s="36" t="inlineStr">
        <is>
          <t>Motor de dados + opção de plataforma completa de performance, pessoas, negócio, fornecedores, acadêmico e comunidades.</t>
        </is>
      </c>
      <c r="D7" s="43" t="inlineStr">
        <is>
          <t>01_PAINEL</t>
        </is>
      </c>
      <c r="E7" s="43" t="inlineStr">
        <is>
          <t>Resumo automático</t>
        </is>
      </c>
    </row>
    <row r="8">
      <c r="A8" s="35" t="inlineStr">
        <is>
          <t>Uso</t>
        </is>
      </c>
      <c r="B8" s="36" t="inlineStr">
        <is>
          <t>Refinar com o desenvolvedor; preservar IDs; atualizar status, responsáveis, sprints e decisões.</t>
        </is>
      </c>
      <c r="D8" s="43" t="inlineStr">
        <is>
          <t>02_MODULOS</t>
        </is>
      </c>
      <c r="E8" s="43" t="inlineStr">
        <is>
          <t>Arquitetura funcional</t>
        </is>
      </c>
    </row>
    <row r="9">
      <c r="A9" s="35" t="inlineStr">
        <is>
          <t>Prioridade</t>
        </is>
      </c>
      <c r="B9" s="36" t="inlineStr">
        <is>
          <t>Monks: performance×receita; alocação×margem; liderança×performance; qualidade KPI; ROI HUB.</t>
        </is>
      </c>
      <c r="D9" s="43" t="inlineStr">
        <is>
          <t>03_PERFIS</t>
        </is>
      </c>
      <c r="E9" s="43" t="inlineStr">
        <is>
          <t>Usuários e acessos</t>
        </is>
      </c>
    </row>
    <row r="10">
      <c r="A10" s="35" t="inlineStr">
        <is>
          <t>Valores</t>
        </is>
      </c>
      <c r="B10" s="36" t="inlineStr">
        <is>
          <t>Metas e números ilustrativos devem ser validados com o cliente.</t>
        </is>
      </c>
      <c r="D10" s="43" t="inlineStr">
        <is>
          <t>04_FONTES_DADOS</t>
        </is>
      </c>
      <c r="E10" s="43" t="inlineStr">
        <is>
          <t>Sistemas</t>
        </is>
      </c>
    </row>
    <row r="11">
      <c r="A11" s="35" t="inlineStr">
        <is>
          <t>Regra central</t>
        </is>
      </c>
      <c r="B11" s="36" t="inlineStr">
        <is>
          <t>Correlação não implica causalidade. Recomendação relevante exige explicação, revisão humana e auditoria.</t>
        </is>
      </c>
      <c r="D11" s="43" t="inlineStr">
        <is>
          <t>05_DICIONARIO</t>
        </is>
      </c>
      <c r="E11" s="43" t="inlineStr">
        <is>
          <t>Contrato de dados</t>
        </is>
      </c>
    </row>
    <row r="12">
      <c r="D12" s="43" t="inlineStr">
        <is>
          <t>06_KPIS</t>
        </is>
      </c>
      <c r="E12" s="43" t="inlineStr">
        <is>
          <t>Definições</t>
        </is>
      </c>
    </row>
    <row r="13">
      <c r="D13" s="43" t="inlineStr">
        <is>
          <t>07_RELACOES</t>
        </is>
      </c>
      <c r="E13" s="43" t="inlineStr">
        <is>
          <t>Hipóteses</t>
        </is>
      </c>
    </row>
    <row r="14">
      <c r="D14" s="43" t="inlineStr">
        <is>
          <t>08_INTEGRACOES</t>
        </is>
      </c>
      <c r="E14" s="43" t="inlineStr">
        <is>
          <t>APIs e cargas</t>
        </is>
      </c>
    </row>
    <row r="15">
      <c r="D15" s="43" t="inlineStr">
        <is>
          <t>09_REGRAS_ALERTAS</t>
        </is>
      </c>
      <c r="E15" s="43" t="inlineStr">
        <is>
          <t>Motor de regras</t>
        </is>
      </c>
    </row>
    <row r="16">
      <c r="D16" s="43" t="inlineStr">
        <is>
          <t>10_TELAS_OUTPUTS</t>
        </is>
      </c>
      <c r="E16" s="43" t="inlineStr">
        <is>
          <t>Interfaces</t>
        </is>
      </c>
    </row>
    <row r="17">
      <c r="D17" s="43" t="inlineStr">
        <is>
          <t>11_SEGURANCA_LGPD</t>
        </is>
      </c>
      <c r="E17" s="43" t="inlineStr">
        <is>
          <t>Governança</t>
        </is>
      </c>
    </row>
    <row r="18">
      <c r="D18" s="43" t="inlineStr">
        <is>
          <t>12_BACKLOG</t>
        </is>
      </c>
      <c r="E18" s="43" t="inlineStr">
        <is>
          <t>Desenvolvimento</t>
        </is>
      </c>
    </row>
    <row r="19">
      <c r="D19" s="43" t="inlineStr">
        <is>
          <t>13_PILOTO_MONKS</t>
        </is>
      </c>
      <c r="E19" s="43" t="inlineStr">
        <is>
          <t>Validação</t>
        </is>
      </c>
    </row>
    <row r="20">
      <c r="D20" s="44" t="inlineStr">
        <is>
          <t>14_ROI_HUB</t>
        </is>
      </c>
      <c r="E20" s="44" t="inlineStr">
        <is>
          <t>Valor</t>
        </is>
      </c>
    </row>
  </sheetData>
  <mergeCells count="3">
    <mergeCell ref="A1:H2"/>
    <mergeCell ref="A3:H3"/>
    <mergeCell ref="D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" customWidth="1" min="3" max="3"/>
    <col width="22" customWidth="1" min="4" max="4"/>
    <col width="16" customWidth="1" min="5" max="5"/>
    <col width="22" customWidth="1" min="6" max="6"/>
    <col width="38" customWidth="1" min="7" max="7"/>
  </cols>
  <sheetData>
    <row r="1">
      <c r="A1" s="31" t="inlineStr">
        <is>
          <t>PAINEL DE ENTREGA — HUB</t>
        </is>
      </c>
    </row>
    <row r="2"/>
    <row r="3">
      <c r="A3" s="32" t="inlineStr">
        <is>
          <t>Resumo automático do backlog e da cobertura da especificação</t>
        </is>
      </c>
    </row>
    <row r="5">
      <c r="A5" s="7" t="inlineStr">
        <is>
          <t>Indicador</t>
        </is>
      </c>
      <c r="B5" s="7" t="inlineStr">
        <is>
          <t>Valor</t>
        </is>
      </c>
      <c r="D5" s="38" t="inlineStr">
        <is>
          <t>Componente</t>
        </is>
      </c>
      <c r="E5" s="38" t="inlineStr">
        <is>
          <t>Quantidade</t>
        </is>
      </c>
      <c r="F5" s="38" t="inlineStr">
        <is>
          <t>Situação</t>
        </is>
      </c>
      <c r="G5" s="38" t="inlineStr">
        <is>
          <t>Próxima decisão</t>
        </is>
      </c>
    </row>
    <row r="6">
      <c r="A6" s="34" t="inlineStr">
        <is>
          <t>Itens backlog</t>
        </is>
      </c>
      <c r="B6">
        <f>COUNTA('12_BACKLOG'!$A$5:$A$200)</f>
        <v/>
      </c>
      <c r="D6" s="42" t="inlineStr">
        <is>
          <t>Módulos</t>
        </is>
      </c>
      <c r="E6" s="42" t="n">
        <v>8</v>
      </c>
      <c r="F6" s="42" t="inlineStr">
        <is>
          <t>Estruturado</t>
        </is>
      </c>
      <c r="G6" s="42" t="inlineStr">
        <is>
          <t>Validar MVP</t>
        </is>
      </c>
    </row>
    <row r="7">
      <c r="A7" s="34" t="inlineStr">
        <is>
          <t>Concluídos</t>
        </is>
      </c>
      <c r="B7">
        <f>COUNTIF('12_BACKLOG'!$O$5:$O$200,"Concluído")</f>
        <v/>
      </c>
      <c r="D7" s="43" t="inlineStr">
        <is>
          <t>Perfis</t>
        </is>
      </c>
      <c r="E7" s="43" t="n">
        <v>12</v>
      </c>
      <c r="F7" s="43" t="inlineStr">
        <is>
          <t>Estruturado</t>
        </is>
      </c>
      <c r="G7" s="43" t="inlineStr">
        <is>
          <t>Validar acessos</t>
        </is>
      </c>
    </row>
    <row r="8">
      <c r="A8" s="34" t="inlineStr">
        <is>
          <t>Críticos</t>
        </is>
      </c>
      <c r="B8">
        <f>COUNTIF('12_BACKLOG'!$K$5:$K$200,"Crítica")</f>
        <v/>
      </c>
      <c r="D8" s="43" t="inlineStr">
        <is>
          <t>Fontes</t>
        </is>
      </c>
      <c r="E8" s="43" t="n">
        <v>12</v>
      </c>
      <c r="F8" s="43" t="inlineStr">
        <is>
          <t>Inicial</t>
        </is>
      </c>
      <c r="G8" s="43" t="inlineStr">
        <is>
          <t>Confirmar Monks</t>
        </is>
      </c>
    </row>
    <row r="9">
      <c r="A9" s="34" t="inlineStr">
        <is>
          <t>% no MVP</t>
        </is>
      </c>
      <c r="B9" s="52">
        <f>IF(B6=0,0,COUNTIF('12_BACKLOG'!$I$5:$I$200,"MVP")/B6)</f>
        <v/>
      </c>
      <c r="D9" s="43" t="inlineStr">
        <is>
          <t>Campos</t>
        </is>
      </c>
      <c r="E9" s="43" t="n">
        <v>47</v>
      </c>
      <c r="F9" s="43" t="inlineStr">
        <is>
          <t>Inicial</t>
        </is>
      </c>
      <c r="G9" s="43" t="inlineStr">
        <is>
          <t>Dicionário semântico único (P0-F0 + P1-MVP1)</t>
        </is>
      </c>
    </row>
    <row r="10">
      <c r="D10" s="43" t="inlineStr">
        <is>
          <t>KPIs</t>
        </is>
      </c>
      <c r="E10" s="43" t="n">
        <v>16</v>
      </c>
      <c r="F10" s="43" t="inlineStr">
        <is>
          <t>Inicial</t>
        </is>
      </c>
      <c r="G10" s="43" t="inlineStr">
        <is>
          <t>Aprovar fórmulas</t>
        </is>
      </c>
    </row>
    <row r="11">
      <c r="D11" s="43" t="inlineStr">
        <is>
          <t>Relações</t>
        </is>
      </c>
      <c r="E11" s="43" t="n">
        <v>9</v>
      </c>
      <c r="F11" s="43" t="inlineStr">
        <is>
          <t>Hipóteses</t>
        </is>
      </c>
      <c r="G11" s="43" t="inlineStr">
        <is>
          <t>Testar piloto</t>
        </is>
      </c>
    </row>
    <row r="12">
      <c r="A12" s="28" t="inlineStr">
        <is>
          <t>DECISÕES ANTES DO DESENVOLVIMENTO</t>
        </is>
      </c>
    </row>
    <row r="13">
      <c r="A13" s="48" t="inlineStr">
        <is>
          <t>1. Confirmar fontes/amostras Monks.</t>
        </is>
      </c>
    </row>
    <row r="14">
      <c r="A14" s="51" t="inlineStr">
        <is>
          <t>2. Aprovar alocação, receita, custo, margem e qualidade da meta.</t>
        </is>
      </c>
    </row>
    <row r="15">
      <c r="A15" s="48" t="inlineStr">
        <is>
          <t>3. Escolher motor de dados, plataforma de performance ou híbrido.</t>
        </is>
      </c>
    </row>
    <row r="16">
      <c r="A16" s="51" t="inlineStr">
        <is>
          <t>4. Validar papéis, finalidade, retenção e grupos mínimos.</t>
        </is>
      </c>
    </row>
    <row r="17">
      <c r="A17" s="48" t="inlineStr">
        <is>
          <t>5. Selecionar 3–5 alertas, responsáveis e SLAs.</t>
        </is>
      </c>
    </row>
    <row r="18">
      <c r="A18" s="51" t="inlineStr">
        <is>
          <t>6. Definir evidência para atribuir ROI ao HUB.</t>
        </is>
      </c>
    </row>
  </sheetData>
  <mergeCells count="9">
    <mergeCell ref="A1:J2"/>
    <mergeCell ref="A14:J14"/>
    <mergeCell ref="A17:J17"/>
    <mergeCell ref="A18:J18"/>
    <mergeCell ref="A3:J3"/>
    <mergeCell ref="A12:J12"/>
    <mergeCell ref="A15:J15"/>
    <mergeCell ref="A16:J16"/>
    <mergeCell ref="A13:J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42" customWidth="1" min="4" max="4"/>
    <col width="30" customWidth="1" min="5" max="5"/>
    <col width="40" customWidth="1" min="6" max="6"/>
    <col width="40" customWidth="1" min="7" max="7"/>
    <col width="27" customWidth="1" min="8" max="8"/>
    <col width="30" customWidth="1" min="9" max="9"/>
    <col width="15" customWidth="1" min="10" max="10"/>
    <col width="15" customWidth="1" min="11" max="11"/>
  </cols>
  <sheetData>
    <row r="1" ht="32" customHeight="1">
      <c r="A1" s="2" t="inlineStr">
        <is>
          <t>02_MODULOS</t>
        </is>
      </c>
    </row>
    <row r="2" ht="28" customHeight="1">
      <c r="A2" s="5" t="inlineStr">
        <is>
          <t>Arquitetura funcional e alternativas de implantação.</t>
        </is>
      </c>
    </row>
    <row r="4" ht="36" customHeight="1">
      <c r="A4" s="8" t="inlineStr">
        <is>
          <t>ID</t>
        </is>
      </c>
      <c r="B4" s="8" t="inlineStr">
        <is>
          <t>Domínio</t>
        </is>
      </c>
      <c r="C4" s="8" t="inlineStr">
        <is>
          <t>Módulo</t>
        </is>
      </c>
      <c r="D4" s="8" t="inlineStr">
        <is>
          <t>Objetivo</t>
        </is>
      </c>
      <c r="E4" s="8" t="inlineStr">
        <is>
          <t>Usuários</t>
        </is>
      </c>
      <c r="F4" s="8" t="inlineStr">
        <is>
          <t>Inputs</t>
        </is>
      </c>
      <c r="G4" s="8" t="inlineStr">
        <is>
          <t>Outputs</t>
        </is>
      </c>
      <c r="H4" s="8" t="inlineStr">
        <is>
          <t>Motor de dados</t>
        </is>
      </c>
      <c r="I4" s="8" t="inlineStr">
        <is>
          <t>Plataforma completa</t>
        </is>
      </c>
      <c r="J4" s="8" t="inlineStr">
        <is>
          <t>Fase</t>
        </is>
      </c>
      <c r="K4" s="8" t="inlineStr">
        <is>
          <t>Prioridade</t>
        </is>
      </c>
    </row>
    <row r="5" ht="15" customHeight="1">
      <c r="A5" s="16" t="inlineStr">
        <is>
          <t>MOD-01</t>
        </is>
      </c>
      <c r="B5" s="16" t="inlineStr">
        <is>
          <t>Produto</t>
        </is>
      </c>
      <c r="C5" s="16" t="inlineStr">
        <is>
          <t>HUB Core</t>
        </is>
      </c>
      <c r="D5" s="16" t="inlineStr">
        <is>
          <t>Unificar dados, relações, alertas, previsões e recomendações.</t>
        </is>
      </c>
      <c r="E5" s="16" t="inlineStr">
        <is>
          <t>Admin; Dados; RH; Liderança</t>
        </is>
      </c>
      <c r="F5" s="16" t="inlineStr">
        <is>
          <t>Cadastros, eventos, KPIs, finanças</t>
        </is>
      </c>
      <c r="G5" s="16" t="inlineStr">
        <is>
          <t>Data graph, scores, alertas, simulações</t>
        </is>
      </c>
      <c r="H5" s="16" t="inlineStr">
        <is>
          <t>Obrigatório</t>
        </is>
      </c>
      <c r="I5" s="16" t="inlineStr">
        <is>
          <t>Obrigatório</t>
        </is>
      </c>
      <c r="J5" s="16" t="inlineStr">
        <is>
          <t>MVP</t>
        </is>
      </c>
      <c r="K5" s="16" t="inlineStr">
        <is>
          <t>Crítica</t>
        </is>
      </c>
    </row>
    <row r="6" ht="15" customHeight="1">
      <c r="A6" s="16" t="inlineStr">
        <is>
          <t>MOD-02</t>
        </is>
      </c>
      <c r="B6" s="16" t="inlineStr">
        <is>
          <t>Produto</t>
        </is>
      </c>
      <c r="C6" s="16" t="inlineStr">
        <is>
          <t>Performance</t>
        </is>
      </c>
      <c r="D6" s="16" t="inlineStr">
        <is>
          <t>Conectar metas individuais/equipe aos financeiros.</t>
        </is>
      </c>
      <c r="E6" s="16" t="inlineStr">
        <is>
          <t>Colaborador; Gestor; RH; Diretoria</t>
        </is>
      </c>
      <c r="F6" s="16" t="inlineStr">
        <is>
          <t>Metas, avaliações, projetos, receita, custos</t>
        </is>
      </c>
      <c r="G6" s="16" t="inlineStr">
        <is>
          <t>Scorecards, desvios, planos, impacto financeiro</t>
        </is>
      </c>
      <c r="H6" s="16" t="inlineStr">
        <is>
          <t>Integra Qulture Rocks/Workday</t>
        </is>
      </c>
      <c r="I6" s="16" t="inlineStr">
        <is>
          <t>Metas, ciclos e feedback próprios</t>
        </is>
      </c>
      <c r="J6" s="16" t="inlineStr">
        <is>
          <t>MVP</t>
        </is>
      </c>
      <c r="K6" s="16" t="inlineStr">
        <is>
          <t>Crítica</t>
        </is>
      </c>
    </row>
    <row r="7" ht="15" customHeight="1">
      <c r="A7" s="16" t="inlineStr">
        <is>
          <t>MOD-03</t>
        </is>
      </c>
      <c r="B7" s="16" t="inlineStr">
        <is>
          <t>Produto</t>
        </is>
      </c>
      <c r="C7" s="16" t="inlineStr">
        <is>
          <t>Pessoas e Talentos</t>
        </is>
      </c>
      <c r="D7" s="16" t="inlineStr">
        <is>
          <t>Skills, carreira, mobilidade, contratação e retenção.</t>
        </is>
      </c>
      <c r="E7" s="16" t="inlineStr">
        <is>
          <t>RH; Gestor; Colaborador; Candidato</t>
        </is>
      </c>
      <c r="F7" s="16" t="inlineStr">
        <is>
          <t>Perfil, skills, seleção, engajamento, diversidade</t>
        </is>
      </c>
      <c r="G7" s="16" t="inlineStr">
        <is>
          <t>Matching, sucessão, risco, gaps</t>
        </is>
      </c>
      <c r="H7" s="16" t="inlineStr">
        <is>
          <t>Integra ATS/HCM/LMS</t>
        </is>
      </c>
      <c r="I7" s="16" t="inlineStr">
        <is>
          <t>Portal e fluxos próprios</t>
        </is>
      </c>
      <c r="J7" s="16" t="inlineStr">
        <is>
          <t>MVP+1</t>
        </is>
      </c>
      <c r="K7" s="16" t="inlineStr">
        <is>
          <t>Alta</t>
        </is>
      </c>
    </row>
    <row r="8" ht="15" customHeight="1">
      <c r="A8" s="16" t="inlineStr">
        <is>
          <t>MOD-04</t>
        </is>
      </c>
      <c r="B8" s="16" t="inlineStr">
        <is>
          <t>Produto</t>
        </is>
      </c>
      <c r="C8" s="16" t="inlineStr">
        <is>
          <t>Clientes e Receita</t>
        </is>
      </c>
      <c r="D8" s="16" t="inlineStr">
        <is>
          <t>Relacionar times e entregas à experiência e receita.</t>
        </is>
      </c>
      <c r="E8" s="16" t="inlineStr">
        <is>
          <t>Comercial; CS; Operações</t>
        </is>
      </c>
      <c r="F8" s="16" t="inlineStr">
        <is>
          <t>CRM, NPS, contratos, receita, margem, times</t>
        </is>
      </c>
      <c r="G8" s="16" t="inlineStr">
        <is>
          <t>Churn, expansão, rentabilidade</t>
        </is>
      </c>
      <c r="H8" s="16" t="inlineStr">
        <is>
          <t>Integra CRM/ERP</t>
        </is>
      </c>
      <c r="I8" s="16" t="inlineStr">
        <is>
          <t>Workspace opcional</t>
        </is>
      </c>
      <c r="J8" s="16" t="inlineStr">
        <is>
          <t>MVP</t>
        </is>
      </c>
      <c r="K8" s="16" t="inlineStr">
        <is>
          <t>Crítica</t>
        </is>
      </c>
    </row>
    <row r="9" ht="15" customHeight="1">
      <c r="A9" s="16" t="inlineStr">
        <is>
          <t>MOD-05</t>
        </is>
      </c>
      <c r="B9" s="16" t="inlineStr">
        <is>
          <t>Produto</t>
        </is>
      </c>
      <c r="C9" s="16" t="inlineStr">
        <is>
          <t>Fornecedores e Compras</t>
        </is>
      </c>
      <c r="D9" s="16" t="inlineStr">
        <is>
          <t>Conectar oferta, custo, qualidade, risco e impacto.</t>
        </is>
      </c>
      <c r="E9" s="16" t="inlineStr">
        <is>
          <t>Compras; ESG; Fornecedor</t>
        </is>
      </c>
      <c r="F9" s="16" t="inlineStr">
        <is>
          <t>Cadastro, preço, SLA, risco, pagamentos</t>
        </is>
      </c>
      <c r="G9" s="16" t="inlineStr">
        <is>
          <t>Matching, savings, desempenho</t>
        </is>
      </c>
      <c r="H9" s="16" t="inlineStr">
        <is>
          <t>Integra ERP/e-procurement</t>
        </is>
      </c>
      <c r="I9" s="16" t="inlineStr">
        <is>
          <t>Marketplace próprio</t>
        </is>
      </c>
      <c r="J9" s="16" t="inlineStr">
        <is>
          <t>MVP+1</t>
        </is>
      </c>
      <c r="K9" s="16" t="inlineStr">
        <is>
          <t>Alta</t>
        </is>
      </c>
    </row>
    <row r="10" ht="15" customHeight="1">
      <c r="A10" s="16" t="inlineStr">
        <is>
          <t>MOD-06</t>
        </is>
      </c>
      <c r="B10" s="16" t="inlineStr">
        <is>
          <t>Produto</t>
        </is>
      </c>
      <c r="C10" s="16" t="inlineStr">
        <is>
          <t>Acadêmico</t>
        </is>
      </c>
      <c r="D10" s="16" t="inlineStr">
        <is>
          <t>Conectar formação, skills futuras e oportunidades.</t>
        </is>
      </c>
      <c r="E10" s="16" t="inlineStr">
        <is>
          <t>Aluno; Universidade; Empresa</t>
        </is>
      </c>
      <c r="F10" s="16" t="inlineStr">
        <is>
          <t>Cursos, skills, projetos, vagas, bolsas</t>
        </is>
      </c>
      <c r="G10" s="16" t="inlineStr">
        <is>
          <t>Matching, trilhas, skills emergentes</t>
        </is>
      </c>
      <c r="H10" s="16" t="inlineStr">
        <is>
          <t>Integra sistemas acadêmicos</t>
        </is>
      </c>
      <c r="I10" s="16" t="inlineStr">
        <is>
          <t>Portal acadêmico</t>
        </is>
      </c>
      <c r="J10" s="16" t="inlineStr">
        <is>
          <t>Fase 2</t>
        </is>
      </c>
      <c r="K10" s="16" t="inlineStr">
        <is>
          <t>Média</t>
        </is>
      </c>
    </row>
    <row r="11" ht="15" customHeight="1">
      <c r="A11" s="16" t="inlineStr">
        <is>
          <t>MOD-07</t>
        </is>
      </c>
      <c r="B11" s="16" t="inlineStr">
        <is>
          <t>Produto</t>
        </is>
      </c>
      <c r="C11" s="16" t="inlineStr">
        <is>
          <t>Comunidades e Eventos</t>
        </is>
      </c>
      <c r="D11" s="16" t="inlineStr">
        <is>
          <t>Converter participação e conteúdo em oportunidades.</t>
        </is>
      </c>
      <c r="E11" s="16" t="inlineStr">
        <is>
          <t>Pessoa; Empresa; Comunidade</t>
        </is>
      </c>
      <c r="F11" s="16" t="inlineStr">
        <is>
          <t>Eventos, presença, conexões, oportunidades</t>
        </is>
      </c>
      <c r="G11" s="16" t="inlineStr">
        <is>
          <t>Conversão, negócios, empregabilidade</t>
        </is>
      </c>
      <c r="H11" s="16" t="inlineStr">
        <is>
          <t>Integra plataformas</t>
        </is>
      </c>
      <c r="I11" s="16" t="inlineStr">
        <is>
          <t>Comunidade e agenda próprias</t>
        </is>
      </c>
      <c r="J11" s="16" t="inlineStr">
        <is>
          <t>Fase 2</t>
        </is>
      </c>
      <c r="K11" s="16" t="inlineStr">
        <is>
          <t>Média</t>
        </is>
      </c>
    </row>
    <row r="12" ht="15" customHeight="1">
      <c r="A12" s="16" t="inlineStr">
        <is>
          <t>MOD-08</t>
        </is>
      </c>
      <c r="B12" s="16" t="inlineStr">
        <is>
          <t>Produto</t>
        </is>
      </c>
      <c r="C12" s="16" t="inlineStr">
        <is>
          <t>HUB Impact</t>
        </is>
      </c>
      <c r="D12" s="16" t="inlineStr">
        <is>
          <t>Medir ROI e qualidade da atuação da pessoa gestora.</t>
        </is>
      </c>
      <c r="E12" s="16" t="inlineStr">
        <is>
          <t>Gestor HUB; Sponsor; Financeiro</t>
        </is>
      </c>
      <c r="F12" s="16" t="inlineStr">
        <is>
          <t>Uso, alertas, decisões, custos, benefícios</t>
        </is>
      </c>
      <c r="G12" s="16" t="inlineStr">
        <is>
          <t>Adoção, decisões, ROI, payback</t>
        </is>
      </c>
      <c r="H12" s="16" t="inlineStr">
        <is>
          <t>Obrigatório</t>
        </is>
      </c>
      <c r="I12" s="16" t="inlineStr">
        <is>
          <t>Obrigatório</t>
        </is>
      </c>
      <c r="J12" s="16" t="inlineStr">
        <is>
          <t>MVP</t>
        </is>
      </c>
      <c r="K12" s="16" t="inlineStr">
        <is>
          <t>Crítica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40" customWidth="1" min="4" max="4"/>
    <col width="38" customWidth="1" min="5" max="5"/>
    <col width="38" customWidth="1" min="6" max="6"/>
    <col width="38" customWidth="1" min="7" max="7"/>
    <col width="42" customWidth="1" min="8" max="8"/>
    <col width="15" customWidth="1" min="9" max="9"/>
  </cols>
  <sheetData>
    <row r="1" ht="32" customHeight="1">
      <c r="A1" s="2" t="inlineStr">
        <is>
          <t>03_PERFIS</t>
        </is>
      </c>
    </row>
    <row r="2" ht="28" customHeight="1">
      <c r="A2" s="5" t="inlineStr">
        <is>
          <t>Personas, objetivos, permissões e restrições.</t>
        </is>
      </c>
    </row>
    <row r="4" ht="36" customHeight="1">
      <c r="A4" s="8" t="inlineStr">
        <is>
          <t>ID</t>
        </is>
      </c>
      <c r="B4" s="8" t="inlineStr">
        <is>
          <t>Domínio</t>
        </is>
      </c>
      <c r="C4" s="8" t="inlineStr">
        <is>
          <t>Perfil</t>
        </is>
      </c>
      <c r="D4" s="8" t="inlineStr">
        <is>
          <t>Objetivo</t>
        </is>
      </c>
      <c r="E4" s="8" t="inlineStr">
        <is>
          <t>Fornece</t>
        </is>
      </c>
      <c r="F4" s="8" t="inlineStr">
        <is>
          <t>Visualiza</t>
        </is>
      </c>
      <c r="G4" s="8" t="inlineStr">
        <is>
          <t>Ações</t>
        </is>
      </c>
      <c r="H4" s="8" t="inlineStr">
        <is>
          <t>Restrições</t>
        </is>
      </c>
      <c r="I4" s="8" t="inlineStr">
        <is>
          <t>Fase</t>
        </is>
      </c>
    </row>
    <row r="5" ht="15" customHeight="1">
      <c r="A5" s="16" t="inlineStr">
        <is>
          <t>PER-01</t>
        </is>
      </c>
      <c r="B5" s="16" t="inlineStr">
        <is>
          <t>Acesso</t>
        </is>
      </c>
      <c r="C5" s="16" t="inlineStr">
        <is>
          <t>Colaborador</t>
        </is>
      </c>
      <c r="D5" s="16" t="inlineStr">
        <is>
          <t>Acompanhar metas, desenvolvimento e oportunidades.</t>
        </is>
      </c>
      <c r="E5" s="16" t="inlineStr">
        <is>
          <t>Autoavaliação, check-ins, skills</t>
        </is>
      </c>
      <c r="F5" s="16" t="inlineStr">
        <is>
          <t>Próprios dados e recomendações</t>
        </is>
      </c>
      <c r="G5" s="16" t="inlineStr">
        <is>
          <t>Atualizar; comentar; contestar</t>
        </is>
      </c>
      <c r="H5" s="16" t="inlineStr">
        <is>
          <t>Sem dados individuais de terceiros</t>
        </is>
      </c>
      <c r="I5" s="16" t="inlineStr">
        <is>
          <t>MVP</t>
        </is>
      </c>
    </row>
    <row r="6" ht="15" customHeight="1">
      <c r="A6" s="16" t="inlineStr">
        <is>
          <t>PER-02</t>
        </is>
      </c>
      <c r="B6" s="16" t="inlineStr">
        <is>
          <t>Acesso</t>
        </is>
      </c>
      <c r="C6" s="16" t="inlineStr">
        <is>
          <t>Gestor</t>
        </is>
      </c>
      <c r="D6" s="16" t="inlineStr">
        <is>
          <t>Gerir time e agir rapidamente.</t>
        </is>
      </c>
      <c r="E6" s="16" t="inlineStr">
        <is>
          <t>Avaliações, feedbacks, decisões</t>
        </is>
      </c>
      <c r="F6" s="16" t="inlineStr">
        <is>
          <t>Time, metas, capacidade, riscos</t>
        </is>
      </c>
      <c r="G6" s="16" t="inlineStr">
        <is>
          <t>Criar meta; decidir; aprovar ação</t>
        </is>
      </c>
      <c r="H6" s="16" t="inlineStr">
        <is>
          <t>Acesso apenas à hierarquia</t>
        </is>
      </c>
      <c r="I6" s="16" t="inlineStr">
        <is>
          <t>MVP</t>
        </is>
      </c>
    </row>
    <row r="7" ht="15" customHeight="1">
      <c r="A7" s="16" t="inlineStr">
        <is>
          <t>PER-03</t>
        </is>
      </c>
      <c r="B7" s="16" t="inlineStr">
        <is>
          <t>Acesso</t>
        </is>
      </c>
      <c r="C7" s="16" t="inlineStr">
        <is>
          <t>RH/People Analytics</t>
        </is>
      </c>
      <c r="D7" s="16" t="inlineStr">
        <is>
          <t>Governar pessoas, performance e equidade.</t>
        </is>
      </c>
      <c r="E7" s="16" t="inlineStr">
        <is>
          <t>Políticas, ciclos, benchmarks</t>
        </is>
      </c>
      <c r="F7" s="16" t="inlineStr">
        <is>
          <t>Organização e grupos autorizados</t>
        </is>
      </c>
      <c r="G7" s="16" t="inlineStr">
        <is>
          <t>Configurar; analisar; auditar</t>
        </is>
      </c>
      <c r="H7" s="16" t="inlineStr">
        <is>
          <t>Finalidade e grupo mínimo</t>
        </is>
      </c>
      <c r="I7" s="16" t="inlineStr">
        <is>
          <t>MVP</t>
        </is>
      </c>
    </row>
    <row r="8" ht="15" customHeight="1">
      <c r="A8" s="16" t="inlineStr">
        <is>
          <t>PER-04</t>
        </is>
      </c>
      <c r="B8" s="16" t="inlineStr">
        <is>
          <t>Acesso</t>
        </is>
      </c>
      <c r="C8" s="16" t="inlineStr">
        <is>
          <t>Executivo</t>
        </is>
      </c>
      <c r="D8" s="16" t="inlineStr">
        <is>
          <t>Conduzir o negócio com sinais de pessoas.</t>
        </is>
      </c>
      <c r="E8" s="16" t="inlineStr">
        <is>
          <t>Prioridades e decisões</t>
        </is>
      </c>
      <c r="F8" s="16" t="inlineStr">
        <is>
          <t>KPIs, riscos, cenários e ROI</t>
        </is>
      </c>
      <c r="G8" s="16" t="inlineStr">
        <is>
          <t>Aprovar ações/cenários</t>
        </is>
      </c>
      <c r="H8" s="16" t="inlineStr">
        <is>
          <t>Preferência por agregados</t>
        </is>
      </c>
      <c r="I8" s="16" t="inlineStr">
        <is>
          <t>MVP</t>
        </is>
      </c>
    </row>
    <row r="9" ht="15" customHeight="1">
      <c r="A9" s="16" t="inlineStr">
        <is>
          <t>PER-05</t>
        </is>
      </c>
      <c r="B9" s="16" t="inlineStr">
        <is>
          <t>Acesso</t>
        </is>
      </c>
      <c r="C9" s="16" t="inlineStr">
        <is>
          <t>Financeiro</t>
        </is>
      </c>
      <c r="D9" s="16" t="inlineStr">
        <is>
          <t>Validar relações e benefícios financeiros.</t>
        </is>
      </c>
      <c r="E9" s="16" t="inlineStr">
        <is>
          <t>Receita, custos, margem, orçamento</t>
        </is>
      </c>
      <c r="F9" s="16" t="inlineStr">
        <is>
          <t>Impactos e premissas</t>
        </is>
      </c>
      <c r="G9" s="16" t="inlineStr">
        <is>
          <t>Validar fórmula/benefício</t>
        </is>
      </c>
      <c r="H9" s="16" t="inlineStr">
        <is>
          <t>Sem feedback individual</t>
        </is>
      </c>
      <c r="I9" s="16" t="inlineStr">
        <is>
          <t>MVP</t>
        </is>
      </c>
    </row>
    <row r="10" ht="15" customHeight="1">
      <c r="A10" s="16" t="inlineStr">
        <is>
          <t>PER-06</t>
        </is>
      </c>
      <c r="B10" s="16" t="inlineStr">
        <is>
          <t>Acesso</t>
        </is>
      </c>
      <c r="C10" s="16" t="inlineStr">
        <is>
          <t>Gestor HUB</t>
        </is>
      </c>
      <c r="D10" s="16" t="inlineStr">
        <is>
          <t>Administrar qualidade, adoção e valor.</t>
        </is>
      </c>
      <c r="E10" s="16" t="inlineStr">
        <is>
          <t>Configurações, decisões e ações</t>
        </is>
      </c>
      <c r="F10" s="16" t="inlineStr">
        <is>
          <t>Dados, uso, alertas, decisões, ROI</t>
        </is>
      </c>
      <c r="G10" s="16" t="inlineStr">
        <is>
          <t>Configurar; cobrar; encaminhar</t>
        </is>
      </c>
      <c r="H10" s="16" t="inlineStr">
        <is>
          <t>Tudo auditável; decisão humana</t>
        </is>
      </c>
      <c r="I10" s="16" t="inlineStr">
        <is>
          <t>MVP</t>
        </is>
      </c>
    </row>
    <row r="11" ht="15" customHeight="1">
      <c r="A11" s="16" t="inlineStr">
        <is>
          <t>PER-07</t>
        </is>
      </c>
      <c r="B11" s="16" t="inlineStr">
        <is>
          <t>Acesso</t>
        </is>
      </c>
      <c r="C11" s="16" t="inlineStr">
        <is>
          <t>Candidato</t>
        </is>
      </c>
      <c r="D11" s="16" t="inlineStr">
        <is>
          <t>Encontrar vaga compatível.</t>
        </is>
      </c>
      <c r="E11" s="16" t="inlineStr">
        <is>
          <t>Perfil, skills, experiência</t>
        </is>
      </c>
      <c r="F11" s="16" t="inlineStr">
        <is>
          <t>Vagas, matching e status</t>
        </is>
      </c>
      <c r="G11" s="16" t="inlineStr">
        <is>
          <t>Candidatar; atualizar; contestar</t>
        </is>
      </c>
      <c r="H11" s="16" t="inlineStr">
        <is>
          <t>Sensíveis protegidos</t>
        </is>
      </c>
      <c r="I11" s="16" t="inlineStr">
        <is>
          <t>MVP+1</t>
        </is>
      </c>
    </row>
    <row r="12" ht="15" customHeight="1">
      <c r="A12" s="16" t="inlineStr">
        <is>
          <t>PER-08</t>
        </is>
      </c>
      <c r="B12" s="16" t="inlineStr">
        <is>
          <t>Acesso</t>
        </is>
      </c>
      <c r="C12" s="16" t="inlineStr">
        <is>
          <t>Fornecedor</t>
        </is>
      </c>
      <c r="D12" s="16" t="inlineStr">
        <is>
          <t>Apresentar oferta e acessar demandas.</t>
        </is>
      </c>
      <c r="E12" s="16" t="inlineStr">
        <is>
          <t>Produtos, preços, capacidade</t>
        </is>
      </c>
      <c r="F12" s="16" t="inlineStr">
        <is>
          <t>Demandas e matching</t>
        </is>
      </c>
      <c r="G12" s="16" t="inlineStr">
        <is>
          <t>Propor; atualizar catálogo</t>
        </is>
      </c>
      <c r="H12" s="16" t="inlineStr">
        <is>
          <t>Segregação entre concorrentes</t>
        </is>
      </c>
      <c r="I12" s="16" t="inlineStr">
        <is>
          <t>MVP+1</t>
        </is>
      </c>
    </row>
    <row r="13" ht="15" customHeight="1">
      <c r="A13" s="16" t="inlineStr">
        <is>
          <t>PER-09</t>
        </is>
      </c>
      <c r="B13" s="16" t="inlineStr">
        <is>
          <t>Acesso</t>
        </is>
      </c>
      <c r="C13" s="16" t="inlineStr">
        <is>
          <t>Comprador</t>
        </is>
      </c>
      <c r="D13" s="16" t="inlineStr">
        <is>
          <t>Comparar ofertas e reduzir custo com qualidade.</t>
        </is>
      </c>
      <c r="E13" s="16" t="inlineStr">
        <is>
          <t>Demanda, critérios e decisão</t>
        </is>
      </c>
      <c r="F13" s="16" t="inlineStr">
        <is>
          <t>Ofertas, TCO, risco, savings</t>
        </is>
      </c>
      <c r="G13" s="16" t="inlineStr">
        <is>
          <t>Publicar; comparar; selecionar</t>
        </is>
      </c>
      <c r="H13" s="16" t="inlineStr">
        <is>
          <t>Critérios transparentes</t>
        </is>
      </c>
      <c r="I13" s="16" t="inlineStr">
        <is>
          <t>MVP+1</t>
        </is>
      </c>
    </row>
    <row r="14" ht="15" customHeight="1">
      <c r="A14" s="16" t="inlineStr">
        <is>
          <t>PER-10</t>
        </is>
      </c>
      <c r="B14" s="16" t="inlineStr">
        <is>
          <t>Acesso</t>
        </is>
      </c>
      <c r="C14" s="16" t="inlineStr">
        <is>
          <t>Cliente/CS</t>
        </is>
      </c>
      <c r="D14" s="16" t="inlineStr">
        <is>
          <t>Acompanhar valor, entrega e risco da conta.</t>
        </is>
      </c>
      <c r="E14" s="16" t="inlineStr">
        <is>
          <t>NPS, feedback, resultados</t>
        </is>
      </c>
      <c r="F14" s="16" t="inlineStr">
        <is>
          <t>Entregas e planos autorizados</t>
        </is>
      </c>
      <c r="G14" s="16" t="inlineStr">
        <is>
          <t>Avaliar; validar ação</t>
        </is>
      </c>
      <c r="H14" s="16" t="inlineStr">
        <is>
          <t>Isolamento por conta</t>
        </is>
      </c>
      <c r="I14" s="16" t="inlineStr">
        <is>
          <t>MVP+1</t>
        </is>
      </c>
    </row>
    <row r="15" ht="15" customHeight="1">
      <c r="A15" s="16" t="inlineStr">
        <is>
          <t>PER-11</t>
        </is>
      </c>
      <c r="B15" s="16" t="inlineStr">
        <is>
          <t>Acesso</t>
        </is>
      </c>
      <c r="C15" s="16" t="inlineStr">
        <is>
          <t>Aluno</t>
        </is>
      </c>
      <c r="D15" s="16" t="inlineStr">
        <is>
          <t>Construir carreira e acessar oportunidades.</t>
        </is>
      </c>
      <c r="E15" s="16" t="inlineStr">
        <is>
          <t>Formação, skills, projetos</t>
        </is>
      </c>
      <c r="F15" s="16" t="inlineStr">
        <is>
          <t>Trilhas, bolsas, eventos, vagas</t>
        </is>
      </c>
      <c r="G15" s="16" t="inlineStr">
        <is>
          <t>Participar; candidatar</t>
        </is>
      </c>
      <c r="H15" s="16" t="inlineStr">
        <is>
          <t>Consentimento reforçado</t>
        </is>
      </c>
      <c r="I15" s="16" t="inlineStr">
        <is>
          <t>Fase 2</t>
        </is>
      </c>
    </row>
    <row r="16" ht="15" customHeight="1">
      <c r="A16" s="16" t="inlineStr">
        <is>
          <t>PER-12</t>
        </is>
      </c>
      <c r="B16" s="16" t="inlineStr">
        <is>
          <t>Acesso</t>
        </is>
      </c>
      <c r="C16" s="16" t="inlineStr">
        <is>
          <t>Universidade</t>
        </is>
      </c>
      <c r="D16" s="16" t="inlineStr">
        <is>
          <t>Alinhar formação às demandas.</t>
        </is>
      </c>
      <c r="E16" s="16" t="inlineStr">
        <is>
          <t>Cursos, projetos, indicadores</t>
        </is>
      </c>
      <c r="F16" s="16" t="inlineStr">
        <is>
          <t>Gaps e empregabilidade</t>
        </is>
      </c>
      <c r="G16" s="16" t="inlineStr">
        <is>
          <t>Publicar; analisar; conectar</t>
        </is>
      </c>
      <c r="H16" s="16" t="inlineStr">
        <is>
          <t>Dados estudantis agregados</t>
        </is>
      </c>
      <c r="I16" s="16" t="inlineStr">
        <is>
          <t>Fase 2</t>
        </is>
      </c>
    </row>
    <row r="17" ht="15" customHeight="1">
      <c r="A17" s="16" t="inlineStr">
        <is>
          <t>PER-13</t>
        </is>
      </c>
      <c r="B17" s="16" t="inlineStr">
        <is>
          <t>Acesso</t>
        </is>
      </c>
      <c r="C17" s="16" t="inlineStr">
        <is>
          <t>Parceiro/Especialista/Mentor</t>
        </is>
      </c>
      <c r="D17" s="16" t="inlineStr">
        <is>
          <t>Conectar expertise a oportunidades e desenvolvimento.</t>
        </is>
      </c>
      <c r="E17" s="16" t="inlineStr">
        <is>
          <t>Mentorias, trilhas, avaliações de especialista</t>
        </is>
      </c>
      <c r="F17" s="16" t="inlineStr">
        <is>
          <t>Oportunidades compatíveis e feedback agregado</t>
        </is>
      </c>
      <c r="G17" s="16" t="inlineStr">
        <is>
          <t>Mentorar; avaliar; propor trilha</t>
        </is>
      </c>
      <c r="H17" s="16" t="inlineStr">
        <is>
          <t>Sem dados individuais de terceiros; consentimento</t>
        </is>
      </c>
      <c r="I17" s="16" t="inlineStr">
        <is>
          <t>MVP+1</t>
        </is>
      </c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3" customWidth="1" min="4" max="4"/>
    <col width="48" customWidth="1" min="5" max="5"/>
    <col width="37" customWidth="1" min="6" max="6"/>
    <col width="20" customWidth="1" min="7" max="7"/>
    <col width="22" customWidth="1" min="8" max="8"/>
    <col width="22" customWidth="1" min="9" max="9"/>
    <col width="22" customWidth="1" min="10" max="10"/>
    <col width="24" customWidth="1" min="11" max="11"/>
    <col width="18" customWidth="1" min="12" max="12"/>
    <col width="20" customWidth="1" min="13" max="13"/>
  </cols>
  <sheetData>
    <row r="1" ht="32" customHeight="1">
      <c r="A1" s="2" t="inlineStr">
        <is>
          <t>04_FONTES_DADOS</t>
        </is>
      </c>
    </row>
    <row r="2" ht="28" customHeight="1">
      <c r="A2" s="5" t="inlineStr">
        <is>
          <t>Inventário inicial de sistemas e conjuntos de dados.</t>
        </is>
      </c>
    </row>
    <row r="4" ht="36" customHeight="1">
      <c r="A4" s="8" t="inlineStr">
        <is>
          <t>ID</t>
        </is>
      </c>
      <c r="B4" s="8" t="inlineStr">
        <is>
          <t>Domínio</t>
        </is>
      </c>
      <c r="C4" s="8" t="inlineStr">
        <is>
          <t>Fonte</t>
        </is>
      </c>
      <c r="D4" s="8" t="inlineStr">
        <is>
          <t>Dados</t>
        </is>
      </c>
      <c r="E4" s="8" t="inlineStr">
        <is>
          <t>Campos-chave</t>
        </is>
      </c>
      <c r="F4" s="8" t="inlineStr">
        <is>
          <t>Chaves de conexão</t>
        </is>
      </c>
      <c r="G4" s="8" t="inlineStr">
        <is>
          <t>Cadência</t>
        </is>
      </c>
      <c r="H4" s="8" t="inlineStr">
        <is>
          <t>Método</t>
        </is>
      </c>
      <c r="I4" s="8" t="inlineStr">
        <is>
          <t>Dono</t>
        </is>
      </c>
      <c r="J4" s="8" t="inlineStr">
        <is>
          <t>Sensibilidade</t>
        </is>
      </c>
      <c r="K4" s="8" t="inlineStr">
        <is>
          <t>Qualidade</t>
        </is>
      </c>
      <c r="L4" s="8" t="inlineStr">
        <is>
          <t>Retenção</t>
        </is>
      </c>
      <c r="M4" s="8" t="inlineStr">
        <is>
          <t>Status</t>
        </is>
      </c>
    </row>
    <row r="5" ht="15" customHeight="1">
      <c r="A5" s="16" t="inlineStr">
        <is>
          <t>SRC-01</t>
        </is>
      </c>
      <c r="B5" s="16" t="inlineStr">
        <is>
          <t>Pessoas</t>
        </is>
      </c>
      <c r="C5" s="16" t="inlineStr">
        <is>
          <t>Workday/HCM</t>
        </is>
      </c>
      <c r="D5" s="16" t="inlineStr">
        <is>
          <t>Cadastro e hierarquia</t>
        </is>
      </c>
      <c r="E5" s="16" t="inlineStr">
        <is>
          <t>ID Workday; nome; nome social; e-mail; telefone; localização; idioma; disponibilidade; cargo; área; level; admissão; gestor; HRBP; diretoria; VP</t>
        </is>
      </c>
      <c r="F5" s="16" t="inlineStr">
        <is>
          <t>ID Workday; e-mail; centro de custo</t>
        </is>
      </c>
      <c r="G5" s="16" t="inlineStr">
        <is>
          <t>Diária</t>
        </is>
      </c>
      <c r="H5" s="16" t="inlineStr">
        <is>
          <t>API/SFTP</t>
        </is>
      </c>
      <c r="I5" s="16" t="inlineStr">
        <is>
          <t>RHIS</t>
        </is>
      </c>
      <c r="J5" s="16" t="inlineStr">
        <is>
          <t>Pessoal</t>
        </is>
      </c>
      <c r="K5" s="16" t="inlineStr">
        <is>
          <t>≥99% IDs válidos</t>
        </is>
      </c>
      <c r="L5" s="16" t="inlineStr">
        <is>
          <t>Política</t>
        </is>
      </c>
      <c r="M5" s="16" t="inlineStr">
        <is>
          <t>Disponível piloto</t>
        </is>
      </c>
    </row>
    <row r="6" ht="15" customHeight="1">
      <c r="A6" s="16" t="inlineStr">
        <is>
          <t>SRC-02</t>
        </is>
      </c>
      <c r="B6" s="16" t="inlineStr">
        <is>
          <t>Performance</t>
        </is>
      </c>
      <c r="C6" s="16" t="inlineStr">
        <is>
          <t>Qulture Rocks/Workday</t>
        </is>
      </c>
      <c r="D6" s="16" t="inlineStr">
        <is>
          <t>Metas, avaliações, 9-box, PIP e check-ins</t>
        </is>
      </c>
      <c r="E6" s="16" t="inlineStr">
        <is>
          <t>ID avaliação; meta; peso; progresso; auto/gestor</t>
        </is>
      </c>
      <c r="F6" s="16" t="inlineStr">
        <is>
          <t>Pessoa; ciclo; gestor</t>
        </is>
      </c>
      <c r="G6" s="16" t="inlineStr">
        <is>
          <t>Evento/diária</t>
        </is>
      </c>
      <c r="H6" s="16" t="inlineStr">
        <is>
          <t>API/CSV</t>
        </is>
      </c>
      <c r="I6" s="16" t="inlineStr">
        <is>
          <t>RH Performance</t>
        </is>
      </c>
      <c r="J6" s="16" t="inlineStr">
        <is>
          <t>Confidencial</t>
        </is>
      </c>
      <c r="K6" s="16" t="inlineStr">
        <is>
          <t>≥95% ciclos completos</t>
        </is>
      </c>
      <c r="L6" s="16" t="inlineStr">
        <is>
          <t>3 ciclos</t>
        </is>
      </c>
      <c r="M6" s="16" t="inlineStr">
        <is>
          <t>Parcial</t>
        </is>
      </c>
    </row>
    <row r="7" ht="15" customHeight="1">
      <c r="A7" s="16" t="inlineStr">
        <is>
          <t>SRC-03</t>
        </is>
      </c>
      <c r="B7" s="16" t="inlineStr">
        <is>
          <t>Engajamento</t>
        </is>
      </c>
      <c r="C7" s="16" t="inlineStr">
        <is>
          <t>Qualtrics/CultureAmp</t>
        </is>
      </c>
      <c r="D7" s="16" t="inlineStr">
        <is>
          <t>Clima, liderança, eNPS e segurança psicológica</t>
        </is>
      </c>
      <c r="E7" s="16" t="inlineStr">
        <is>
          <t>ID anonimizado; área; período</t>
        </is>
      </c>
      <c r="F7" s="16" t="inlineStr">
        <is>
          <t>Área; gestor; grupo</t>
        </is>
      </c>
      <c r="G7" s="16" t="inlineStr">
        <is>
          <t>Mensal/trimestral</t>
        </is>
      </c>
      <c r="H7" s="16" t="inlineStr">
        <is>
          <t>API/CSV</t>
        </is>
      </c>
      <c r="I7" s="16" t="inlineStr">
        <is>
          <t>People Analytics</t>
        </is>
      </c>
      <c r="J7" s="16" t="inlineStr">
        <is>
          <t>Sensível agregado</t>
        </is>
      </c>
      <c r="K7" s="16" t="inlineStr">
        <is>
          <t>Grupo mínimo</t>
        </is>
      </c>
      <c r="L7" s="16" t="inlineStr">
        <is>
          <t>24 meses</t>
        </is>
      </c>
      <c r="M7" s="16" t="inlineStr">
        <is>
          <t>A confirmar</t>
        </is>
      </c>
    </row>
    <row r="8" ht="15" customHeight="1">
      <c r="A8" s="16" t="inlineStr">
        <is>
          <t>SRC-04</t>
        </is>
      </c>
      <c r="B8" s="16" t="inlineStr">
        <is>
          <t>Saúde/Risco</t>
        </is>
      </c>
      <c r="C8" s="16" t="inlineStr">
        <is>
          <t>NR1/Canal interno</t>
        </is>
      </c>
      <c r="D8" s="16" t="inlineStr">
        <is>
          <t>Carga, estresse, assédio e afastamento agregado</t>
        </is>
      </c>
      <c r="E8" s="16" t="inlineStr">
        <is>
          <t>Registro; área; período</t>
        </is>
      </c>
      <c r="F8" s="16" t="inlineStr">
        <is>
          <t>Área; centro de custo</t>
        </is>
      </c>
      <c r="G8" s="16" t="inlineStr">
        <is>
          <t>Mensal</t>
        </is>
      </c>
      <c r="H8" s="16" t="inlineStr">
        <is>
          <t>Arquivo seguro</t>
        </is>
      </c>
      <c r="I8" s="16" t="inlineStr">
        <is>
          <t>Saúde/RH</t>
        </is>
      </c>
      <c r="J8" s="16" t="inlineStr">
        <is>
          <t>Sensível especial</t>
        </is>
      </c>
      <c r="K8" s="16" t="inlineStr">
        <is>
          <t>Sem identificação indevida</t>
        </is>
      </c>
      <c r="L8" s="16" t="inlineStr">
        <is>
          <t>Legal</t>
        </is>
      </c>
      <c r="M8" s="16" t="inlineStr">
        <is>
          <t>A confirmar</t>
        </is>
      </c>
    </row>
    <row r="9" ht="15" customHeight="1">
      <c r="A9" s="16" t="inlineStr">
        <is>
          <t>SRC-05</t>
        </is>
      </c>
      <c r="B9" s="16" t="inlineStr">
        <is>
          <t>Financeiro</t>
        </is>
      </c>
      <c r="C9" s="16" t="inlineStr">
        <is>
          <t>ERP/FP&amp;A</t>
        </is>
      </c>
      <c r="D9" s="16" t="inlineStr">
        <is>
          <t>Receita, custo, margem, orçamento e realizado</t>
        </is>
      </c>
      <c r="E9" s="16" t="inlineStr">
        <is>
          <t>Lançamento; projeto; cliente; período</t>
        </is>
      </c>
      <c r="F9" s="16" t="inlineStr">
        <is>
          <t>Cliente; projeto; contrato; centro de custo</t>
        </is>
      </c>
      <c r="G9" s="16" t="inlineStr">
        <is>
          <t>Mensal</t>
        </is>
      </c>
      <c r="H9" s="16" t="inlineStr">
        <is>
          <t>API/DW</t>
        </is>
      </c>
      <c r="I9" s="16" t="inlineStr">
        <is>
          <t>Financeiro</t>
        </is>
      </c>
      <c r="J9" s="16" t="inlineStr">
        <is>
          <t>Financeiro</t>
        </is>
      </c>
      <c r="K9" s="16" t="inlineStr">
        <is>
          <t>Conciliado ao fechamento</t>
        </is>
      </c>
      <c r="L9" s="16" t="inlineStr">
        <is>
          <t>7 anos</t>
        </is>
      </c>
      <c r="M9" s="16" t="inlineStr">
        <is>
          <t>Prioridade piloto</t>
        </is>
      </c>
    </row>
    <row r="10" ht="15" customHeight="1">
      <c r="A10" s="16" t="inlineStr">
        <is>
          <t>SRC-06</t>
        </is>
      </c>
      <c r="B10" s="16" t="inlineStr">
        <is>
          <t>Alocação</t>
        </is>
      </c>
      <c r="C10" s="16" t="inlineStr">
        <is>
          <t>PSA/Timesheet</t>
        </is>
      </c>
      <c r="D10" s="16" t="inlineStr">
        <is>
          <t>Horas disponíveis, totais e faturáveis</t>
        </is>
      </c>
      <c r="E10" s="16" t="inlineStr">
        <is>
          <t>Apontamento; pessoa; projeto; taxa</t>
        </is>
      </c>
      <c r="F10" s="16" t="inlineStr">
        <is>
          <t>Pessoa; projeto; cliente; centro de custo; período</t>
        </is>
      </c>
      <c r="G10" s="16" t="inlineStr">
        <is>
          <t>Diária/semanal</t>
        </is>
      </c>
      <c r="H10" s="16" t="inlineStr">
        <is>
          <t>API/CSV</t>
        </is>
      </c>
      <c r="I10" s="16" t="inlineStr">
        <is>
          <t>Operações</t>
        </is>
      </c>
      <c r="J10" s="16" t="inlineStr">
        <is>
          <t>Confidencial</t>
        </is>
      </c>
      <c r="K10" s="16" t="inlineStr">
        <is>
          <t>≥98% conciliado</t>
        </is>
      </c>
      <c r="L10" s="16" t="inlineStr">
        <is>
          <t>36 meses</t>
        </is>
      </c>
      <c r="M10" s="16" t="inlineStr">
        <is>
          <t>Prioridade piloto</t>
        </is>
      </c>
    </row>
    <row r="11" ht="15" customHeight="1">
      <c r="A11" s="16" t="inlineStr">
        <is>
          <t>SRC-07</t>
        </is>
      </c>
      <c r="B11" s="16" t="inlineStr">
        <is>
          <t>Clientes</t>
        </is>
      </c>
      <c r="C11" s="16" t="inlineStr">
        <is>
          <t>CRM</t>
        </is>
      </c>
      <c r="D11" s="16" t="inlineStr">
        <is>
          <t>Conta, contrato, pipeline, renovação e churn</t>
        </is>
      </c>
      <c r="E11" s="16" t="inlineStr">
        <is>
          <t>Account ID; contract ID; owner; stakeholder_ids</t>
        </is>
      </c>
      <c r="F11" s="16" t="inlineStr">
        <is>
          <t>Cliente; contrato; projeto; centro de custo</t>
        </is>
      </c>
      <c r="G11" s="16" t="inlineStr">
        <is>
          <t>Diária</t>
        </is>
      </c>
      <c r="H11" s="16" t="inlineStr">
        <is>
          <t>API</t>
        </is>
      </c>
      <c r="I11" s="16" t="inlineStr">
        <is>
          <t>Comercial/CS</t>
        </is>
      </c>
      <c r="J11" s="16" t="inlineStr">
        <is>
          <t>Comercial</t>
        </is>
      </c>
      <c r="K11" s="16" t="inlineStr">
        <is>
          <t>IDs únicos</t>
        </is>
      </c>
      <c r="L11" s="16" t="inlineStr">
        <is>
          <t>5 anos</t>
        </is>
      </c>
      <c r="M11" s="16" t="inlineStr">
        <is>
          <t>Prioridade piloto</t>
        </is>
      </c>
    </row>
    <row r="12" ht="15" customHeight="1">
      <c r="A12" s="16" t="inlineStr">
        <is>
          <t>SRC-08</t>
        </is>
      </c>
      <c r="B12" s="16" t="inlineStr">
        <is>
          <t>Folha</t>
        </is>
      </c>
      <c r="C12" s="16" t="inlineStr">
        <is>
          <t>Payroll</t>
        </is>
      </c>
      <c r="D12" s="16" t="inlineStr">
        <is>
          <t>Salário, encargos, benefícios e custo total</t>
        </is>
      </c>
      <c r="E12" s="16" t="inlineStr">
        <is>
          <t>Pessoa; período</t>
        </is>
      </c>
      <c r="F12" s="16" t="inlineStr">
        <is>
          <t>ID Workday; CC</t>
        </is>
      </c>
      <c r="G12" s="16" t="inlineStr">
        <is>
          <t>Mensal</t>
        </is>
      </c>
      <c r="H12" s="16" t="inlineStr">
        <is>
          <t>SFTP seguro</t>
        </is>
      </c>
      <c r="I12" s="16" t="inlineStr">
        <is>
          <t>Folha/Financeiro</t>
        </is>
      </c>
      <c r="J12" s="16" t="inlineStr">
        <is>
          <t>Altamente confidencial</t>
        </is>
      </c>
      <c r="K12" s="16" t="inlineStr">
        <is>
          <t>Conciliado à folha</t>
        </is>
      </c>
      <c r="L12" s="16" t="inlineStr">
        <is>
          <t>Legal</t>
        </is>
      </c>
      <c r="M12" s="16" t="inlineStr">
        <is>
          <t>Prioridade piloto</t>
        </is>
      </c>
    </row>
    <row r="13" ht="15" customHeight="1">
      <c r="A13" s="16" t="inlineStr">
        <is>
          <t>SRC-09</t>
        </is>
      </c>
      <c r="B13" s="16" t="inlineStr">
        <is>
          <t>Recrutamento</t>
        </is>
      </c>
      <c r="C13" s="16" t="inlineStr">
        <is>
          <t>Gupy/InHire/Vagas</t>
        </is>
      </c>
      <c r="D13" s="16" t="inlineStr">
        <is>
          <t>Vagas, candidatos, etapas e contratação</t>
        </is>
      </c>
      <c r="E13" s="16" t="inlineStr">
        <is>
          <t>Candidatura; vaga; origem</t>
        </is>
      </c>
      <c r="F13" s="16" t="inlineStr">
        <is>
          <t>E-mail; vaga; requisitante</t>
        </is>
      </c>
      <c r="G13" s="16" t="inlineStr">
        <is>
          <t>Diária</t>
        </is>
      </c>
      <c r="H13" s="16" t="inlineStr">
        <is>
          <t>API/CSV</t>
        </is>
      </c>
      <c r="I13" s="16" t="inlineStr">
        <is>
          <t>Talent Acquisition</t>
        </is>
      </c>
      <c r="J13" s="16" t="inlineStr">
        <is>
          <t>Pessoal/sensível</t>
        </is>
      </c>
      <c r="K13" s="16" t="inlineStr">
        <is>
          <t>Deduplicação ≥98%</t>
        </is>
      </c>
      <c r="L13" s="16" t="inlineStr">
        <is>
          <t>24 meses</t>
        </is>
      </c>
      <c r="M13" s="16" t="inlineStr">
        <is>
          <t>Fase seguinte</t>
        </is>
      </c>
    </row>
    <row r="14" ht="15" customHeight="1">
      <c r="A14" s="16" t="inlineStr">
        <is>
          <t>SRC-10</t>
        </is>
      </c>
      <c r="B14" s="16" t="inlineStr">
        <is>
          <t>Fornecedores</t>
        </is>
      </c>
      <c r="C14" s="16" t="inlineStr">
        <is>
          <t>ERP/planilhas/e-mail</t>
        </is>
      </c>
      <c r="D14" s="16" t="inlineStr">
        <is>
          <t>Cadastro, cotação, SLA, risco e pagamento</t>
        </is>
      </c>
      <c r="E14" s="16" t="inlineStr">
        <is>
          <t>CNPJ; proposta; categoria</t>
        </is>
      </c>
      <c r="F14" s="16" t="inlineStr">
        <is>
          <t>Fornecedor; contrato; comprador</t>
        </is>
      </c>
      <c r="G14" s="16" t="inlineStr">
        <is>
          <t>Semanal/mensal</t>
        </is>
      </c>
      <c r="H14" s="16" t="inlineStr">
        <is>
          <t>API/CSV/Form</t>
        </is>
      </c>
      <c r="I14" s="16" t="inlineStr">
        <is>
          <t>Compras</t>
        </is>
      </c>
      <c r="J14" s="16" t="inlineStr">
        <is>
          <t>Comercial</t>
        </is>
      </c>
      <c r="K14" s="16" t="inlineStr">
        <is>
          <t>CNPJ válido</t>
        </is>
      </c>
      <c r="L14" s="16" t="inlineStr">
        <is>
          <t>5 anos</t>
        </is>
      </c>
      <c r="M14" s="16" t="inlineStr">
        <is>
          <t>Fase seguinte</t>
        </is>
      </c>
    </row>
    <row r="15" ht="15" customHeight="1">
      <c r="A15" s="16" t="inlineStr">
        <is>
          <t>SRC-11</t>
        </is>
      </c>
      <c r="B15" s="16" t="inlineStr">
        <is>
          <t>Aprendizagem</t>
        </is>
      </c>
      <c r="C15" s="16" t="inlineStr">
        <is>
          <t>LMS</t>
        </is>
      </c>
      <c r="D15" s="16" t="inlineStr">
        <is>
          <t>Cursos, skills, conclusão, avaliação e custo</t>
        </is>
      </c>
      <c r="E15" s="16" t="inlineStr">
        <is>
          <t>Matrícula; curso; skill</t>
        </is>
      </c>
      <c r="F15" s="16" t="inlineStr">
        <is>
          <t>Pessoa; skill; área</t>
        </is>
      </c>
      <c r="G15" s="16" t="inlineStr">
        <is>
          <t>Diária</t>
        </is>
      </c>
      <c r="H15" s="16" t="inlineStr">
        <is>
          <t>API</t>
        </is>
      </c>
      <c r="I15" s="16" t="inlineStr">
        <is>
          <t>T&amp;D</t>
        </is>
      </c>
      <c r="J15" s="16" t="inlineStr">
        <is>
          <t>Pessoal</t>
        </is>
      </c>
      <c r="K15" s="16" t="inlineStr">
        <is>
          <t>≥95% conclusões</t>
        </is>
      </c>
      <c r="L15" s="16" t="inlineStr">
        <is>
          <t>36 meses</t>
        </is>
      </c>
      <c r="M15" s="16" t="inlineStr">
        <is>
          <t>Fase seguinte</t>
        </is>
      </c>
    </row>
    <row r="16" ht="15" customHeight="1">
      <c r="A16" s="16" t="inlineStr">
        <is>
          <t>SRC-12</t>
        </is>
      </c>
      <c r="B16" s="16" t="inlineStr">
        <is>
          <t>HUB</t>
        </is>
      </c>
      <c r="C16" s="16" t="inlineStr">
        <is>
          <t>Telemetria/Audit log</t>
        </is>
      </c>
      <c r="D16" s="16" t="inlineStr">
        <is>
          <t>Uso, alertas, recomendações, decisões e ações; envelope canônico FLD-042→045 obrigatório.</t>
        </is>
      </c>
      <c r="E16" s="16" t="inlineStr">
        <is>
          <t>Evento; usuário; objeto; timestamp</t>
        </is>
      </c>
      <c r="F16" s="16" t="inlineStr">
        <is>
          <t>Organização; pessoa; alerta; decisão</t>
        </is>
      </c>
      <c r="G16" s="16" t="inlineStr">
        <is>
          <t>Tempo real</t>
        </is>
      </c>
      <c r="H16" s="16" t="inlineStr">
        <is>
          <t>Evento interno</t>
        </is>
      </c>
      <c r="I16" s="16" t="inlineStr">
        <is>
          <t>Produto HUB</t>
        </is>
      </c>
      <c r="J16" s="16" t="inlineStr">
        <is>
          <t>Técnico/confidencial</t>
        </is>
      </c>
      <c r="K16" s="16" t="inlineStr">
        <is>
          <t>≥99,5% eventos essenciais</t>
        </is>
      </c>
      <c r="L16" s="16" t="inlineStr">
        <is>
          <t>24 meses</t>
        </is>
      </c>
      <c r="M16" s="16" t="inlineStr">
        <is>
          <t>Obrigatório</t>
        </is>
      </c>
    </row>
  </sheetData>
  <mergeCells count="2">
    <mergeCell ref="A2:M2"/>
    <mergeCell ref="A1:M1"/>
  </mergeCells>
  <dataValidations count="1">
    <dataValidation sqref="M5:M250" showDropDown="0" showInputMessage="0" showErrorMessage="0" allowBlank="0" type="list">
      <formula1>"A confirmar,Parcial,Disponível piloto,Prioridade piloto,Fase seguinte,Obrigatório,Integrado,Bloqueado"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42" customWidth="1" min="4" max="4"/>
    <col width="16" customWidth="1" min="5" max="5"/>
    <col width="16" customWidth="1" min="6" max="6"/>
    <col width="20" customWidth="1" min="7" max="7"/>
    <col width="22" customWidth="1" min="8" max="8"/>
    <col width="40" customWidth="1" min="9" max="9"/>
    <col width="30" customWidth="1" min="10" max="10"/>
    <col width="22" customWidth="1" min="11" max="11"/>
    <col width="28" customWidth="1" min="12" max="12"/>
    <col width="35" customWidth="1" min="13" max="13"/>
    <col width="18" customWidth="1" min="14" max="14"/>
  </cols>
  <sheetData>
    <row r="1" ht="32" customHeight="1">
      <c r="A1" s="2" t="inlineStr">
        <is>
          <t>05_DICIONARIO</t>
        </is>
      </c>
    </row>
    <row r="2" ht="28" customHeight="1">
      <c r="A2" s="5" t="inlineStr">
        <is>
          <t>Campos canônicos para contratos de dados e APIs.</t>
        </is>
      </c>
    </row>
    <row r="4" ht="36" customHeight="1">
      <c r="A4" s="8" t="inlineStr">
        <is>
          <t>ID</t>
        </is>
      </c>
      <c r="B4" s="8" t="inlineStr">
        <is>
          <t>Entidade</t>
        </is>
      </c>
      <c r="C4" s="8" t="inlineStr">
        <is>
          <t>Campo</t>
        </is>
      </c>
      <c r="D4" s="8" t="inlineStr">
        <is>
          <t>Descrição</t>
        </is>
      </c>
      <c r="E4" s="8" t="inlineStr">
        <is>
          <t>Tipo</t>
        </is>
      </c>
      <c r="F4" s="8" t="inlineStr">
        <is>
          <t>Obrigatório</t>
        </is>
      </c>
      <c r="G4" s="8" t="inlineStr">
        <is>
          <t>Exemplo</t>
        </is>
      </c>
      <c r="H4" s="8" t="inlineStr">
        <is>
          <t>Fonte</t>
        </is>
      </c>
      <c r="I4" s="8" t="inlineStr">
        <is>
          <t>Transformação</t>
        </is>
      </c>
      <c r="J4" s="8" t="inlineStr">
        <is>
          <t>Relacionamento</t>
        </is>
      </c>
      <c r="K4" s="8" t="inlineStr">
        <is>
          <t>Sensibilidade</t>
        </is>
      </c>
      <c r="L4" s="8" t="inlineStr">
        <is>
          <t>Visibilidade</t>
        </is>
      </c>
      <c r="M4" s="8" t="inlineStr">
        <is>
          <t>Validação</t>
        </is>
      </c>
      <c r="N4" s="8" t="inlineStr">
        <is>
          <t>Cadência</t>
        </is>
      </c>
    </row>
    <row r="5" ht="15" customHeight="1">
      <c r="A5" s="16" t="inlineStr">
        <is>
          <t>FLD-001</t>
        </is>
      </c>
      <c r="B5" s="16" t="inlineStr">
        <is>
          <t>Pessoa</t>
        </is>
      </c>
      <c r="C5" s="16" t="inlineStr">
        <is>
          <t>person_id</t>
        </is>
      </c>
      <c r="D5" s="16" t="inlineStr">
        <is>
          <t>ID interno pseudonimizado.</t>
        </is>
      </c>
      <c r="E5" s="16" t="inlineStr">
        <is>
          <t>UUID</t>
        </is>
      </c>
      <c r="F5" s="16" t="inlineStr">
        <is>
          <t>Sim</t>
        </is>
      </c>
      <c r="G5" s="16" t="inlineStr">
        <is>
          <t>p_83f…</t>
        </is>
      </c>
      <c r="H5" s="16" t="inlineStr">
        <is>
          <t>HUB</t>
        </is>
      </c>
      <c r="I5" s="16" t="inlineStr">
        <is>
          <t>Gerar UUID/hash</t>
        </is>
      </c>
      <c r="J5" s="16" t="inlineStr">
        <is>
          <t>PK Pessoa</t>
        </is>
      </c>
      <c r="K5" s="16" t="inlineStr">
        <is>
          <t>Pessoal</t>
        </is>
      </c>
      <c r="L5" s="16" t="inlineStr">
        <is>
          <t>Sistema</t>
        </is>
      </c>
      <c r="M5" s="16" t="inlineStr">
        <is>
          <t>Único e não nulo</t>
        </is>
      </c>
      <c r="N5" s="16" t="inlineStr">
        <is>
          <t>Evento</t>
        </is>
      </c>
    </row>
    <row r="6" ht="15" customHeight="1">
      <c r="A6" s="16" t="inlineStr">
        <is>
          <t>FLD-002</t>
        </is>
      </c>
      <c r="B6" s="16" t="inlineStr">
        <is>
          <t>Pessoa</t>
        </is>
      </c>
      <c r="C6" s="16" t="inlineStr">
        <is>
          <t>workday_id</t>
        </is>
      </c>
      <c r="D6" s="16" t="inlineStr">
        <is>
          <t>ID da pessoa no HCM; alias namespaced, nunca PK/FK direta.</t>
        </is>
      </c>
      <c r="E6" s="16" t="inlineStr">
        <is>
          <t>Texto</t>
        </is>
      </c>
      <c r="F6" s="16" t="inlineStr">
        <is>
          <t>Piloto</t>
        </is>
      </c>
      <c r="G6" s="16" t="inlineStr">
        <is>
          <t>WD12345</t>
        </is>
      </c>
      <c r="H6" s="16" t="inlineStr">
        <is>
          <t>Workday</t>
        </is>
      </c>
      <c r="I6" s="16" t="inlineStr">
        <is>
          <t>Trim/uppercase</t>
        </is>
      </c>
      <c r="J6" s="16" t="inlineStr">
        <is>
          <t>alias (source_system=Workday, source_id) → canonical_id</t>
        </is>
      </c>
      <c r="K6" s="16" t="inlineStr">
        <is>
          <t>Confidencial</t>
        </is>
      </c>
      <c r="L6" s="16" t="inlineStr">
        <is>
          <t>RH/Admin</t>
        </is>
      </c>
      <c r="M6" s="16" t="inlineStr">
        <is>
          <t>Único por empresa/origem</t>
        </is>
      </c>
      <c r="N6" s="16" t="inlineStr">
        <is>
          <t>Diária</t>
        </is>
      </c>
    </row>
    <row r="7" ht="15" customHeight="1">
      <c r="A7" s="16" t="inlineStr">
        <is>
          <t>FLD-003</t>
        </is>
      </c>
      <c r="B7" s="16" t="inlineStr">
        <is>
          <t>Pessoa</t>
        </is>
      </c>
      <c r="C7" s="16" t="inlineStr">
        <is>
          <t>manager_id</t>
        </is>
      </c>
      <c r="D7" s="16" t="inlineStr">
        <is>
          <t>Gestor vigente.</t>
        </is>
      </c>
      <c r="E7" s="16" t="inlineStr">
        <is>
          <t>UUID</t>
        </is>
      </c>
      <c r="F7" s="16" t="inlineStr">
        <is>
          <t>Sim</t>
        </is>
      </c>
      <c r="G7" s="16" t="inlineStr">
        <is>
          <t>p_102…</t>
        </is>
      </c>
      <c r="H7" s="16" t="inlineStr">
        <is>
          <t>Workday</t>
        </is>
      </c>
      <c r="I7" s="16" t="inlineStr">
        <is>
          <t>Resolver person_id</t>
        </is>
      </c>
      <c r="J7" s="16" t="inlineStr">
        <is>
          <t>Pessoa→Pessoa</t>
        </is>
      </c>
      <c r="K7" s="16" t="inlineStr">
        <is>
          <t>Confidencial</t>
        </is>
      </c>
      <c r="L7" s="16" t="inlineStr">
        <is>
          <t>Hierarquia</t>
        </is>
      </c>
      <c r="M7" s="16" t="inlineStr">
        <is>
          <t>Gestor ativo</t>
        </is>
      </c>
      <c r="N7" s="16" t="inlineStr">
        <is>
          <t>Diária</t>
        </is>
      </c>
    </row>
    <row r="8" ht="15" customHeight="1">
      <c r="A8" s="16" t="inlineStr">
        <is>
          <t>FLD-004</t>
        </is>
      </c>
      <c r="B8" s="16" t="inlineStr">
        <is>
          <t>Pessoa</t>
        </is>
      </c>
      <c r="C8" s="16" t="inlineStr">
        <is>
          <t>job_title</t>
        </is>
      </c>
      <c r="D8" s="16" t="inlineStr">
        <is>
          <t>Cargo atual normalizado.</t>
        </is>
      </c>
      <c r="E8" s="16" t="inlineStr">
        <is>
          <t>Texto</t>
        </is>
      </c>
      <c r="F8" s="16" t="inlineStr">
        <is>
          <t>Sim</t>
        </is>
      </c>
      <c r="G8" s="16" t="inlineStr">
        <is>
          <t>Analista Sênior</t>
        </is>
      </c>
      <c r="H8" s="16" t="inlineStr">
        <is>
          <t>Workday</t>
        </is>
      </c>
      <c r="I8" s="16" t="inlineStr">
        <is>
          <t>Taxonomia de cargos</t>
        </is>
      </c>
      <c r="J8" s="16" t="inlineStr">
        <is>
          <t>Pessoa→Cargo</t>
        </is>
      </c>
      <c r="K8" s="16" t="inlineStr">
        <is>
          <t>Pessoal</t>
        </is>
      </c>
      <c r="L8" s="16" t="inlineStr">
        <is>
          <t>Autorizados</t>
        </is>
      </c>
      <c r="M8" s="16" t="inlineStr">
        <is>
          <t>Taxonomia válida</t>
        </is>
      </c>
      <c r="N8" s="16" t="inlineStr">
        <is>
          <t>Diária</t>
        </is>
      </c>
    </row>
    <row r="9" ht="15" customHeight="1">
      <c r="A9" s="16" t="inlineStr">
        <is>
          <t>FLD-005</t>
        </is>
      </c>
      <c r="B9" s="16" t="inlineStr">
        <is>
          <t>Demografia</t>
        </is>
      </c>
      <c r="C9" s="16" t="inlineStr">
        <is>
          <t>gender</t>
        </is>
      </c>
      <c r="D9" s="16" t="inlineStr">
        <is>
          <t>Gênero autodeclarado.</t>
        </is>
      </c>
      <c r="E9" s="16" t="inlineStr">
        <is>
          <t>Categoria</t>
        </is>
      </c>
      <c r="F9" s="16" t="inlineStr">
        <is>
          <t>Não</t>
        </is>
      </c>
      <c r="G9" s="16" t="inlineStr">
        <is>
          <t>Mulher</t>
        </is>
      </c>
      <c r="H9" s="16" t="inlineStr">
        <is>
          <t>HCM/Censo</t>
        </is>
      </c>
      <c r="I9" s="16" t="inlineStr">
        <is>
          <t>Taxonomia + não informado</t>
        </is>
      </c>
      <c r="J9" s="16" t="inlineStr">
        <is>
          <t>Pessoa→Demografia</t>
        </is>
      </c>
      <c r="K9" s="16" t="inlineStr">
        <is>
          <t>Sensível</t>
        </is>
      </c>
      <c r="L9" s="16" t="inlineStr">
        <is>
          <t>Somente agregado</t>
        </is>
      </c>
      <c r="M9" s="16" t="inlineStr">
        <is>
          <t>Finalidade/consentimento</t>
        </is>
      </c>
      <c r="N9" s="16" t="inlineStr">
        <is>
          <t>Atualização</t>
        </is>
      </c>
    </row>
    <row r="10" ht="15" customHeight="1">
      <c r="A10" s="16" t="inlineStr">
        <is>
          <t>FLD-006</t>
        </is>
      </c>
      <c r="B10" s="16" t="inlineStr">
        <is>
          <t>Demografia</t>
        </is>
      </c>
      <c r="C10" s="16" t="inlineStr">
        <is>
          <t>race_ethnicity</t>
        </is>
      </c>
      <c r="D10" s="16" t="inlineStr">
        <is>
          <t>Raça/cor autodeclarada.</t>
        </is>
      </c>
      <c r="E10" s="16" t="inlineStr">
        <is>
          <t>Categoria</t>
        </is>
      </c>
      <c r="F10" s="16" t="inlineStr">
        <is>
          <t>Não</t>
        </is>
      </c>
      <c r="G10" s="16" t="inlineStr">
        <is>
          <t>Negra</t>
        </is>
      </c>
      <c r="H10" s="16" t="inlineStr">
        <is>
          <t>HCM/Censo</t>
        </is>
      </c>
      <c r="I10" s="16" t="inlineStr">
        <is>
          <t>Taxonomia local</t>
        </is>
      </c>
      <c r="J10" s="16" t="inlineStr">
        <is>
          <t>Pessoa→Demografia</t>
        </is>
      </c>
      <c r="K10" s="16" t="inlineStr">
        <is>
          <t>Sensível</t>
        </is>
      </c>
      <c r="L10" s="16" t="inlineStr">
        <is>
          <t>Somente agregado</t>
        </is>
      </c>
      <c r="M10" s="16" t="inlineStr">
        <is>
          <t>Finalidade/consentimento</t>
        </is>
      </c>
      <c r="N10" s="16" t="inlineStr">
        <is>
          <t>Atualização</t>
        </is>
      </c>
    </row>
    <row r="11" ht="15" customHeight="1">
      <c r="A11" s="16" t="inlineStr">
        <is>
          <t>FLD-007</t>
        </is>
      </c>
      <c r="B11" s="16" t="inlineStr">
        <is>
          <t>Demografia</t>
        </is>
      </c>
      <c r="C11" s="16" t="inlineStr">
        <is>
          <t>disability_status</t>
        </is>
      </c>
      <c r="D11" s="16" t="inlineStr">
        <is>
          <t>Autodeclaração PcD.</t>
        </is>
      </c>
      <c r="E11" s="16" t="inlineStr">
        <is>
          <t>Categoria</t>
        </is>
      </c>
      <c r="F11" s="16" t="inlineStr">
        <is>
          <t>Não</t>
        </is>
      </c>
      <c r="G11" s="16" t="inlineStr">
        <is>
          <t>Sim</t>
        </is>
      </c>
      <c r="H11" s="16" t="inlineStr">
        <is>
          <t>HCM/Censo</t>
        </is>
      </c>
      <c r="I11" s="16" t="inlineStr">
        <is>
          <t>Normalização</t>
        </is>
      </c>
      <c r="J11" s="16" t="inlineStr">
        <is>
          <t>Pessoa→Demografia</t>
        </is>
      </c>
      <c r="K11" s="16" t="inlineStr">
        <is>
          <t>Sensível</t>
        </is>
      </c>
      <c r="L11" s="16" t="inlineStr">
        <is>
          <t>Somente agregado</t>
        </is>
      </c>
      <c r="M11" s="16" t="inlineStr">
        <is>
          <t>Finalidade/consentimento</t>
        </is>
      </c>
      <c r="N11" s="16" t="inlineStr">
        <is>
          <t>Atualização</t>
        </is>
      </c>
    </row>
    <row r="12" ht="15" customHeight="1">
      <c r="A12" s="16" t="inlineStr">
        <is>
          <t>FLD-008</t>
        </is>
      </c>
      <c r="B12" s="16" t="inlineStr">
        <is>
          <t>Performance</t>
        </is>
      </c>
      <c r="C12" s="16" t="inlineStr">
        <is>
          <t>review_score_manager</t>
        </is>
      </c>
      <c r="D12" s="16" t="inlineStr">
        <is>
          <t>Nota do gestor normalizada.</t>
        </is>
      </c>
      <c r="E12" s="16" t="inlineStr">
        <is>
          <t>Decimal</t>
        </is>
      </c>
      <c r="F12" s="16" t="inlineStr">
        <is>
          <t>Sim</t>
        </is>
      </c>
      <c r="G12" s="16" t="inlineStr">
        <is>
          <t>3.7</t>
        </is>
      </c>
      <c r="H12" s="16" t="inlineStr">
        <is>
          <t>Performance</t>
        </is>
      </c>
      <c r="I12" s="16" t="inlineStr">
        <is>
          <t>Escala 0–5</t>
        </is>
      </c>
      <c r="J12" s="16" t="inlineStr">
        <is>
          <t>Pessoa+Ciclo</t>
        </is>
      </c>
      <c r="K12" s="16" t="inlineStr">
        <is>
          <t>Confidencial</t>
        </is>
      </c>
      <c r="L12" s="16" t="inlineStr">
        <is>
          <t>Pessoa/Gestor/RH</t>
        </is>
      </c>
      <c r="M12" s="16" t="inlineStr">
        <is>
          <t>0 a 5</t>
        </is>
      </c>
      <c r="N12" s="16" t="inlineStr">
        <is>
          <t>Ciclo</t>
        </is>
      </c>
    </row>
    <row r="13" ht="15" customHeight="1">
      <c r="A13" s="16" t="inlineStr">
        <is>
          <t>FLD-009</t>
        </is>
      </c>
      <c r="B13" s="16" t="inlineStr">
        <is>
          <t>Performance</t>
        </is>
      </c>
      <c r="C13" s="16" t="inlineStr">
        <is>
          <t>review_score_self</t>
        </is>
      </c>
      <c r="D13" s="16" t="inlineStr">
        <is>
          <t>Nota da autoavaliação.</t>
        </is>
      </c>
      <c r="E13" s="16" t="inlineStr">
        <is>
          <t>Decimal</t>
        </is>
      </c>
      <c r="F13" s="16" t="inlineStr">
        <is>
          <t>Não</t>
        </is>
      </c>
      <c r="G13" s="16" t="inlineStr">
        <is>
          <t>4.1</t>
        </is>
      </c>
      <c r="H13" s="16" t="inlineStr">
        <is>
          <t>Performance</t>
        </is>
      </c>
      <c r="I13" s="16" t="inlineStr">
        <is>
          <t>Escala 0–5</t>
        </is>
      </c>
      <c r="J13" s="16" t="inlineStr">
        <is>
          <t>Pessoa+Ciclo</t>
        </is>
      </c>
      <c r="K13" s="16" t="inlineStr">
        <is>
          <t>Confidencial</t>
        </is>
      </c>
      <c r="L13" s="16" t="inlineStr">
        <is>
          <t>Pessoa/Gestor/RH</t>
        </is>
      </c>
      <c r="M13" s="16" t="inlineStr">
        <is>
          <t>0 a 5</t>
        </is>
      </c>
      <c r="N13" s="16" t="inlineStr">
        <is>
          <t>Ciclo</t>
        </is>
      </c>
    </row>
    <row r="14" ht="15" customHeight="1">
      <c r="A14" s="16" t="inlineStr">
        <is>
          <t>FLD-010</t>
        </is>
      </c>
      <c r="B14" s="16" t="inlineStr">
        <is>
          <t>Performance</t>
        </is>
      </c>
      <c r="C14" s="16" t="inlineStr">
        <is>
          <t>nine_box_position</t>
        </is>
      </c>
      <c r="D14" s="16" t="inlineStr">
        <is>
          <t>Posição 9-box.</t>
        </is>
      </c>
      <c r="E14" s="16" t="inlineStr">
        <is>
          <t>Categoria</t>
        </is>
      </c>
      <c r="F14" s="16" t="inlineStr">
        <is>
          <t>Não</t>
        </is>
      </c>
      <c r="G14" s="16" t="inlineStr">
        <is>
          <t>Alto/Alto</t>
        </is>
      </c>
      <c r="H14" s="16" t="inlineStr">
        <is>
          <t>Performance</t>
        </is>
      </c>
      <c r="I14" s="16" t="inlineStr">
        <is>
          <t>Taxonomia 3x3</t>
        </is>
      </c>
      <c r="J14" s="16" t="inlineStr">
        <is>
          <t>Pessoa+Ciclo</t>
        </is>
      </c>
      <c r="K14" s="16" t="inlineStr">
        <is>
          <t>Confidencial</t>
        </is>
      </c>
      <c r="L14" s="16" t="inlineStr">
        <is>
          <t>Gestor/RH</t>
        </is>
      </c>
      <c r="M14" s="16" t="inlineStr">
        <is>
          <t>Valor permitido</t>
        </is>
      </c>
      <c r="N14" s="16" t="inlineStr">
        <is>
          <t>Ciclo</t>
        </is>
      </c>
    </row>
    <row r="15" ht="15" customHeight="1">
      <c r="A15" s="16" t="inlineStr">
        <is>
          <t>FLD-011</t>
        </is>
      </c>
      <c r="B15" s="16" t="inlineStr">
        <is>
          <t>Meta</t>
        </is>
      </c>
      <c r="C15" s="16" t="inlineStr">
        <is>
          <t>goal_id</t>
        </is>
      </c>
      <c r="D15" s="16" t="inlineStr">
        <is>
          <t>ID persistente da meta.</t>
        </is>
      </c>
      <c r="E15" s="16" t="inlineStr">
        <is>
          <t>UUID</t>
        </is>
      </c>
      <c r="F15" s="16" t="inlineStr">
        <is>
          <t>Sim</t>
        </is>
      </c>
      <c r="G15" s="16" t="inlineStr">
        <is>
          <t>g_123…</t>
        </is>
      </c>
      <c r="H15" s="16" t="inlineStr">
        <is>
          <t>Performance/HUB</t>
        </is>
      </c>
      <c r="I15" s="16" t="inlineStr">
        <is>
          <t>Preservar origem</t>
        </is>
      </c>
      <c r="J15" s="16" t="inlineStr">
        <is>
          <t>Meta→Pessoa/Equipe</t>
        </is>
      </c>
      <c r="K15" s="16" t="inlineStr">
        <is>
          <t>Confidencial</t>
        </is>
      </c>
      <c r="L15" s="16" t="inlineStr">
        <is>
          <t>Autorizados</t>
        </is>
      </c>
      <c r="M15" s="16" t="inlineStr">
        <is>
          <t>Único</t>
        </is>
      </c>
      <c r="N15" s="16" t="inlineStr">
        <is>
          <t>Evento</t>
        </is>
      </c>
    </row>
    <row r="16" ht="15" customHeight="1">
      <c r="A16" s="16" t="inlineStr">
        <is>
          <t>FLD-012</t>
        </is>
      </c>
      <c r="B16" s="16" t="inlineStr">
        <is>
          <t>Meta</t>
        </is>
      </c>
      <c r="C16" s="16" t="inlineStr">
        <is>
          <t>goal_progress</t>
        </is>
      </c>
      <c r="D16" s="16" t="inlineStr">
        <is>
          <t>Progresso atual.</t>
        </is>
      </c>
      <c r="E16" s="16" t="inlineStr">
        <is>
          <t>Percentual</t>
        </is>
      </c>
      <c r="F16" s="16" t="inlineStr">
        <is>
          <t>Sim</t>
        </is>
      </c>
      <c r="G16" s="53" t="n">
        <v>0.71</v>
      </c>
      <c r="H16" s="16" t="inlineStr">
        <is>
          <t>Performance/HUB</t>
        </is>
      </c>
      <c r="I16" s="16" t="inlineStr">
        <is>
          <t>Dividir por 100 se necessário</t>
        </is>
      </c>
      <c r="J16" s="16" t="inlineStr">
        <is>
          <t>Meta+Período</t>
        </is>
      </c>
      <c r="K16" s="16" t="inlineStr">
        <is>
          <t>Confidencial</t>
        </is>
      </c>
      <c r="L16" s="16" t="inlineStr">
        <is>
          <t>Autorizados</t>
        </is>
      </c>
      <c r="M16" s="16" t="inlineStr">
        <is>
          <t>0%–200% justificado</t>
        </is>
      </c>
      <c r="N16" s="16" t="inlineStr">
        <is>
          <t>Semanal</t>
        </is>
      </c>
    </row>
    <row r="17" ht="15" customHeight="1">
      <c r="A17" s="16" t="inlineStr">
        <is>
          <t>FLD-013</t>
        </is>
      </c>
      <c r="B17" s="16" t="inlineStr">
        <is>
          <t>Meta</t>
        </is>
      </c>
      <c r="C17" s="16" t="inlineStr">
        <is>
          <t>financial_kpi_id</t>
        </is>
      </c>
      <c r="D17" s="16" t="inlineStr">
        <is>
          <t>KPI financeiro ligado à meta.</t>
        </is>
      </c>
      <c r="E17" s="16" t="inlineStr">
        <is>
          <t>ID</t>
        </is>
      </c>
      <c r="F17" s="16" t="inlineStr">
        <is>
          <t>Sim HUB</t>
        </is>
      </c>
      <c r="G17" s="16" t="inlineStr">
        <is>
          <t>KPI-FIN-01</t>
        </is>
      </c>
      <c r="H17" s="16" t="inlineStr">
        <is>
          <t>HUB</t>
        </is>
      </c>
      <c r="I17" s="16" t="inlineStr">
        <is>
          <t>Referenciar KPI aprovado</t>
        </is>
      </c>
      <c r="J17" s="16" t="inlineStr">
        <is>
          <t>Meta→KPI</t>
        </is>
      </c>
      <c r="K17" s="16" t="inlineStr">
        <is>
          <t>Confidencial</t>
        </is>
      </c>
      <c r="L17" s="16" t="inlineStr">
        <is>
          <t>Autorizados</t>
        </is>
      </c>
      <c r="M17" s="16" t="inlineStr">
        <is>
          <t>KPI ativo</t>
        </is>
      </c>
      <c r="N17" s="16" t="inlineStr">
        <is>
          <t>Criação/revisão</t>
        </is>
      </c>
    </row>
    <row r="18" ht="15" customHeight="1">
      <c r="A18" s="16" t="inlineStr">
        <is>
          <t>FLD-014</t>
        </is>
      </c>
      <c r="B18" s="16" t="inlineStr">
        <is>
          <t>Alocação</t>
        </is>
      </c>
      <c r="C18" s="16" t="inlineStr">
        <is>
          <t>available_hours</t>
        </is>
      </c>
      <c r="D18" s="16" t="inlineStr">
        <is>
          <t>Horas úteis disponíveis.</t>
        </is>
      </c>
      <c r="E18" s="16" t="inlineStr">
        <is>
          <t>Decimal</t>
        </is>
      </c>
      <c r="F18" s="16" t="inlineStr">
        <is>
          <t>Sim</t>
        </is>
      </c>
      <c r="G18" s="16" t="inlineStr">
        <is>
          <t>160</t>
        </is>
      </c>
      <c r="H18" s="16" t="inlineStr">
        <is>
          <t>PSA</t>
        </is>
      </c>
      <c r="I18" s="16" t="inlineStr">
        <is>
          <t>Calendário-ausências</t>
        </is>
      </c>
      <c r="J18" s="16" t="inlineStr">
        <is>
          <t>Pessoa+Período</t>
        </is>
      </c>
      <c r="K18" s="16" t="inlineStr">
        <is>
          <t>Confidencial</t>
        </is>
      </c>
      <c r="L18" s="16" t="inlineStr">
        <is>
          <t>Gestor/Operações</t>
        </is>
      </c>
      <c r="M18" s="16" t="inlineStr">
        <is>
          <t>0 ao calendário</t>
        </is>
      </c>
      <c r="N18" s="16" t="inlineStr">
        <is>
          <t>Semanal</t>
        </is>
      </c>
    </row>
    <row r="19" ht="15" customHeight="1">
      <c r="A19" s="16" t="inlineStr">
        <is>
          <t>FLD-015</t>
        </is>
      </c>
      <c r="B19" s="16" t="inlineStr">
        <is>
          <t>Alocação</t>
        </is>
      </c>
      <c r="C19" s="16" t="inlineStr">
        <is>
          <t>billable_hours</t>
        </is>
      </c>
      <c r="D19" s="16" t="inlineStr">
        <is>
          <t>Horas faturáveis aprovadas.</t>
        </is>
      </c>
      <c r="E19" s="16" t="inlineStr">
        <is>
          <t>Decimal</t>
        </is>
      </c>
      <c r="F19" s="16" t="inlineStr">
        <is>
          <t>Sim</t>
        </is>
      </c>
      <c r="G19" s="16" t="inlineStr">
        <is>
          <t>128</t>
        </is>
      </c>
      <c r="H19" s="16" t="inlineStr">
        <is>
          <t>Timesheet</t>
        </is>
      </c>
      <c r="I19" s="16" t="inlineStr">
        <is>
          <t>Somar aprovadas</t>
        </is>
      </c>
      <c r="J19" s="16" t="inlineStr">
        <is>
          <t>Pessoa+Projeto+Período</t>
        </is>
      </c>
      <c r="K19" s="16" t="inlineStr">
        <is>
          <t>Confidencial</t>
        </is>
      </c>
      <c r="L19" s="16" t="inlineStr">
        <is>
          <t>Autorizados</t>
        </is>
      </c>
      <c r="M19" s="16" t="inlineStr">
        <is>
          <t>≤ horas totais</t>
        </is>
      </c>
      <c r="N19" s="16" t="inlineStr">
        <is>
          <t>Semanal</t>
        </is>
      </c>
    </row>
    <row r="20" ht="15" customHeight="1">
      <c r="A20" s="16" t="inlineStr">
        <is>
          <t>FLD-016</t>
        </is>
      </c>
      <c r="B20" s="16" t="inlineStr">
        <is>
          <t>Financeiro</t>
        </is>
      </c>
      <c r="C20" s="16" t="inlineStr">
        <is>
          <t>revenue</t>
        </is>
      </c>
      <c r="D20" s="16" t="inlineStr">
        <is>
          <t>Receita reconhecida.</t>
        </is>
      </c>
      <c r="E20" s="16" t="inlineStr">
        <is>
          <t>Moeda</t>
        </is>
      </c>
      <c r="F20" s="16" t="inlineStr">
        <is>
          <t>Sim</t>
        </is>
      </c>
      <c r="G20" s="16" t="inlineStr">
        <is>
          <t>250000</t>
        </is>
      </c>
      <c r="H20" s="16" t="inlineStr">
        <is>
          <t>ERP</t>
        </is>
      </c>
      <c r="I20" s="16" t="inlineStr">
        <is>
          <t>Moeda base/regra contábil</t>
        </is>
      </c>
      <c r="J20" s="16" t="inlineStr">
        <is>
          <t>Cliente+Projeto+Período</t>
        </is>
      </c>
      <c r="K20" s="16" t="inlineStr">
        <is>
          <t>Financeiro</t>
        </is>
      </c>
      <c r="L20" s="16" t="inlineStr">
        <is>
          <t>Financeiro/Diretoria</t>
        </is>
      </c>
      <c r="M20" s="16" t="inlineStr">
        <is>
          <t>Conciliar fechamento</t>
        </is>
      </c>
      <c r="N20" s="16" t="inlineStr">
        <is>
          <t>Mensal</t>
        </is>
      </c>
    </row>
    <row r="21" ht="15" customHeight="1">
      <c r="A21" s="16" t="inlineStr">
        <is>
          <t>FLD-017</t>
        </is>
      </c>
      <c r="B21" s="16" t="inlineStr">
        <is>
          <t>Financeiro</t>
        </is>
      </c>
      <c r="C21" s="16" t="inlineStr">
        <is>
          <t>direct_cost</t>
        </is>
      </c>
      <c r="D21" s="16" t="inlineStr">
        <is>
          <t>Custo diretamente atribuível.</t>
        </is>
      </c>
      <c r="E21" s="16" t="inlineStr">
        <is>
          <t>Moeda</t>
        </is>
      </c>
      <c r="F21" s="16" t="inlineStr">
        <is>
          <t>Sim</t>
        </is>
      </c>
      <c r="G21" s="16" t="inlineStr">
        <is>
          <t>175000</t>
        </is>
      </c>
      <c r="H21" s="16" t="inlineStr">
        <is>
          <t>ERP/Folha</t>
        </is>
      </c>
      <c r="I21" s="16" t="inlineStr">
        <is>
          <t>Moeda base</t>
        </is>
      </c>
      <c r="J21" s="16" t="inlineStr">
        <is>
          <t>Projeto+Período</t>
        </is>
      </c>
      <c r="K21" s="16" t="inlineStr">
        <is>
          <t>Financeiro</t>
        </is>
      </c>
      <c r="L21" s="16" t="inlineStr">
        <is>
          <t>Financeiro/Diretoria</t>
        </is>
      </c>
      <c r="M21" s="16" t="inlineStr">
        <is>
          <t>Conciliar razão</t>
        </is>
      </c>
      <c r="N21" s="16" t="inlineStr">
        <is>
          <t>Mensal</t>
        </is>
      </c>
    </row>
    <row r="22" ht="15" customHeight="1">
      <c r="A22" s="16" t="inlineStr">
        <is>
          <t>FLD-018</t>
        </is>
      </c>
      <c r="B22" s="16" t="inlineStr">
        <is>
          <t>Financeiro</t>
        </is>
      </c>
      <c r="C22" s="16" t="inlineStr">
        <is>
          <t>salary_total_cost</t>
        </is>
      </c>
      <c r="D22" s="16" t="inlineStr">
        <is>
          <t>Salário+encargos+benefícios.</t>
        </is>
      </c>
      <c r="E22" s="16" t="inlineStr">
        <is>
          <t>Moeda</t>
        </is>
      </c>
      <c r="F22" s="16" t="inlineStr">
        <is>
          <t>Piloto</t>
        </is>
      </c>
      <c r="G22" s="16" t="inlineStr">
        <is>
          <t>18500</t>
        </is>
      </c>
      <c r="H22" s="16" t="inlineStr">
        <is>
          <t>Folha</t>
        </is>
      </c>
      <c r="I22" s="16" t="inlineStr">
        <is>
          <t>Somar componentes</t>
        </is>
      </c>
      <c r="J22" s="16" t="inlineStr">
        <is>
          <t>Pessoa+Período</t>
        </is>
      </c>
      <c r="K22" s="16" t="inlineStr">
        <is>
          <t>Altamente confidencial</t>
        </is>
      </c>
      <c r="L22" s="16" t="inlineStr">
        <is>
          <t>Restrito</t>
        </is>
      </c>
      <c r="M22" s="16" t="inlineStr">
        <is>
          <t>Conciliar folha</t>
        </is>
      </c>
      <c r="N22" s="16" t="inlineStr">
        <is>
          <t>Mensal</t>
        </is>
      </c>
    </row>
    <row r="23" ht="15" customHeight="1">
      <c r="A23" s="16" t="inlineStr">
        <is>
          <t>FLD-019</t>
        </is>
      </c>
      <c r="B23" s="16" t="inlineStr">
        <is>
          <t>Cliente</t>
        </is>
      </c>
      <c r="C23" s="16" t="inlineStr">
        <is>
          <t>client_id</t>
        </is>
      </c>
      <c r="D23" s="16" t="inlineStr">
        <is>
          <t>ID canônico da conta.</t>
        </is>
      </c>
      <c r="E23" s="16" t="inlineStr">
        <is>
          <t>UUID</t>
        </is>
      </c>
      <c r="F23" s="16" t="inlineStr">
        <is>
          <t>Sim</t>
        </is>
      </c>
      <c r="G23" s="16" t="inlineStr">
        <is>
          <t>c_002…</t>
        </is>
      </c>
      <c r="H23" s="16" t="inlineStr">
        <is>
          <t>CRM/HUB</t>
        </is>
      </c>
      <c r="I23" s="16" t="inlineStr">
        <is>
          <t>Resolver duplicidades</t>
        </is>
      </c>
      <c r="J23" s="16" t="inlineStr">
        <is>
          <t>Cliente→Contrato/Projeto</t>
        </is>
      </c>
      <c r="K23" s="16" t="inlineStr">
        <is>
          <t>Comercial</t>
        </is>
      </c>
      <c r="L23" s="16" t="inlineStr">
        <is>
          <t>Autorizados</t>
        </is>
      </c>
      <c r="M23" s="16" t="inlineStr">
        <is>
          <t>Único/ativo</t>
        </is>
      </c>
      <c r="N23" s="16" t="inlineStr">
        <is>
          <t>Diária</t>
        </is>
      </c>
    </row>
    <row r="24" ht="15" customHeight="1">
      <c r="A24" s="16" t="inlineStr">
        <is>
          <t>FLD-020</t>
        </is>
      </c>
      <c r="B24" s="16" t="inlineStr">
        <is>
          <t>Fornecedor</t>
        </is>
      </c>
      <c r="C24" s="16" t="inlineStr">
        <is>
          <t>supplier_id</t>
        </is>
      </c>
      <c r="D24" s="16" t="inlineStr">
        <is>
          <t>ID canônico do fornecedor.</t>
        </is>
      </c>
      <c r="E24" s="16" t="inlineStr">
        <is>
          <t>UUID</t>
        </is>
      </c>
      <c r="F24" s="16" t="inlineStr">
        <is>
          <t>Fase</t>
        </is>
      </c>
      <c r="G24" s="16" t="inlineStr">
        <is>
          <t>s_010…</t>
        </is>
      </c>
      <c r="H24" s="16" t="inlineStr">
        <is>
          <t>ERP/HUB</t>
        </is>
      </c>
      <c r="I24" s="16" t="inlineStr">
        <is>
          <t>CNPJ normalizado+UUID</t>
        </is>
      </c>
      <c r="J24" s="16" t="inlineStr">
        <is>
          <t>Fornecedor→Contrato</t>
        </is>
      </c>
      <c r="K24" s="16" t="inlineStr">
        <is>
          <t>Comercial</t>
        </is>
      </c>
      <c r="L24" s="16" t="inlineStr">
        <is>
          <t>Compras/Fornecedor</t>
        </is>
      </c>
      <c r="M24" s="16" t="inlineStr">
        <is>
          <t>CNPJ válido</t>
        </is>
      </c>
      <c r="N24" s="16" t="inlineStr">
        <is>
          <t>Semanal</t>
        </is>
      </c>
    </row>
    <row r="25" ht="15" customHeight="1">
      <c r="A25" s="16" t="inlineStr">
        <is>
          <t>FLD-021</t>
        </is>
      </c>
      <c r="B25" s="16" t="inlineStr">
        <is>
          <t>Decisão</t>
        </is>
      </c>
      <c r="C25" s="16" t="inlineStr">
        <is>
          <t>decision_id</t>
        </is>
      </c>
      <c r="D25" s="16" t="inlineStr">
        <is>
          <t>ID da decisão ligada ao alerta.</t>
        </is>
      </c>
      <c r="E25" s="16" t="inlineStr">
        <is>
          <t>UUID</t>
        </is>
      </c>
      <c r="F25" s="16" t="inlineStr">
        <is>
          <t>Sim</t>
        </is>
      </c>
      <c r="G25" s="16" t="inlineStr">
        <is>
          <t>d_041…</t>
        </is>
      </c>
      <c r="H25" s="16" t="inlineStr">
        <is>
          <t>HUB</t>
        </is>
      </c>
      <c r="I25" s="16" t="inlineStr">
        <is>
          <t>Gerar UUID</t>
        </is>
      </c>
      <c r="J25" s="16" t="inlineStr">
        <is>
          <t>Alerta→Decisão→Ação</t>
        </is>
      </c>
      <c r="K25" s="16" t="inlineStr">
        <is>
          <t>Confidencial</t>
        </is>
      </c>
      <c r="L25" s="16" t="inlineStr">
        <is>
          <t>Autorizados/Auditoria</t>
        </is>
      </c>
      <c r="M25" s="16" t="inlineStr">
        <is>
          <t>Motivo e decisor</t>
        </is>
      </c>
      <c r="N25" s="16" t="inlineStr">
        <is>
          <t>Evento</t>
        </is>
      </c>
    </row>
    <row r="26" ht="15" customHeight="1">
      <c r="A26" s="16" t="inlineStr">
        <is>
          <t>FLD-022</t>
        </is>
      </c>
      <c r="B26" s="16" t="inlineStr">
        <is>
          <t>Decisão</t>
        </is>
      </c>
      <c r="C26" s="16" t="inlineStr">
        <is>
          <t>estimated_value</t>
        </is>
      </c>
      <c r="D26" s="16" t="inlineStr">
        <is>
          <t>Valor gerado estimado.</t>
        </is>
      </c>
      <c r="E26" s="16" t="inlineStr">
        <is>
          <t>Moeda</t>
        </is>
      </c>
      <c r="F26" s="16" t="inlineStr">
        <is>
          <t>Não</t>
        </is>
      </c>
      <c r="G26" s="16" t="inlineStr">
        <is>
          <t>120000</t>
        </is>
      </c>
      <c r="H26" s="16" t="inlineStr">
        <is>
          <t>HUB</t>
        </is>
      </c>
      <c r="I26" s="16" t="inlineStr">
        <is>
          <t>Premissas versionadas</t>
        </is>
      </c>
      <c r="J26" s="16" t="inlineStr">
        <is>
          <t>Decisão→ROI</t>
        </is>
      </c>
      <c r="K26" s="16" t="inlineStr">
        <is>
          <t>Financeiro</t>
        </is>
      </c>
      <c r="L26" s="16" t="inlineStr">
        <is>
          <t>Sponsor/Financeiro</t>
        </is>
      </c>
      <c r="M26" s="16" t="inlineStr">
        <is>
          <t>Premissas completas</t>
        </is>
      </c>
      <c r="N26" s="16" t="inlineStr">
        <is>
          <t>Decisão</t>
        </is>
      </c>
    </row>
    <row r="27" ht="15" customHeight="1">
      <c r="A27" s="16" t="inlineStr">
        <is>
          <t>FLD-023</t>
        </is>
      </c>
      <c r="B27" s="16" t="inlineStr">
        <is>
          <t>Decisão</t>
        </is>
      </c>
      <c r="C27" s="16" t="inlineStr">
        <is>
          <t>realized_value</t>
        </is>
      </c>
      <c r="D27" s="16" t="inlineStr">
        <is>
          <t>Valor gerado validado.</t>
        </is>
      </c>
      <c r="E27" s="16" t="inlineStr">
        <is>
          <t>Moeda</t>
        </is>
      </c>
      <c r="F27" s="16" t="inlineStr">
        <is>
          <t>Não</t>
        </is>
      </c>
      <c r="G27" s="16" t="inlineStr">
        <is>
          <t>85000</t>
        </is>
      </c>
      <c r="H27" s="16" t="inlineStr">
        <is>
          <t>ERP/HUB</t>
        </is>
      </c>
      <c r="I27" s="16" t="inlineStr">
        <is>
          <t>Validação Financeiro</t>
        </is>
      </c>
      <c r="J27" s="16" t="inlineStr">
        <is>
          <t>Decisão→ROI</t>
        </is>
      </c>
      <c r="K27" s="16" t="inlineStr">
        <is>
          <t>Financeiro</t>
        </is>
      </c>
      <c r="L27" s="16" t="inlineStr">
        <is>
          <t>Sponsor/Financeiro</t>
        </is>
      </c>
      <c r="M27" s="16" t="inlineStr">
        <is>
          <t>Evidência obrigatória</t>
        </is>
      </c>
      <c r="N27" s="16" t="inlineStr">
        <is>
          <t>Mensal</t>
        </is>
      </c>
    </row>
    <row r="28" ht="15" customHeight="1">
      <c r="A28" s="16" t="inlineStr">
        <is>
          <t>FLD-024</t>
        </is>
      </c>
      <c r="B28" s="16" t="inlineStr">
        <is>
          <t>Consentimento</t>
        </is>
      </c>
      <c r="C28" s="16" t="inlineStr">
        <is>
          <t>consent_id</t>
        </is>
      </c>
      <c r="D28" s="16" t="inlineStr">
        <is>
          <t>ID do consentimento por titular/finalidade.</t>
        </is>
      </c>
      <c r="E28" s="16" t="inlineStr">
        <is>
          <t>UUID</t>
        </is>
      </c>
      <c r="F28" s="16" t="inlineStr">
        <is>
          <t>Sim</t>
        </is>
      </c>
      <c r="G28" s="16" t="inlineStr">
        <is>
          <t>cons_001</t>
        </is>
      </c>
      <c r="H28" s="16" t="inlineStr">
        <is>
          <t>HUB/CMP</t>
        </is>
      </c>
      <c r="I28" s="16" t="inlineStr">
        <is>
          <t>Gerar UUID</t>
        </is>
      </c>
      <c r="J28" s="16" t="inlineStr">
        <is>
          <t>FK → N24 Consentimento</t>
        </is>
      </c>
      <c r="K28" s="16" t="inlineStr">
        <is>
          <t>Sensível</t>
        </is>
      </c>
      <c r="L28" s="16" t="inlineStr">
        <is>
          <t>DPO/Auditoria</t>
        </is>
      </c>
      <c r="M28" s="16" t="inlineStr">
        <is>
          <t>Único por titular/finalidade/versão</t>
        </is>
      </c>
      <c r="N28" s="16" t="inlineStr">
        <is>
          <t>Evento</t>
        </is>
      </c>
    </row>
    <row r="29" ht="15" customHeight="1">
      <c r="A29" s="16" t="inlineStr">
        <is>
          <t>FLD-025</t>
        </is>
      </c>
      <c r="B29" s="16" t="inlineStr">
        <is>
          <t>Consentimento</t>
        </is>
      </c>
      <c r="C29" s="16" t="inlineStr">
        <is>
          <t>purpose</t>
        </is>
      </c>
      <c r="D29" s="16" t="inlineStr">
        <is>
          <t>Finalidade específica autorizada.</t>
        </is>
      </c>
      <c r="E29" s="16" t="inlineStr">
        <is>
          <t>Enum</t>
        </is>
      </c>
      <c r="F29" s="16" t="inlineStr">
        <is>
          <t>Sim</t>
        </is>
      </c>
      <c r="G29" s="16" t="inlineStr">
        <is>
          <t>performance</t>
        </is>
      </c>
      <c r="H29" s="16" t="inlineStr">
        <is>
          <t>HUB/CMP</t>
        </is>
      </c>
      <c r="I29" s="16" t="inlineStr">
        <is>
          <t>Taxonomia LGPD</t>
        </is>
      </c>
      <c r="J29" s="16" t="inlineStr">
        <is>
          <t>Consent.purpose</t>
        </is>
      </c>
      <c r="K29" s="16" t="inlineStr">
        <is>
          <t>Sensível</t>
        </is>
      </c>
      <c r="L29" s="16" t="inlineStr">
        <is>
          <t>DPO/Auditoria</t>
        </is>
      </c>
      <c r="M29" s="16" t="inlineStr">
        <is>
          <t>Finalidade permitida</t>
        </is>
      </c>
      <c r="N29" s="16" t="inlineStr">
        <is>
          <t>Evento</t>
        </is>
      </c>
    </row>
    <row r="30" ht="15" customHeight="1">
      <c r="A30" s="16" t="inlineStr">
        <is>
          <t>FLD-026</t>
        </is>
      </c>
      <c r="B30" s="16" t="inlineStr">
        <is>
          <t>Consentimento</t>
        </is>
      </c>
      <c r="C30" s="16" t="inlineStr">
        <is>
          <t>legal_basis</t>
        </is>
      </c>
      <c r="D30" s="16" t="inlineStr">
        <is>
          <t>Base legal LGPD.</t>
        </is>
      </c>
      <c r="E30" s="16" t="inlineStr">
        <is>
          <t>Enum</t>
        </is>
      </c>
      <c r="F30" s="16" t="inlineStr">
        <is>
          <t>Sim</t>
        </is>
      </c>
      <c r="G30" s="16" t="inlineStr">
        <is>
          <t>consentimento</t>
        </is>
      </c>
      <c r="H30" s="16" t="inlineStr">
        <is>
          <t>HUB/CMP</t>
        </is>
      </c>
      <c r="I30" s="16" t="inlineStr">
        <is>
          <t>Taxonomia LGPD</t>
        </is>
      </c>
      <c r="J30" s="16" t="inlineStr">
        <is>
          <t>Consent.legal_basis</t>
        </is>
      </c>
      <c r="K30" s="16" t="inlineStr">
        <is>
          <t>Sensível</t>
        </is>
      </c>
      <c r="L30" s="16" t="inlineStr">
        <is>
          <t>DPO/Auditoria</t>
        </is>
      </c>
      <c r="M30" s="16" t="inlineStr">
        <is>
          <t>Base legal válida</t>
        </is>
      </c>
      <c r="N30" s="16" t="inlineStr">
        <is>
          <t>Evento</t>
        </is>
      </c>
    </row>
    <row r="31" ht="15" customHeight="1">
      <c r="A31" s="16" t="inlineStr">
        <is>
          <t>FLD-027</t>
        </is>
      </c>
      <c r="B31" s="16" t="inlineStr">
        <is>
          <t>Pessoa</t>
        </is>
      </c>
      <c r="C31" s="16" t="inlineStr">
        <is>
          <t>nome</t>
        </is>
      </c>
      <c r="D31" s="16" t="inlineStr">
        <is>
          <t>Nome completo canônico.</t>
        </is>
      </c>
      <c r="E31" s="16" t="inlineStr">
        <is>
          <t>Texto</t>
        </is>
      </c>
      <c r="F31" s="16" t="inlineStr">
        <is>
          <t>Sim</t>
        </is>
      </c>
      <c r="G31" s="16" t="inlineStr">
        <is>
          <t>Ana Paula Souza</t>
        </is>
      </c>
      <c r="H31" s="16" t="inlineStr">
        <is>
          <t>Workday/HCM</t>
        </is>
      </c>
      <c r="I31" s="16" t="inlineStr">
        <is>
          <t>Normalizar capitalização</t>
        </is>
      </c>
      <c r="J31" s="16" t="inlineStr">
        <is>
          <t>Pessoa→Identidade</t>
        </is>
      </c>
      <c r="K31" s="16" t="inlineStr">
        <is>
          <t>Pessoal</t>
        </is>
      </c>
      <c r="L31" s="16" t="inlineStr">
        <is>
          <t>Sistema/RH</t>
        </is>
      </c>
      <c r="M31" s="16" t="inlineStr">
        <is>
          <t>Único por pessoa</t>
        </is>
      </c>
      <c r="N31" s="16" t="inlineStr">
        <is>
          <t>Evento</t>
        </is>
      </c>
    </row>
    <row r="32" ht="15" customHeight="1">
      <c r="A32" s="16" t="inlineStr">
        <is>
          <t>FLD-028</t>
        </is>
      </c>
      <c r="B32" s="16" t="inlineStr">
        <is>
          <t>Pessoa</t>
        </is>
      </c>
      <c r="C32" s="16" t="inlineStr">
        <is>
          <t>nome_social</t>
        </is>
      </c>
      <c r="D32" s="16" t="inlineStr">
        <is>
          <t>Nome social preferido; exige N24.</t>
        </is>
      </c>
      <c r="E32" s="16" t="inlineStr">
        <is>
          <t>Texto</t>
        </is>
      </c>
      <c r="F32" s="16" t="inlineStr">
        <is>
          <t>Não</t>
        </is>
      </c>
      <c r="G32" s="16" t="inlineStr">
        <is>
          <t>Ana Paula</t>
        </is>
      </c>
      <c r="H32" s="16" t="inlineStr">
        <is>
          <t>Workday/HCM</t>
        </is>
      </c>
      <c r="I32" s="16" t="inlineStr">
        <is>
          <t>Normalizar apelido/nome social</t>
        </is>
      </c>
      <c r="J32" s="16" t="inlineStr">
        <is>
          <t>Pessoa→Identidade</t>
        </is>
      </c>
      <c r="K32" s="16" t="inlineStr">
        <is>
          <t>Sensível</t>
        </is>
      </c>
      <c r="L32" s="16" t="inlineStr">
        <is>
          <t>RH/Admin</t>
        </is>
      </c>
      <c r="M32" s="16" t="inlineStr">
        <is>
          <t>N24 válido quando lido</t>
        </is>
      </c>
      <c r="N32" s="16" t="inlineStr">
        <is>
          <t>Evento</t>
        </is>
      </c>
    </row>
    <row r="33" ht="15" customHeight="1">
      <c r="A33" s="16" t="inlineStr">
        <is>
          <t>FLD-029</t>
        </is>
      </c>
      <c r="B33" s="16" t="inlineStr">
        <is>
          <t>Pessoa</t>
        </is>
      </c>
      <c r="C33" s="16" t="inlineStr">
        <is>
          <t>email</t>
        </is>
      </c>
      <c r="D33" s="16" t="inlineStr">
        <is>
          <t>E-mail principal.</t>
        </is>
      </c>
      <c r="E33" s="16" t="inlineStr">
        <is>
          <t>Texto</t>
        </is>
      </c>
      <c r="F33" s="16" t="inlineStr">
        <is>
          <t>Sim</t>
        </is>
      </c>
      <c r="G33" s="16" t="inlineStr">
        <is>
          <t>ana@empresa.com</t>
        </is>
      </c>
      <c r="H33" s="16" t="inlineStr">
        <is>
          <t>Workday/HCM</t>
        </is>
      </c>
      <c r="I33" s="16" t="inlineStr">
        <is>
          <t>Trim/lowercase</t>
        </is>
      </c>
      <c r="J33" s="16" t="inlineStr">
        <is>
          <t>Pessoa→Contato</t>
        </is>
      </c>
      <c r="K33" s="16" t="inlineStr">
        <is>
          <t>Pessoal</t>
        </is>
      </c>
      <c r="L33" s="16" t="inlineStr">
        <is>
          <t>Sistema</t>
        </is>
      </c>
      <c r="M33" s="16" t="inlineStr">
        <is>
          <t>Formato válido</t>
        </is>
      </c>
      <c r="N33" s="16" t="inlineStr">
        <is>
          <t>Diária</t>
        </is>
      </c>
    </row>
    <row r="34" ht="15" customHeight="1">
      <c r="A34" s="16" t="inlineStr">
        <is>
          <t>FLD-030</t>
        </is>
      </c>
      <c r="B34" s="16" t="inlineStr">
        <is>
          <t>Pessoa</t>
        </is>
      </c>
      <c r="C34" s="16" t="inlineStr">
        <is>
          <t>telefone</t>
        </is>
      </c>
      <c r="D34" s="16" t="inlineStr">
        <is>
          <t>Telefone principal.</t>
        </is>
      </c>
      <c r="E34" s="16" t="inlineStr">
        <is>
          <t>Texto</t>
        </is>
      </c>
      <c r="F34" s="16" t="inlineStr">
        <is>
          <t>Não</t>
        </is>
      </c>
      <c r="G34" s="16" t="inlineStr">
        <is>
          <t>+55 21 99999-9999</t>
        </is>
      </c>
      <c r="H34" s="16" t="inlineStr">
        <is>
          <t>Workday/HCM</t>
        </is>
      </c>
      <c r="I34" s="16" t="inlineStr">
        <is>
          <t>Normalizar E.164</t>
        </is>
      </c>
      <c r="J34" s="16" t="inlineStr">
        <is>
          <t>Pessoa→Contato</t>
        </is>
      </c>
      <c r="K34" s="16" t="inlineStr">
        <is>
          <t>Pessoal</t>
        </is>
      </c>
      <c r="L34" s="16" t="inlineStr">
        <is>
          <t>Sistema</t>
        </is>
      </c>
      <c r="M34" s="16" t="inlineStr">
        <is>
          <t>Formato válido</t>
        </is>
      </c>
      <c r="N34" s="16" t="inlineStr">
        <is>
          <t>Diária</t>
        </is>
      </c>
    </row>
    <row r="35" ht="15" customHeight="1">
      <c r="A35" s="16" t="inlineStr">
        <is>
          <t>FLD-031</t>
        </is>
      </c>
      <c r="B35" s="16" t="inlineStr">
        <is>
          <t>Pessoa</t>
        </is>
      </c>
      <c r="C35" s="16" t="inlineStr">
        <is>
          <t>localizacao</t>
        </is>
      </c>
      <c r="D35" s="16" t="inlineStr">
        <is>
          <t>Localização base.</t>
        </is>
      </c>
      <c r="E35" s="16" t="inlineStr">
        <is>
          <t>Texto</t>
        </is>
      </c>
      <c r="F35" s="16" t="inlineStr">
        <is>
          <t>Não</t>
        </is>
      </c>
      <c r="G35" s="16" t="inlineStr">
        <is>
          <t>Rio de Janeiro/RJ</t>
        </is>
      </c>
      <c r="H35" s="16" t="inlineStr">
        <is>
          <t>Workday/HCM</t>
        </is>
      </c>
      <c r="I35" s="16" t="inlineStr">
        <is>
          <t>Normalizar cidade/UF/país</t>
        </is>
      </c>
      <c r="J35" s="16" t="inlineStr">
        <is>
          <t>Pessoa→Localização</t>
        </is>
      </c>
      <c r="K35" s="16" t="inlineStr">
        <is>
          <t>Pessoal</t>
        </is>
      </c>
      <c r="L35" s="16" t="inlineStr">
        <is>
          <t>Sistema/RH</t>
        </is>
      </c>
      <c r="M35" s="16" t="inlineStr">
        <is>
          <t>Taxonomia válida</t>
        </is>
      </c>
      <c r="N35" s="16" t="inlineStr">
        <is>
          <t>Diária</t>
        </is>
      </c>
    </row>
    <row r="36" ht="15" customHeight="1">
      <c r="A36" s="16" t="inlineStr">
        <is>
          <t>FLD-032</t>
        </is>
      </c>
      <c r="B36" s="16" t="inlineStr">
        <is>
          <t>Pessoa</t>
        </is>
      </c>
      <c r="C36" s="16" t="inlineStr">
        <is>
          <t>idioma</t>
        </is>
      </c>
      <c r="D36" s="16" t="inlineStr">
        <is>
          <t>Idioma preferencial.</t>
        </is>
      </c>
      <c r="E36" s="16" t="inlineStr">
        <is>
          <t>Enum</t>
        </is>
      </c>
      <c r="F36" s="16" t="inlineStr">
        <is>
          <t>Não</t>
        </is>
      </c>
      <c r="G36" s="16" t="inlineStr">
        <is>
          <t>pt-BR</t>
        </is>
      </c>
      <c r="H36" s="16" t="inlineStr">
        <is>
          <t>Workday/HCM</t>
        </is>
      </c>
      <c r="I36" s="16" t="inlineStr">
        <is>
          <t>Normalizar idioma</t>
        </is>
      </c>
      <c r="J36" s="16" t="inlineStr">
        <is>
          <t>Pessoa→Preferência</t>
        </is>
      </c>
      <c r="K36" s="16" t="inlineStr">
        <is>
          <t>Pessoal</t>
        </is>
      </c>
      <c r="L36" s="16" t="inlineStr">
        <is>
          <t>Sistema/RH</t>
        </is>
      </c>
      <c r="M36" s="16" t="inlineStr">
        <is>
          <t>Lista permitida</t>
        </is>
      </c>
      <c r="N36" s="16" t="inlineStr">
        <is>
          <t>Diária</t>
        </is>
      </c>
    </row>
    <row r="37" ht="15" customHeight="1">
      <c r="A37" s="16" t="inlineStr">
        <is>
          <t>FLD-033</t>
        </is>
      </c>
      <c r="B37" s="16" t="inlineStr">
        <is>
          <t>Pessoa</t>
        </is>
      </c>
      <c r="C37" s="16" t="inlineStr">
        <is>
          <t>disponibilidade</t>
        </is>
      </c>
      <c r="D37" s="16" t="inlineStr">
        <is>
          <t>Disponibilidade/capacidade declarada.</t>
        </is>
      </c>
      <c r="E37" s="16" t="inlineStr">
        <is>
          <t>Enum</t>
        </is>
      </c>
      <c r="F37" s="16" t="inlineStr">
        <is>
          <t>Não</t>
        </is>
      </c>
      <c r="G37" s="16" t="inlineStr">
        <is>
          <t>Integral</t>
        </is>
      </c>
      <c r="H37" s="16" t="inlineStr">
        <is>
          <t>Workday/HCM/PSA</t>
        </is>
      </c>
      <c r="I37" s="16" t="inlineStr">
        <is>
          <t>Normalizar regras de jornada</t>
        </is>
      </c>
      <c r="J37" s="16" t="inlineStr">
        <is>
          <t>Pessoa→Alocação</t>
        </is>
      </c>
      <c r="K37" s="16" t="inlineStr">
        <is>
          <t>Confidencial</t>
        </is>
      </c>
      <c r="L37" s="16" t="inlineStr">
        <is>
          <t>Gestor/Operações</t>
        </is>
      </c>
      <c r="M37" s="16" t="inlineStr">
        <is>
          <t>Compatível com jornada</t>
        </is>
      </c>
      <c r="N37" s="16" t="inlineStr">
        <is>
          <t>Semanal</t>
        </is>
      </c>
    </row>
    <row r="38" ht="15" customHeight="1">
      <c r="A38" s="16" t="inlineStr">
        <is>
          <t>FLD-034</t>
        </is>
      </c>
      <c r="B38" s="16" t="inlineStr">
        <is>
          <t>Pessoa</t>
        </is>
      </c>
      <c r="C38" s="16" t="inlineStr">
        <is>
          <t>nivel</t>
        </is>
      </c>
      <c r="D38" s="16" t="inlineStr">
        <is>
          <t>Nível/cargo normalizado.</t>
        </is>
      </c>
      <c r="E38" s="16" t="inlineStr">
        <is>
          <t>Enum</t>
        </is>
      </c>
      <c r="F38" s="16" t="inlineStr">
        <is>
          <t>Sim</t>
        </is>
      </c>
      <c r="G38" s="16" t="inlineStr">
        <is>
          <t>Sênior</t>
        </is>
      </c>
      <c r="H38" s="16" t="inlineStr">
        <is>
          <t>Workday/HCM</t>
        </is>
      </c>
      <c r="I38" s="16" t="inlineStr">
        <is>
          <t>Taxonomia de senioridade</t>
        </is>
      </c>
      <c r="J38" s="16" t="inlineStr">
        <is>
          <t>Pessoa→Estrutura</t>
        </is>
      </c>
      <c r="K38" s="16" t="inlineStr">
        <is>
          <t>Pessoal</t>
        </is>
      </c>
      <c r="L38" s="16" t="inlineStr">
        <is>
          <t>Autorizados</t>
        </is>
      </c>
      <c r="M38" s="16" t="inlineStr">
        <is>
          <t>Taxonomia válida</t>
        </is>
      </c>
      <c r="N38" s="16" t="inlineStr">
        <is>
          <t>Diária</t>
        </is>
      </c>
    </row>
    <row r="39" ht="15" customHeight="1">
      <c r="A39" s="16" t="inlineStr">
        <is>
          <t>FLD-035</t>
        </is>
      </c>
      <c r="B39" s="16" t="inlineStr">
        <is>
          <t>Pessoa</t>
        </is>
      </c>
      <c r="C39" s="16" t="inlineStr">
        <is>
          <t>area</t>
        </is>
      </c>
      <c r="D39" s="16" t="inlineStr">
        <is>
          <t>Área organizacional.</t>
        </is>
      </c>
      <c r="E39" s="16" t="inlineStr">
        <is>
          <t>Texto</t>
        </is>
      </c>
      <c r="F39" s="16" t="inlineStr">
        <is>
          <t>Sim</t>
        </is>
      </c>
      <c r="G39" s="16" t="inlineStr">
        <is>
          <t>Performance</t>
        </is>
      </c>
      <c r="H39" s="16" t="inlineStr">
        <is>
          <t>Workday/HCM</t>
        </is>
      </c>
      <c r="I39" s="16" t="inlineStr">
        <is>
          <t>Normalizar árvore organizacional</t>
        </is>
      </c>
      <c r="J39" s="16" t="inlineStr">
        <is>
          <t>Pessoa→Estrutura</t>
        </is>
      </c>
      <c r="K39" s="16" t="inlineStr">
        <is>
          <t>Pessoal</t>
        </is>
      </c>
      <c r="L39" s="16" t="inlineStr">
        <is>
          <t>Autorizados</t>
        </is>
      </c>
      <c r="M39" s="16" t="inlineStr">
        <is>
          <t>Área válida</t>
        </is>
      </c>
      <c r="N39" s="16" t="inlineStr">
        <is>
          <t>Diária</t>
        </is>
      </c>
    </row>
    <row r="40" ht="15" customHeight="1">
      <c r="A40" s="16" t="inlineStr">
        <is>
          <t>FLD-036</t>
        </is>
      </c>
      <c r="B40" s="16" t="inlineStr">
        <is>
          <t>Contrato</t>
        </is>
      </c>
      <c r="C40" s="16" t="inlineStr">
        <is>
          <t>centro_custo</t>
        </is>
      </c>
      <c r="D40" s="16" t="inlineStr">
        <is>
          <t>Centro de custo do contrato.</t>
        </is>
      </c>
      <c r="E40" s="16" t="inlineStr">
        <is>
          <t>Texto</t>
        </is>
      </c>
      <c r="F40" s="16" t="inlineStr">
        <is>
          <t>Sim</t>
        </is>
      </c>
      <c r="G40" s="16" t="inlineStr">
        <is>
          <t>CC-102</t>
        </is>
      </c>
      <c r="H40" s="16" t="inlineStr">
        <is>
          <t>Workday/ERP</t>
        </is>
      </c>
      <c r="I40" s="16" t="inlineStr">
        <is>
          <t>Normalizar centro de custo</t>
        </is>
      </c>
      <c r="J40" s="16" t="inlineStr">
        <is>
          <t>Contract.centro_custo → N16</t>
        </is>
      </c>
      <c r="K40" s="16" t="inlineStr">
        <is>
          <t>Confidencial</t>
        </is>
      </c>
      <c r="L40" s="16" t="inlineStr">
        <is>
          <t>RH/Financeiro</t>
        </is>
      </c>
      <c r="M40" s="16" t="inlineStr">
        <is>
          <t>Centro de custo válido</t>
        </is>
      </c>
      <c r="N40" s="16" t="inlineStr">
        <is>
          <t>Mensal</t>
        </is>
      </c>
    </row>
    <row r="41" ht="15" customHeight="1">
      <c r="A41" s="16" t="inlineStr">
        <is>
          <t>FLD-037</t>
        </is>
      </c>
      <c r="B41" s="16" t="inlineStr">
        <is>
          <t>Pessoa</t>
        </is>
      </c>
      <c r="C41" s="16" t="inlineStr">
        <is>
          <t>admissao</t>
        </is>
      </c>
      <c r="D41" s="16" t="inlineStr">
        <is>
          <t>Data de admissão.</t>
        </is>
      </c>
      <c r="E41" s="16" t="inlineStr">
        <is>
          <t>Data</t>
        </is>
      </c>
      <c r="F41" s="16" t="inlineStr">
        <is>
          <t>Sim</t>
        </is>
      </c>
      <c r="G41" s="16" t="inlineStr">
        <is>
          <t>2024-01-15</t>
        </is>
      </c>
      <c r="H41" s="16" t="inlineStr">
        <is>
          <t>Workday/HCM</t>
        </is>
      </c>
      <c r="I41" s="16" t="inlineStr">
        <is>
          <t>Normalizar ISO-8601</t>
        </is>
      </c>
      <c r="J41" s="16" t="inlineStr">
        <is>
          <t>Pessoa→Vínculo</t>
        </is>
      </c>
      <c r="K41" s="16" t="inlineStr">
        <is>
          <t>Pessoal</t>
        </is>
      </c>
      <c r="L41" s="16" t="inlineStr">
        <is>
          <t>Sistema/RH</t>
        </is>
      </c>
      <c r="M41" s="16" t="inlineStr">
        <is>
          <t>Data válida</t>
        </is>
      </c>
      <c r="N41" s="16" t="inlineStr">
        <is>
          <t>Diária</t>
        </is>
      </c>
    </row>
    <row r="42" ht="15" customHeight="1">
      <c r="A42" s="16" t="inlineStr">
        <is>
          <t>FLD-038</t>
        </is>
      </c>
      <c r="B42" s="16" t="inlineStr">
        <is>
          <t>Contrato</t>
        </is>
      </c>
      <c r="C42" s="16" t="inlineStr">
        <is>
          <t>contract_id</t>
        </is>
      </c>
      <c r="D42" s="16" t="inlineStr">
        <is>
          <t>ID canônico do contrato.</t>
        </is>
      </c>
      <c r="E42" s="16" t="inlineStr">
        <is>
          <t>UUID</t>
        </is>
      </c>
      <c r="F42" s="16" t="inlineStr">
        <is>
          <t>Sim</t>
        </is>
      </c>
      <c r="G42" s="16" t="inlineStr">
        <is>
          <t>ct_221</t>
        </is>
      </c>
      <c r="H42" s="16" t="inlineStr">
        <is>
          <t>CRM/ERP</t>
        </is>
      </c>
      <c r="I42" s="16" t="inlineStr">
        <is>
          <t>Gerar/resolver canonical_id</t>
        </is>
      </c>
      <c r="J42" s="16" t="inlineStr">
        <is>
          <t>PK N16 Contract</t>
        </is>
      </c>
      <c r="K42" s="16" t="inlineStr">
        <is>
          <t>Comercial</t>
        </is>
      </c>
      <c r="L42" s="16" t="inlineStr">
        <is>
          <t>Autorizados</t>
        </is>
      </c>
      <c r="M42" s="16" t="inlineStr">
        <is>
          <t>Único/ativo</t>
        </is>
      </c>
      <c r="N42" s="16" t="inlineStr">
        <is>
          <t>Diária</t>
        </is>
      </c>
    </row>
    <row r="43" ht="15" customHeight="1">
      <c r="A43" s="16" t="inlineStr">
        <is>
          <t>FLD-039</t>
        </is>
      </c>
      <c r="B43" s="16" t="inlineStr">
        <is>
          <t>Programa</t>
        </is>
      </c>
      <c r="C43" s="16" t="inlineStr">
        <is>
          <t>program_id</t>
        </is>
      </c>
      <c r="D43" s="16" t="inlineStr">
        <is>
          <t>ID canônico do programa/projeto.</t>
        </is>
      </c>
      <c r="E43" s="16" t="inlineStr">
        <is>
          <t>UUID</t>
        </is>
      </c>
      <c r="F43" s="16" t="inlineStr">
        <is>
          <t>Sim</t>
        </is>
      </c>
      <c r="G43" s="16" t="inlineStr">
        <is>
          <t>prg_104</t>
        </is>
      </c>
      <c r="H43" s="16" t="inlineStr">
        <is>
          <t>HUB/ERP</t>
        </is>
      </c>
      <c r="I43" s="16" t="inlineStr">
        <is>
          <t>Gerar/resolver canonical_id</t>
        </is>
      </c>
      <c r="J43" s="16" t="inlineStr">
        <is>
          <t>PK N15 Program</t>
        </is>
      </c>
      <c r="K43" s="16" t="inlineStr">
        <is>
          <t>Comercial</t>
        </is>
      </c>
      <c r="L43" s="16" t="inlineStr">
        <is>
          <t>Autorizados</t>
        </is>
      </c>
      <c r="M43" s="16" t="inlineStr">
        <is>
          <t>Único/ativo</t>
        </is>
      </c>
      <c r="N43" s="16" t="inlineStr">
        <is>
          <t>Diária</t>
        </is>
      </c>
    </row>
    <row r="44" ht="15" customHeight="1">
      <c r="A44" s="16" t="inlineStr">
        <is>
          <t>FLD-040</t>
        </is>
      </c>
      <c r="B44" s="16" t="inlineStr">
        <is>
          <t>Tenant</t>
        </is>
      </c>
      <c r="C44" s="16" t="inlineStr">
        <is>
          <t>tenant_id</t>
        </is>
      </c>
      <c r="D44" s="16" t="inlineStr">
        <is>
          <t>Fronteira de segurança do cliente.</t>
        </is>
      </c>
      <c r="E44" s="16" t="inlineStr">
        <is>
          <t>UUID</t>
        </is>
      </c>
      <c r="F44" s="16" t="inlineStr">
        <is>
          <t>Sim</t>
        </is>
      </c>
      <c r="G44" s="16" t="inlineStr">
        <is>
          <t>ten_001</t>
        </is>
      </c>
      <c r="H44" s="16" t="inlineStr">
        <is>
          <t>HUB/IAM</t>
        </is>
      </c>
      <c r="I44" s="16" t="inlineStr">
        <is>
          <t>Gerar/resolver tenant</t>
        </is>
      </c>
      <c r="J44" s="16" t="inlineStr">
        <is>
          <t>FK em N01/N02/N16/N15</t>
        </is>
      </c>
      <c r="K44" s="16" t="inlineStr">
        <is>
          <t>Restrito</t>
        </is>
      </c>
      <c r="L44" s="16" t="inlineStr">
        <is>
          <t>Sistema/Admin</t>
        </is>
      </c>
      <c r="M44" s="16" t="inlineStr">
        <is>
          <t>Isolamento validado</t>
        </is>
      </c>
      <c r="N44" s="16" t="inlineStr">
        <is>
          <t>Evento</t>
        </is>
      </c>
    </row>
    <row r="45" ht="15" customHeight="1">
      <c r="A45" s="16" t="inlineStr">
        <is>
          <t>FLD-041</t>
        </is>
      </c>
      <c r="B45" s="16" t="inlineStr">
        <is>
          <t>Temporal</t>
        </is>
      </c>
      <c r="C45" s="16" t="inlineStr">
        <is>
          <t>valid_from / valid_to</t>
        </is>
      </c>
      <c r="D45" s="16" t="inlineStr">
        <is>
          <t>Vigência inclusiva/exclusiva do registro.</t>
        </is>
      </c>
      <c r="E45" s="16" t="inlineStr">
        <is>
          <t>Data</t>
        </is>
      </c>
      <c r="F45" s="16" t="inlineStr">
        <is>
          <t>Sim</t>
        </is>
      </c>
      <c r="G45" s="16" t="inlineStr">
        <is>
          <t>2026-01-01 / —</t>
        </is>
      </c>
      <c r="H45" s="16" t="inlineStr">
        <is>
          <t>HUB</t>
        </is>
      </c>
      <c r="I45" s="16" t="inlineStr">
        <is>
          <t>ISO-8601</t>
        </is>
      </c>
      <c r="J45" s="16" t="inlineStr">
        <is>
          <t>Temporalidade BP-003</t>
        </is>
      </c>
      <c r="K45" s="16" t="inlineStr">
        <is>
          <t>Confidencial</t>
        </is>
      </c>
      <c r="L45" s="16" t="inlineStr">
        <is>
          <t>Autorizados</t>
        </is>
      </c>
      <c r="M45" s="16" t="inlineStr">
        <is>
          <t>valid_from &lt; valid_to</t>
        </is>
      </c>
      <c r="N45" s="16" t="inlineStr">
        <is>
          <t>Evento</t>
        </is>
      </c>
    </row>
    <row r="46" ht="15" customHeight="1">
      <c r="A46" s="16" t="inlineStr">
        <is>
          <t>FLD-042</t>
        </is>
      </c>
      <c r="B46" s="16" t="inlineStr">
        <is>
          <t>Evento</t>
        </is>
      </c>
      <c r="C46" s="16" t="inlineStr">
        <is>
          <t>event_id</t>
        </is>
      </c>
      <c r="D46" s="16" t="inlineStr">
        <is>
          <t>Identificador único do evento canônico.</t>
        </is>
      </c>
      <c r="E46" s="16" t="inlineStr">
        <is>
          <t>UUID</t>
        </is>
      </c>
      <c r="F46" s="16" t="inlineStr">
        <is>
          <t>Sim</t>
        </is>
      </c>
      <c r="G46" s="16" t="inlineStr">
        <is>
          <t>evt_001</t>
        </is>
      </c>
      <c r="H46" s="16" t="inlineStr">
        <is>
          <t>HUB/SRC-12</t>
        </is>
      </c>
      <c r="I46" s="16" t="inlineStr">
        <is>
          <t>Gerar UUID v4</t>
        </is>
      </c>
      <c r="J46" s="16" t="inlineStr">
        <is>
          <t>PK N10 Event</t>
        </is>
      </c>
      <c r="K46" s="16" t="inlineStr">
        <is>
          <t>Técnico</t>
        </is>
      </c>
      <c r="L46" s="16" t="inlineStr">
        <is>
          <t>Dados/Auditoria</t>
        </is>
      </c>
      <c r="M46" s="16" t="inlineStr">
        <is>
          <t>Único, nunca reutilizado</t>
        </is>
      </c>
      <c r="N46" s="16" t="inlineStr">
        <is>
          <t>Tempo real</t>
        </is>
      </c>
    </row>
    <row r="47" ht="15" customHeight="1">
      <c r="A47" s="16" t="inlineStr">
        <is>
          <t>FLD-043</t>
        </is>
      </c>
      <c r="B47" s="16" t="inlineStr">
        <is>
          <t>Evento</t>
        </is>
      </c>
      <c r="C47" s="16" t="inlineStr">
        <is>
          <t>event_type</t>
        </is>
      </c>
      <c r="D47" s="16" t="inlineStr">
        <is>
          <t>Tipo de evento no domínio.</t>
        </is>
      </c>
      <c r="E47" s="16" t="inlineStr">
        <is>
          <t>Texto</t>
        </is>
      </c>
      <c r="F47" s="16" t="inlineStr">
        <is>
          <t>Sim</t>
        </is>
      </c>
      <c r="G47" s="16" t="inlineStr">
        <is>
          <t>match.generated</t>
        </is>
      </c>
      <c r="H47" s="16" t="inlineStr">
        <is>
          <t>HUB/SRC-12</t>
        </is>
      </c>
      <c r="I47" s="16" t="inlineStr">
        <is>
          <t>Validar domain.verb</t>
        </is>
      </c>
      <c r="J47" s="16" t="inlineStr">
        <is>
          <t>Event.event_type</t>
        </is>
      </c>
      <c r="K47" s="16" t="inlineStr">
        <is>
          <t>Técnico</t>
        </is>
      </c>
      <c r="L47" s="16" t="inlineStr">
        <is>
          <t>Dados/Auditoria</t>
        </is>
      </c>
      <c r="M47" s="16" t="inlineStr">
        <is>
          <t>Catálogo vigente</t>
        </is>
      </c>
      <c r="N47" s="16" t="inlineStr">
        <is>
          <t>Tempo real</t>
        </is>
      </c>
    </row>
    <row r="48" ht="15" customHeight="1">
      <c r="A48" s="16" t="inlineStr">
        <is>
          <t>FLD-044</t>
        </is>
      </c>
      <c r="B48" s="16" t="inlineStr">
        <is>
          <t>Evento</t>
        </is>
      </c>
      <c r="C48" s="16" t="inlineStr">
        <is>
          <t>schema_version</t>
        </is>
      </c>
      <c r="D48" s="16" t="inlineStr">
        <is>
          <t>Versão semver do schema.</t>
        </is>
      </c>
      <c r="E48" s="16" t="inlineStr">
        <is>
          <t>Texto</t>
        </is>
      </c>
      <c r="F48" s="16" t="inlineStr">
        <is>
          <t>Sim</t>
        </is>
      </c>
      <c r="G48" s="16" t="inlineStr">
        <is>
          <t>1.0</t>
        </is>
      </c>
      <c r="H48" s="16" t="inlineStr">
        <is>
          <t>HUB/SRC-12</t>
        </is>
      </c>
      <c r="I48" s="16" t="inlineStr">
        <is>
          <t>Validar compatibilidade</t>
        </is>
      </c>
      <c r="J48" s="16" t="inlineStr">
        <is>
          <t>Event.schema_version</t>
        </is>
      </c>
      <c r="K48" s="16" t="inlineStr">
        <is>
          <t>Técnico</t>
        </is>
      </c>
      <c r="L48" s="16" t="inlineStr">
        <is>
          <t>Dados/Auditoria</t>
        </is>
      </c>
      <c r="M48" s="16" t="inlineStr">
        <is>
          <t>Versão registrada</t>
        </is>
      </c>
      <c r="N48" s="16" t="inlineStr">
        <is>
          <t>Tempo real</t>
        </is>
      </c>
    </row>
    <row r="49" ht="15" customHeight="1">
      <c r="A49" s="16" t="inlineStr">
        <is>
          <t>FLD-045</t>
        </is>
      </c>
      <c r="B49" s="16" t="inlineStr">
        <is>
          <t>Evento</t>
        </is>
      </c>
      <c r="C49" s="16" t="inlineStr">
        <is>
          <t>occurred_at</t>
        </is>
      </c>
      <c r="D49" s="16" t="inlineStr">
        <is>
          <t>Instante UTC em que ocorreu.</t>
        </is>
      </c>
      <c r="E49" s="16" t="inlineStr">
        <is>
          <t>Timestamp</t>
        </is>
      </c>
      <c r="F49" s="16" t="inlineStr">
        <is>
          <t>Sim</t>
        </is>
      </c>
      <c r="G49" s="16" t="inlineStr">
        <is>
          <t>2026-09-02T12:00:00Z</t>
        </is>
      </c>
      <c r="H49" s="16" t="inlineStr">
        <is>
          <t>HUB/SRC-12</t>
        </is>
      </c>
      <c r="I49" s="16" t="inlineStr">
        <is>
          <t>UTC ISO-8601</t>
        </is>
      </c>
      <c r="J49" s="16" t="inlineStr">
        <is>
          <t>Event.occurred_at</t>
        </is>
      </c>
      <c r="K49" s="16" t="inlineStr">
        <is>
          <t>Técnico</t>
        </is>
      </c>
      <c r="L49" s="16" t="inlineStr">
        <is>
          <t>Dados/Auditoria</t>
        </is>
      </c>
      <c r="M49" s="16" t="inlineStr">
        <is>
          <t>UTC e imutável</t>
        </is>
      </c>
      <c r="N49" s="16" t="inlineStr">
        <is>
          <t>Tempo real</t>
        </is>
      </c>
    </row>
    <row r="50" ht="15" customHeight="1">
      <c r="A50" s="16" t="inlineStr">
        <is>
          <t>FLD-046</t>
        </is>
      </c>
      <c r="B50" s="16" t="inlineStr">
        <is>
          <t>Recomendação</t>
        </is>
      </c>
      <c r="C50" s="16" t="inlineStr">
        <is>
          <t>recommendation_id</t>
        </is>
      </c>
      <c r="D50" s="16" t="inlineStr">
        <is>
          <t>Identificador canônico de recomendação.</t>
        </is>
      </c>
      <c r="E50" s="16" t="inlineStr">
        <is>
          <t>UUID</t>
        </is>
      </c>
      <c r="F50" s="16" t="inlineStr">
        <is>
          <t>P1-MVP1</t>
        </is>
      </c>
      <c r="G50" s="16" t="inlineStr">
        <is>
          <t>rec_001</t>
        </is>
      </c>
      <c r="H50" s="16" t="inlineStr">
        <is>
          <t>HUB</t>
        </is>
      </c>
      <c r="I50" s="16" t="inlineStr">
        <is>
          <t>Gerar UUID</t>
        </is>
      </c>
      <c r="J50" s="16" t="inlineStr">
        <is>
          <t>PK N12 Recommendation</t>
        </is>
      </c>
      <c r="K50" s="16" t="inlineStr">
        <is>
          <t>Confidencial</t>
        </is>
      </c>
      <c r="L50" s="16" t="inlineStr">
        <is>
          <t>Autorizados/Auditoria</t>
        </is>
      </c>
      <c r="M50" s="16" t="inlineStr">
        <is>
          <t>Proveniência/versão</t>
        </is>
      </c>
      <c r="N50" s="16" t="inlineStr">
        <is>
          <t>Evento</t>
        </is>
      </c>
    </row>
    <row r="51" ht="15" customHeight="1">
      <c r="A51" s="16" t="inlineStr">
        <is>
          <t>FLD-047</t>
        </is>
      </c>
      <c r="B51" s="16" t="inlineStr">
        <is>
          <t>Match</t>
        </is>
      </c>
      <c r="C51" s="16" t="inlineStr">
        <is>
          <t>match_id</t>
        </is>
      </c>
      <c r="D51" s="16" t="inlineStr">
        <is>
          <t>Identificador canônico do match.</t>
        </is>
      </c>
      <c r="E51" s="16" t="inlineStr">
        <is>
          <t>UUID</t>
        </is>
      </c>
      <c r="F51" s="16" t="inlineStr">
        <is>
          <t>P1-MVP1</t>
        </is>
      </c>
      <c r="G51" s="16" t="inlineStr">
        <is>
          <t>mat_001</t>
        </is>
      </c>
      <c r="H51" s="16" t="inlineStr">
        <is>
          <t>HUB/ATS</t>
        </is>
      </c>
      <c r="I51" s="16" t="inlineStr">
        <is>
          <t>Gerar UUID</t>
        </is>
      </c>
      <c r="J51" s="16" t="inlineStr">
        <is>
          <t>PK N13 Match</t>
        </is>
      </c>
      <c r="K51" s="16" t="inlineStr">
        <is>
          <t>Confidencial</t>
        </is>
      </c>
      <c r="L51" s="16" t="inlineStr">
        <is>
          <t>Autorizados/Auditoria</t>
        </is>
      </c>
      <c r="M51" s="16" t="inlineStr">
        <is>
          <t>Score/justificativa/consent</t>
        </is>
      </c>
      <c r="N51" s="16" t="inlineStr">
        <is>
          <t>Evento</t>
        </is>
      </c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42" customWidth="1" min="4" max="4"/>
    <col width="48" customWidth="1" min="5" max="5"/>
    <col width="16" customWidth="1" min="6" max="6"/>
    <col width="24" customWidth="1" min="7" max="7"/>
    <col width="20" customWidth="1" min="8" max="8"/>
    <col width="22" customWidth="1" min="9" max="9"/>
    <col width="15" customWidth="1" min="10" max="10"/>
    <col width="15" customWidth="1" min="11" max="11"/>
    <col width="17" customWidth="1" min="12" max="12"/>
    <col width="24" customWidth="1" min="13" max="13"/>
    <col width="38" customWidth="1" min="14" max="14"/>
    <col width="20" customWidth="1" min="15" max="15"/>
  </cols>
  <sheetData>
    <row r="1" ht="32" customHeight="1">
      <c r="A1" s="2" t="inlineStr">
        <is>
          <t>06_KPIS</t>
        </is>
      </c>
    </row>
    <row r="2" ht="28" customHeight="1">
      <c r="A2" s="5" t="inlineStr">
        <is>
          <t>Catálogo governado; metas ilustrativas precisam de validação.</t>
        </is>
      </c>
    </row>
    <row r="4" ht="36" customHeight="1">
      <c r="A4" s="8" t="inlineStr">
        <is>
          <t>ID</t>
        </is>
      </c>
      <c r="B4" s="8" t="inlineStr">
        <is>
          <t>Domínio</t>
        </is>
      </c>
      <c r="C4" s="8" t="inlineStr">
        <is>
          <t>KPI</t>
        </is>
      </c>
      <c r="D4" s="8" t="inlineStr">
        <is>
          <t>Pergunta</t>
        </is>
      </c>
      <c r="E4" s="8" t="inlineStr">
        <is>
          <t>Fórmula funcional</t>
        </is>
      </c>
      <c r="F4" s="8" t="inlineStr">
        <is>
          <t>Unidade</t>
        </is>
      </c>
      <c r="G4" s="8" t="inlineStr">
        <is>
          <t>Granularidade</t>
        </is>
      </c>
      <c r="H4" s="8" t="inlineStr">
        <is>
          <t>Cadência</t>
        </is>
      </c>
      <c r="I4" s="8" t="inlineStr">
        <is>
          <t>Fonte</t>
        </is>
      </c>
      <c r="J4" s="8" t="inlineStr">
        <is>
          <t>Meta</t>
        </is>
      </c>
      <c r="K4" s="8" t="inlineStr">
        <is>
          <t>Alerta</t>
        </is>
      </c>
      <c r="L4" s="8" t="inlineStr">
        <is>
          <t>Direção</t>
        </is>
      </c>
      <c r="M4" s="8" t="inlineStr">
        <is>
          <t>Dono</t>
        </is>
      </c>
      <c r="N4" s="8" t="inlineStr">
        <is>
          <t>Ligação financeira</t>
        </is>
      </c>
      <c r="O4" s="8" t="inlineStr">
        <is>
          <t>Governança</t>
        </is>
      </c>
    </row>
    <row r="5" ht="15" customHeight="1">
      <c r="A5" s="16" t="inlineStr">
        <is>
          <t>KPI-PERF-01</t>
        </is>
      </c>
      <c r="B5" s="16" t="inlineStr">
        <is>
          <t>Performance</t>
        </is>
      </c>
      <c r="C5" s="16" t="inlineStr">
        <is>
          <t>Atingimento de metas</t>
        </is>
      </c>
      <c r="D5" s="16" t="inlineStr">
        <is>
          <t>Quanto das metas ponderadas foi entregue?</t>
        </is>
      </c>
      <c r="E5" s="16" t="inlineStr">
        <is>
          <t>Σ(progresso×peso)/Σ(peso)</t>
        </is>
      </c>
      <c r="F5" s="16" t="inlineStr">
        <is>
          <t>%</t>
        </is>
      </c>
      <c r="G5" s="16" t="inlineStr">
        <is>
          <t>Pessoa/Equipe/Área</t>
        </is>
      </c>
      <c r="H5" s="16" t="inlineStr">
        <is>
          <t>Semanal</t>
        </is>
      </c>
      <c r="I5" s="16" t="inlineStr">
        <is>
          <t>Performance/HUB</t>
        </is>
      </c>
      <c r="J5" s="53" t="n">
        <v>0.9</v>
      </c>
      <c r="K5" s="53" t="n">
        <v>0.75</v>
      </c>
      <c r="L5" s="16" t="inlineStr">
        <is>
          <t>Maior melhor</t>
        </is>
      </c>
      <c r="M5" s="16" t="inlineStr">
        <is>
          <t>RH+Negócio</t>
        </is>
      </c>
      <c r="N5" s="16" t="inlineStr">
        <is>
          <t>Receita, margem, prazo</t>
        </is>
      </c>
      <c r="O5" s="16" t="inlineStr">
        <is>
          <t>Prioridade piloto</t>
        </is>
      </c>
    </row>
    <row r="6" ht="15" customHeight="1">
      <c r="A6" s="16" t="inlineStr">
        <is>
          <t>KPI-PERF-02</t>
        </is>
      </c>
      <c r="B6" s="16" t="inlineStr">
        <is>
          <t>Performance</t>
        </is>
      </c>
      <c r="C6" s="16" t="inlineStr">
        <is>
          <t>Qualidade da meta</t>
        </is>
      </c>
      <c r="D6" s="16" t="inlineStr">
        <is>
          <t>A meta é clara, mensurável, influenciável e ligada ao negócio?</t>
        </is>
      </c>
      <c r="E6" s="16" t="inlineStr">
        <is>
          <t>Pontos obtidos/pontos possíveis</t>
        </is>
      </c>
      <c r="F6" s="16" t="inlineStr">
        <is>
          <t>%</t>
        </is>
      </c>
      <c r="G6" s="16" t="inlineStr">
        <is>
          <t>Meta</t>
        </is>
      </c>
      <c r="H6" s="16" t="inlineStr">
        <is>
          <t>Criação/revisão</t>
        </is>
      </c>
      <c r="I6" s="16" t="inlineStr">
        <is>
          <t>HUB</t>
        </is>
      </c>
      <c r="J6" s="53" t="n">
        <v>0.85</v>
      </c>
      <c r="K6" s="53" t="n">
        <v>0.7</v>
      </c>
      <c r="L6" s="16" t="inlineStr">
        <is>
          <t>Maior melhor</t>
        </is>
      </c>
      <c r="M6" s="16" t="inlineStr">
        <is>
          <t>RH Performance</t>
        </is>
      </c>
      <c r="N6" s="16" t="inlineStr">
        <is>
          <t>Evita esforço sem valor</t>
        </is>
      </c>
      <c r="O6" s="16" t="inlineStr">
        <is>
          <t>Proposto</t>
        </is>
      </c>
    </row>
    <row r="7" ht="15" customHeight="1">
      <c r="A7" s="16" t="inlineStr">
        <is>
          <t>KPI-ALO-01</t>
        </is>
      </c>
      <c r="B7" s="16" t="inlineStr">
        <is>
          <t>Operação</t>
        </is>
      </c>
      <c r="C7" s="16" t="inlineStr">
        <is>
          <t>Alocação faturável</t>
        </is>
      </c>
      <c r="D7" s="16" t="inlineStr">
        <is>
          <t>Quanto da capacidade gera receita?</t>
        </is>
      </c>
      <c r="E7" s="16" t="inlineStr">
        <is>
          <t>Horas faturáveis/horas disponíveis</t>
        </is>
      </c>
      <c r="F7" s="16" t="inlineStr">
        <is>
          <t>%</t>
        </is>
      </c>
      <c r="G7" s="16" t="inlineStr">
        <is>
          <t>Pessoa/Equipe/Cliente</t>
        </is>
      </c>
      <c r="H7" s="16" t="inlineStr">
        <is>
          <t>Semanal</t>
        </is>
      </c>
      <c r="I7" s="16" t="inlineStr">
        <is>
          <t>PSA/Timesheet</t>
        </is>
      </c>
      <c r="J7" s="53" t="n">
        <v>0.8</v>
      </c>
      <c r="K7" s="53" t="n">
        <v>0.65</v>
      </c>
      <c r="L7" s="16" t="inlineStr">
        <is>
          <t>Maior melhor</t>
        </is>
      </c>
      <c r="M7" s="16" t="inlineStr">
        <is>
          <t>Operações</t>
        </is>
      </c>
      <c r="N7" s="16" t="inlineStr">
        <is>
          <t>Receita e margem</t>
        </is>
      </c>
      <c r="O7" s="16" t="inlineStr">
        <is>
          <t>Prioridade piloto</t>
        </is>
      </c>
    </row>
    <row r="8" ht="15" customHeight="1">
      <c r="A8" s="16" t="inlineStr">
        <is>
          <t>KPI-ALO-02</t>
        </is>
      </c>
      <c r="B8" s="16" t="inlineStr">
        <is>
          <t>Operação</t>
        </is>
      </c>
      <c r="C8" s="16" t="inlineStr">
        <is>
          <t>Receita disponível perdida</t>
        </is>
      </c>
      <c r="D8" s="16" t="inlineStr">
        <is>
          <t>Quanto poderia ser faturado com ociosidade?</t>
        </is>
      </c>
      <c r="E8" s="16" t="inlineStr">
        <is>
          <t>Horas ociosas×taxa faturável média</t>
        </is>
      </c>
      <c r="F8" s="16" t="inlineStr">
        <is>
          <t>R$</t>
        </is>
      </c>
      <c r="G8" s="16" t="inlineStr">
        <is>
          <t>Pessoa/Equipe</t>
        </is>
      </c>
      <c r="H8" s="16" t="inlineStr">
        <is>
          <t>Semanal/mensal</t>
        </is>
      </c>
      <c r="I8" s="16" t="inlineStr">
        <is>
          <t>PSA+Financeiro</t>
        </is>
      </c>
      <c r="J8" s="22" t="n">
        <v>0</v>
      </c>
      <c r="K8" s="22" t="n">
        <v>50000</v>
      </c>
      <c r="L8" s="16" t="inlineStr">
        <is>
          <t>Menor melhor</t>
        </is>
      </c>
      <c r="M8" s="16" t="inlineStr">
        <is>
          <t>Operações+Financeiro</t>
        </is>
      </c>
      <c r="N8" s="16" t="inlineStr">
        <is>
          <t>Receita disponível</t>
        </is>
      </c>
      <c r="O8" s="16" t="inlineStr">
        <is>
          <t>Prioridade piloto</t>
        </is>
      </c>
    </row>
    <row r="9" ht="15" customHeight="1">
      <c r="A9" s="16" t="inlineStr">
        <is>
          <t>KPI-FIN-01</t>
        </is>
      </c>
      <c r="B9" s="16" t="inlineStr">
        <is>
          <t>Financeiro</t>
        </is>
      </c>
      <c r="C9" s="16" t="inlineStr">
        <is>
          <t>Margem bruta do projeto</t>
        </is>
      </c>
      <c r="D9" s="16" t="inlineStr">
        <is>
          <t>Quanto permanece após custos diretos?</t>
        </is>
      </c>
      <c r="E9" s="16" t="inlineStr">
        <is>
          <t>(Receita-custo direto)/receita</t>
        </is>
      </c>
      <c r="F9" s="16" t="inlineStr">
        <is>
          <t>%</t>
        </is>
      </c>
      <c r="G9" s="16" t="inlineStr">
        <is>
          <t>Projeto/Cliente/Área</t>
        </is>
      </c>
      <c r="H9" s="16" t="inlineStr">
        <is>
          <t>Mensal</t>
        </is>
      </c>
      <c r="I9" s="16" t="inlineStr">
        <is>
          <t>ERP</t>
        </is>
      </c>
      <c r="J9" s="53" t="n">
        <v>0.3</v>
      </c>
      <c r="K9" s="53" t="n">
        <v>0.2</v>
      </c>
      <c r="L9" s="16" t="inlineStr">
        <is>
          <t>Maior melhor</t>
        </is>
      </c>
      <c r="M9" s="16" t="inlineStr">
        <is>
          <t>Financeiro</t>
        </is>
      </c>
      <c r="N9" s="16" t="inlineStr">
        <is>
          <t>Resultado direto</t>
        </is>
      </c>
      <c r="O9" s="16" t="inlineStr">
        <is>
          <t>Prioridade piloto</t>
        </is>
      </c>
    </row>
    <row r="10" ht="15" customHeight="1">
      <c r="A10" s="16" t="inlineStr">
        <is>
          <t>KPI-FIN-02</t>
        </is>
      </c>
      <c r="B10" s="16" t="inlineStr">
        <is>
          <t>Financeiro</t>
        </is>
      </c>
      <c r="C10" s="16" t="inlineStr">
        <is>
          <t>Receita por FTE alocado</t>
        </is>
      </c>
      <c r="D10" s="16" t="inlineStr">
        <is>
          <t>Qual a produtividade econômica média?</t>
        </is>
      </c>
      <c r="E10" s="16" t="inlineStr">
        <is>
          <t>Receita/FTE alocado</t>
        </is>
      </c>
      <c r="F10" s="16" t="inlineStr">
        <is>
          <t>R$/FTE</t>
        </is>
      </c>
      <c r="G10" s="16" t="inlineStr">
        <is>
          <t>Projeto/Cliente</t>
        </is>
      </c>
      <c r="H10" s="16" t="inlineStr">
        <is>
          <t>Mensal</t>
        </is>
      </c>
      <c r="I10" s="16" t="inlineStr">
        <is>
          <t>ERP+PSA</t>
        </is>
      </c>
      <c r="J10" s="16" t="n"/>
      <c r="K10" s="16" t="n"/>
      <c r="L10" s="16" t="inlineStr">
        <is>
          <t>Contextual</t>
        </is>
      </c>
      <c r="M10" s="16" t="inlineStr">
        <is>
          <t>Finanças/Operações</t>
        </is>
      </c>
      <c r="N10" s="16" t="inlineStr">
        <is>
          <t>Receita</t>
        </is>
      </c>
      <c r="O10" s="16" t="inlineStr">
        <is>
          <t>Prioridade piloto</t>
        </is>
      </c>
    </row>
    <row r="11" ht="15" customHeight="1">
      <c r="A11" s="16" t="inlineStr">
        <is>
          <t>KPI-FIN-03</t>
        </is>
      </c>
      <c r="B11" s="16" t="inlineStr">
        <is>
          <t>Financeiro</t>
        </is>
      </c>
      <c r="C11" s="16" t="inlineStr">
        <is>
          <t>Receita total</t>
        </is>
      </c>
      <c r="D11" s="16" t="inlineStr">
        <is>
          <t>Qual o volume bruto reconhecido no período?</t>
        </is>
      </c>
      <c r="E11" s="16" t="inlineStr">
        <is>
          <t>Σ receita reconhecida</t>
        </is>
      </c>
      <c r="F11" s="16" t="inlineStr">
        <is>
          <t>R$</t>
        </is>
      </c>
      <c r="G11" s="16" t="inlineStr">
        <is>
          <t>Empresa/Período</t>
        </is>
      </c>
      <c r="H11" s="16" t="inlineStr">
        <is>
          <t>Mensal</t>
        </is>
      </c>
      <c r="I11" s="16" t="inlineStr">
        <is>
          <t>ERP</t>
        </is>
      </c>
      <c r="J11" s="16" t="n"/>
      <c r="K11" s="16" t="n"/>
      <c r="L11" s="16" t="inlineStr">
        <is>
          <t>Maior melhor</t>
        </is>
      </c>
      <c r="M11" s="16" t="inlineStr">
        <is>
          <t>Financeiro</t>
        </is>
      </c>
      <c r="N11" s="16" t="inlineStr">
        <is>
          <t>Receita</t>
        </is>
      </c>
      <c r="O11" s="16" t="inlineStr">
        <is>
          <t>Proposto</t>
        </is>
      </c>
    </row>
    <row r="12" ht="15" customHeight="1">
      <c r="A12" s="16" t="inlineStr">
        <is>
          <t>KPI-FIN-04</t>
        </is>
      </c>
      <c r="B12" s="16" t="inlineStr">
        <is>
          <t>Financeiro</t>
        </is>
      </c>
      <c r="C12" s="16" t="inlineStr">
        <is>
          <t>Receita recorrente</t>
        </is>
      </c>
      <c r="D12" s="16" t="inlineStr">
        <is>
          <t>Quanto da receita é contratual e recorrente?</t>
        </is>
      </c>
      <c r="E12" s="16" t="inlineStr">
        <is>
          <t>Σ receita recorrente reconhecida</t>
        </is>
      </c>
      <c r="F12" s="16" t="inlineStr">
        <is>
          <t>R$</t>
        </is>
      </c>
      <c r="G12" s="16" t="inlineStr">
        <is>
          <t>Empresa/Período</t>
        </is>
      </c>
      <c r="H12" s="16" t="inlineStr">
        <is>
          <t>Mensal</t>
        </is>
      </c>
      <c r="I12" s="16" t="inlineStr">
        <is>
          <t>ERP+CRM</t>
        </is>
      </c>
      <c r="J12" s="16" t="n"/>
      <c r="K12" s="16" t="n"/>
      <c r="L12" s="16" t="inlineStr">
        <is>
          <t>Maior melhor</t>
        </is>
      </c>
      <c r="M12" s="16" t="inlineStr">
        <is>
          <t>Financeiro+Comercial</t>
        </is>
      </c>
      <c r="N12" s="16" t="inlineStr">
        <is>
          <t>Receita recorrente</t>
        </is>
      </c>
      <c r="O12" s="16" t="inlineStr">
        <is>
          <t>Proposto</t>
        </is>
      </c>
    </row>
    <row r="13" ht="15" customHeight="1">
      <c r="A13" s="16" t="inlineStr">
        <is>
          <t>KPI-FIN-05</t>
        </is>
      </c>
      <c r="B13" s="16" t="inlineStr">
        <is>
          <t>Financeiro</t>
        </is>
      </c>
      <c r="C13" s="16" t="inlineStr">
        <is>
          <t>Crescimento</t>
        </is>
      </c>
      <c r="D13" s="16" t="inlineStr">
        <is>
          <t>Qual a variação da receita no tempo?</t>
        </is>
      </c>
      <c r="E13" s="16" t="inlineStr">
        <is>
          <t>(Receita atual-Receita anterior)/Receita anterior</t>
        </is>
      </c>
      <c r="F13" s="16" t="inlineStr">
        <is>
          <t>%</t>
        </is>
      </c>
      <c r="G13" s="16" t="inlineStr">
        <is>
          <t>Empresa/Período</t>
        </is>
      </c>
      <c r="H13" s="16" t="inlineStr">
        <is>
          <t>Mensal</t>
        </is>
      </c>
      <c r="I13" s="16" t="inlineStr">
        <is>
          <t>ERP</t>
        </is>
      </c>
      <c r="J13" s="16" t="n"/>
      <c r="K13" s="16" t="n"/>
      <c r="L13" s="16" t="inlineStr">
        <is>
          <t>Maior melhor</t>
        </is>
      </c>
      <c r="M13" s="16" t="inlineStr">
        <is>
          <t>Financeiro</t>
        </is>
      </c>
      <c r="N13" s="16" t="inlineStr">
        <is>
          <t>Crescimento</t>
        </is>
      </c>
      <c r="O13" s="16" t="inlineStr">
        <is>
          <t>Proposto</t>
        </is>
      </c>
    </row>
    <row r="14" ht="15" customHeight="1">
      <c r="A14" s="16" t="inlineStr">
        <is>
          <t>KPI-FIN-06</t>
        </is>
      </c>
      <c r="B14" s="16" t="inlineStr">
        <is>
          <t>Financeiro</t>
        </is>
      </c>
      <c r="C14" s="16" t="inlineStr">
        <is>
          <t>Margem de contribuição</t>
        </is>
      </c>
      <c r="D14" s="16" t="inlineStr">
        <is>
          <t>Quanto sobra após custos variáveis?</t>
        </is>
      </c>
      <c r="E14" s="16" t="inlineStr">
        <is>
          <t>(Receita-custos variáveis)/receita</t>
        </is>
      </c>
      <c r="F14" s="16" t="inlineStr">
        <is>
          <t>%</t>
        </is>
      </c>
      <c r="G14" s="16" t="inlineStr">
        <is>
          <t>Empresa/Produto/Período</t>
        </is>
      </c>
      <c r="H14" s="16" t="inlineStr">
        <is>
          <t>Mensal</t>
        </is>
      </c>
      <c r="I14" s="16" t="inlineStr">
        <is>
          <t>ERP</t>
        </is>
      </c>
      <c r="J14" s="16" t="n"/>
      <c r="K14" s="16" t="n"/>
      <c r="L14" s="16" t="inlineStr">
        <is>
          <t>Maior melhor</t>
        </is>
      </c>
      <c r="M14" s="16" t="inlineStr">
        <is>
          <t>Financeiro</t>
        </is>
      </c>
      <c r="N14" s="16" t="inlineStr">
        <is>
          <t>Rentabilidade</t>
        </is>
      </c>
      <c r="O14" s="16" t="inlineStr">
        <is>
          <t>Proposto</t>
        </is>
      </c>
    </row>
    <row r="15" ht="15" customHeight="1">
      <c r="A15" s="16" t="inlineStr">
        <is>
          <t>KPI-FIN-07</t>
        </is>
      </c>
      <c r="B15" s="16" t="inlineStr">
        <is>
          <t>Financeiro</t>
        </is>
      </c>
      <c r="C15" s="16" t="inlineStr">
        <is>
          <t>EBITDA</t>
        </is>
      </c>
      <c r="D15" s="16" t="inlineStr">
        <is>
          <t>Quanto gera antes de juros, impostos, depreciação e amortização?</t>
        </is>
      </c>
      <c r="E15" s="16" t="inlineStr">
        <is>
          <t>Lucro operacional + depreciação + amortização</t>
        </is>
      </c>
      <c r="F15" s="16" t="inlineStr">
        <is>
          <t>R$</t>
        </is>
      </c>
      <c r="G15" s="16" t="inlineStr">
        <is>
          <t>Empresa/Período</t>
        </is>
      </c>
      <c r="H15" s="16" t="inlineStr">
        <is>
          <t>Mensal</t>
        </is>
      </c>
      <c r="I15" s="16" t="inlineStr">
        <is>
          <t>ERP/FP&amp;A</t>
        </is>
      </c>
      <c r="J15" s="16" t="n"/>
      <c r="K15" s="16" t="n"/>
      <c r="L15" s="16" t="inlineStr">
        <is>
          <t>Maior melhor</t>
        </is>
      </c>
      <c r="M15" s="16" t="inlineStr">
        <is>
          <t>Financeiro</t>
        </is>
      </c>
      <c r="N15" s="16" t="inlineStr">
        <is>
          <t>Eficiência operacional</t>
        </is>
      </c>
      <c r="O15" s="16" t="inlineStr">
        <is>
          <t>Proposto</t>
        </is>
      </c>
    </row>
    <row r="16" ht="15" customHeight="1">
      <c r="A16" s="16" t="inlineStr">
        <is>
          <t>KPI-FIN-08</t>
        </is>
      </c>
      <c r="B16" s="16" t="inlineStr">
        <is>
          <t>Financeiro</t>
        </is>
      </c>
      <c r="C16" s="16" t="inlineStr">
        <is>
          <t>Lucro líquido</t>
        </is>
      </c>
      <c r="D16" s="16" t="inlineStr">
        <is>
          <t>Qual o resultado final após despesas e impostos?</t>
        </is>
      </c>
      <c r="E16" s="16" t="inlineStr">
        <is>
          <t>Receita-total de custos e despesas</t>
        </is>
      </c>
      <c r="F16" s="16" t="inlineStr">
        <is>
          <t>R$</t>
        </is>
      </c>
      <c r="G16" s="16" t="inlineStr">
        <is>
          <t>Empresa/Período</t>
        </is>
      </c>
      <c r="H16" s="16" t="inlineStr">
        <is>
          <t>Mensal</t>
        </is>
      </c>
      <c r="I16" s="16" t="inlineStr">
        <is>
          <t>ERP/FP&amp;A</t>
        </is>
      </c>
      <c r="J16" s="16" t="n"/>
      <c r="K16" s="16" t="n"/>
      <c r="L16" s="16" t="inlineStr">
        <is>
          <t>Maior melhor</t>
        </is>
      </c>
      <c r="M16" s="16" t="inlineStr">
        <is>
          <t>Financeiro</t>
        </is>
      </c>
      <c r="N16" s="16" t="inlineStr">
        <is>
          <t>Resultado final</t>
        </is>
      </c>
      <c r="O16" s="16" t="inlineStr">
        <is>
          <t>Proposto</t>
        </is>
      </c>
    </row>
    <row r="17" ht="15" customHeight="1">
      <c r="A17" s="16" t="inlineStr">
        <is>
          <t>KPI-FIN-09</t>
        </is>
      </c>
      <c r="B17" s="16" t="inlineStr">
        <is>
          <t>Financeiro</t>
        </is>
      </c>
      <c r="C17" s="16" t="inlineStr">
        <is>
          <t>Fluxo de caixa</t>
        </is>
      </c>
      <c r="D17" s="16" t="inlineStr">
        <is>
          <t>Quanto caixa líquido entrou ou saiu?</t>
        </is>
      </c>
      <c r="E17" s="16" t="inlineStr">
        <is>
          <t>Entradas de caixa-saídas de caixa</t>
        </is>
      </c>
      <c r="F17" s="16" t="inlineStr">
        <is>
          <t>R$</t>
        </is>
      </c>
      <c r="G17" s="16" t="inlineStr">
        <is>
          <t>Empresa/Período</t>
        </is>
      </c>
      <c r="H17" s="16" t="inlineStr">
        <is>
          <t>Mensal</t>
        </is>
      </c>
      <c r="I17" s="16" t="inlineStr">
        <is>
          <t>ERP/Tesouraria</t>
        </is>
      </c>
      <c r="J17" s="16" t="n"/>
      <c r="K17" s="16" t="n"/>
      <c r="L17" s="16" t="inlineStr">
        <is>
          <t>Maior melhor</t>
        </is>
      </c>
      <c r="M17" s="16" t="inlineStr">
        <is>
          <t>Financeiro</t>
        </is>
      </c>
      <c r="N17" s="16" t="inlineStr">
        <is>
          <t>Liquidez</t>
        </is>
      </c>
      <c r="O17" s="16" t="inlineStr">
        <is>
          <t>Proposto</t>
        </is>
      </c>
    </row>
    <row r="18" ht="15" customHeight="1">
      <c r="A18" s="16" t="inlineStr">
        <is>
          <t>KPI-FIN-10</t>
        </is>
      </c>
      <c r="B18" s="16" t="inlineStr">
        <is>
          <t>Financeiro</t>
        </is>
      </c>
      <c r="C18" s="16" t="inlineStr">
        <is>
          <t>Capital de giro</t>
        </is>
      </c>
      <c r="D18" s="16" t="inlineStr">
        <is>
          <t>Quanto capital está imobilizado no ciclo?</t>
        </is>
      </c>
      <c r="E18" s="16" t="inlineStr">
        <is>
          <t>Ativos circulantes-passivos circulantes</t>
        </is>
      </c>
      <c r="F18" s="16" t="inlineStr">
        <is>
          <t>R$</t>
        </is>
      </c>
      <c r="G18" s="16" t="inlineStr">
        <is>
          <t>Empresa/Período</t>
        </is>
      </c>
      <c r="H18" s="16" t="inlineStr">
        <is>
          <t>Mensal</t>
        </is>
      </c>
      <c r="I18" s="16" t="inlineStr">
        <is>
          <t>ERP/Contábil</t>
        </is>
      </c>
      <c r="J18" s="16" t="n"/>
      <c r="K18" s="16" t="n"/>
      <c r="L18" s="16" t="inlineStr">
        <is>
          <t>Menor melhor</t>
        </is>
      </c>
      <c r="M18" s="16" t="inlineStr">
        <is>
          <t>Financeiro</t>
        </is>
      </c>
      <c r="N18" s="16" t="inlineStr">
        <is>
          <t>Liquidez</t>
        </is>
      </c>
      <c r="O18" s="16" t="inlineStr">
        <is>
          <t>Proposto</t>
        </is>
      </c>
    </row>
    <row r="19" ht="15" customHeight="1">
      <c r="A19" s="16" t="inlineStr">
        <is>
          <t>KPI-FIN-11</t>
        </is>
      </c>
      <c r="B19" s="16" t="inlineStr">
        <is>
          <t>Financeiro</t>
        </is>
      </c>
      <c r="C19" s="16" t="inlineStr">
        <is>
          <t>ROIC</t>
        </is>
      </c>
      <c r="D19" s="16" t="inlineStr">
        <is>
          <t>Qual o retorno sobre o capital investido?</t>
        </is>
      </c>
      <c r="E19" s="16" t="inlineStr">
        <is>
          <t>NOPAT/capital investido</t>
        </is>
      </c>
      <c r="F19" s="16" t="inlineStr">
        <is>
          <t>%</t>
        </is>
      </c>
      <c r="G19" s="16" t="inlineStr">
        <is>
          <t>Empresa/Período</t>
        </is>
      </c>
      <c r="H19" s="16" t="inlineStr">
        <is>
          <t>Mensal</t>
        </is>
      </c>
      <c r="I19" s="16" t="inlineStr">
        <is>
          <t>ERP/FP&amp;A</t>
        </is>
      </c>
      <c r="J19" s="16" t="n"/>
      <c r="K19" s="16" t="n"/>
      <c r="L19" s="16" t="inlineStr">
        <is>
          <t>Maior melhor</t>
        </is>
      </c>
      <c r="M19" s="16" t="inlineStr">
        <is>
          <t>Financeiro</t>
        </is>
      </c>
      <c r="N19" s="16" t="inlineStr">
        <is>
          <t>Eficiência de capital</t>
        </is>
      </c>
      <c r="O19" s="16" t="inlineStr">
        <is>
          <t>Proposto</t>
        </is>
      </c>
    </row>
    <row r="20" ht="15" customHeight="1">
      <c r="A20" s="16" t="inlineStr">
        <is>
          <t>KPI-FIN-12</t>
        </is>
      </c>
      <c r="B20" s="16" t="inlineStr">
        <is>
          <t>Financeiro</t>
        </is>
      </c>
      <c r="C20" s="16" t="inlineStr">
        <is>
          <t>Custo de oportunidade</t>
        </is>
      </c>
      <c r="D20" s="16" t="inlineStr">
        <is>
          <t>Quanto se perde por não escolher a melhor alternativa?</t>
        </is>
      </c>
      <c r="E20" s="16" t="inlineStr">
        <is>
          <t>Valor da melhor alternativa-valor escolhido</t>
        </is>
      </c>
      <c r="F20" s="16" t="inlineStr">
        <is>
          <t>R$</t>
        </is>
      </c>
      <c r="G20" s="16" t="inlineStr">
        <is>
          <t>Caso/Período</t>
        </is>
      </c>
      <c r="H20" s="16" t="inlineStr">
        <is>
          <t>Mensal</t>
        </is>
      </c>
      <c r="I20" s="16" t="inlineStr">
        <is>
          <t>HUB+Financeiro</t>
        </is>
      </c>
      <c r="J20" s="16" t="n"/>
      <c r="K20" s="16" t="n"/>
      <c r="L20" s="16" t="inlineStr">
        <is>
          <t>Menor melhor</t>
        </is>
      </c>
      <c r="M20" s="16" t="inlineStr">
        <is>
          <t>Financeiro</t>
        </is>
      </c>
      <c r="N20" s="16" t="inlineStr">
        <is>
          <t>Decisão econômica</t>
        </is>
      </c>
      <c r="O20" s="16" t="inlineStr">
        <is>
          <t>Proposto</t>
        </is>
      </c>
    </row>
    <row r="21" ht="15" customHeight="1">
      <c r="A21" s="16" t="inlineStr">
        <is>
          <t>KPI-FIN-13</t>
        </is>
      </c>
      <c r="B21" s="16" t="inlineStr">
        <is>
          <t>Financeiro</t>
        </is>
      </c>
      <c r="C21" s="16" t="inlineStr">
        <is>
          <t>Receita em risco</t>
        </is>
      </c>
      <c r="D21" s="16" t="inlineStr">
        <is>
          <t>Qual parcela da receita está exposta a perda?</t>
        </is>
      </c>
      <c r="E21" s="16" t="inlineStr">
        <is>
          <t>Σ receita ponderada por risco</t>
        </is>
      </c>
      <c r="F21" s="16" t="inlineStr">
        <is>
          <t>R$</t>
        </is>
      </c>
      <c r="G21" s="16" t="inlineStr">
        <is>
          <t>Cliente/Projeto</t>
        </is>
      </c>
      <c r="H21" s="16" t="inlineStr">
        <is>
          <t>Semanal/mensal</t>
        </is>
      </c>
      <c r="I21" s="16" t="inlineStr">
        <is>
          <t>CRM+Operações</t>
        </is>
      </c>
      <c r="J21" s="16" t="n"/>
      <c r="K21" s="16" t="n"/>
      <c r="L21" s="16" t="inlineStr">
        <is>
          <t>Menor melhor</t>
        </is>
      </c>
      <c r="M21" s="16" t="inlineStr">
        <is>
          <t>Financeiro+CS</t>
        </is>
      </c>
      <c r="N21" s="16" t="inlineStr">
        <is>
          <t>Receita em risco</t>
        </is>
      </c>
      <c r="O21" s="16" t="inlineStr">
        <is>
          <t>Proposto</t>
        </is>
      </c>
    </row>
    <row r="22" ht="15" customHeight="1">
      <c r="A22" s="16" t="inlineStr">
        <is>
          <t>KPI-FIN-14</t>
        </is>
      </c>
      <c r="B22" s="16" t="inlineStr">
        <is>
          <t>Financeiro</t>
        </is>
      </c>
      <c r="C22" s="16" t="inlineStr">
        <is>
          <t>Custo da inação</t>
        </is>
      </c>
      <c r="D22" s="16" t="inlineStr">
        <is>
          <t>Quanto valor é perdido por não agir?</t>
        </is>
      </c>
      <c r="E22" s="16" t="inlineStr">
        <is>
          <t>Valor esperado perdido sem ação</t>
        </is>
      </c>
      <c r="F22" s="16" t="inlineStr">
        <is>
          <t>R$</t>
        </is>
      </c>
      <c r="G22" s="16" t="inlineStr">
        <is>
          <t>Empresa/Caso</t>
        </is>
      </c>
      <c r="H22" s="16" t="inlineStr">
        <is>
          <t>Mensal</t>
        </is>
      </c>
      <c r="I22" s="16" t="inlineStr">
        <is>
          <t>HUB+Financeiro</t>
        </is>
      </c>
      <c r="J22" s="16" t="n"/>
      <c r="K22" s="16" t="n"/>
      <c r="L22" s="16" t="inlineStr">
        <is>
          <t>Menor melhor</t>
        </is>
      </c>
      <c r="M22" s="16" t="inlineStr">
        <is>
          <t>Financeiro+Sponsor</t>
        </is>
      </c>
      <c r="N22" s="16" t="inlineStr">
        <is>
          <t>Custo da inação</t>
        </is>
      </c>
      <c r="O22" s="16" t="inlineStr">
        <is>
          <t>Proposto</t>
        </is>
      </c>
    </row>
    <row r="23" ht="15" customHeight="1">
      <c r="A23" s="16" t="inlineStr">
        <is>
          <t>KPI-PEO-01</t>
        </is>
      </c>
      <c r="B23" s="16" t="inlineStr">
        <is>
          <t>Pessoas</t>
        </is>
      </c>
      <c r="C23" s="16" t="inlineStr">
        <is>
          <t>Turnover voluntário</t>
        </is>
      </c>
      <c r="D23" s="16" t="inlineStr">
        <is>
          <t>Qual proporção escolheu sair?</t>
        </is>
      </c>
      <c r="E23" s="16" t="inlineStr">
        <is>
          <t>Saídas voluntárias/headcount médio</t>
        </is>
      </c>
      <c r="F23" s="16" t="inlineStr">
        <is>
          <t>%</t>
        </is>
      </c>
      <c r="G23" s="16" t="inlineStr">
        <is>
          <t>Área/Gestor</t>
        </is>
      </c>
      <c r="H23" s="16" t="inlineStr">
        <is>
          <t>Mensal/12m</t>
        </is>
      </c>
      <c r="I23" s="16" t="inlineStr">
        <is>
          <t>HCM</t>
        </is>
      </c>
      <c r="J23" s="53" t="n">
        <v>0.12</v>
      </c>
      <c r="K23" s="53" t="n">
        <v>0.18</v>
      </c>
      <c r="L23" s="16" t="inlineStr">
        <is>
          <t>Menor melhor</t>
        </is>
      </c>
      <c r="M23" s="16" t="inlineStr">
        <is>
          <t>RH</t>
        </is>
      </c>
      <c r="N23" s="16" t="inlineStr">
        <is>
          <t>Reposição, ramp-up, receita</t>
        </is>
      </c>
      <c r="O23" s="16" t="inlineStr">
        <is>
          <t>Proposto</t>
        </is>
      </c>
    </row>
    <row r="24" ht="15" customHeight="1">
      <c r="A24" s="16" t="inlineStr">
        <is>
          <t>KPI-PEO-02</t>
        </is>
      </c>
      <c r="B24" s="16" t="inlineStr">
        <is>
          <t>Pessoas</t>
        </is>
      </c>
      <c r="C24" s="16" t="inlineStr">
        <is>
          <t>Custo de turnover</t>
        </is>
      </c>
      <c r="D24" s="16" t="inlineStr">
        <is>
          <t>Qual o custo estimado das saídas?</t>
        </is>
      </c>
      <c r="E24" s="16" t="inlineStr">
        <is>
          <t>Recrutamento+desligamento+ramp-up+produtividade</t>
        </is>
      </c>
      <c r="F24" s="16" t="inlineStr">
        <is>
          <t>R$</t>
        </is>
      </c>
      <c r="G24" s="16" t="inlineStr">
        <is>
          <t>Área/Cargo</t>
        </is>
      </c>
      <c r="H24" s="16" t="inlineStr">
        <is>
          <t>Mensal</t>
        </is>
      </c>
      <c r="I24" s="16" t="inlineStr">
        <is>
          <t>HCM+Financeiro</t>
        </is>
      </c>
      <c r="J24" s="22" t="n">
        <v>0</v>
      </c>
      <c r="K24" s="16" t="n"/>
      <c r="L24" s="16" t="inlineStr">
        <is>
          <t>Menor melhor</t>
        </is>
      </c>
      <c r="M24" s="16" t="inlineStr">
        <is>
          <t>RH+Financeiro</t>
        </is>
      </c>
      <c r="N24" s="16" t="inlineStr">
        <is>
          <t>Custo evitável</t>
        </is>
      </c>
      <c r="O24" s="16" t="inlineStr">
        <is>
          <t>Proposto</t>
        </is>
      </c>
    </row>
    <row r="25" ht="15" customHeight="1">
      <c r="A25" s="16" t="inlineStr">
        <is>
          <t>KPI-PEO-03</t>
        </is>
      </c>
      <c r="B25" s="16" t="inlineStr">
        <is>
          <t>Pessoas</t>
        </is>
      </c>
      <c r="C25" s="16" t="inlineStr">
        <is>
          <t>Mobilidade interna</t>
        </is>
      </c>
      <c r="D25" s="16" t="inlineStr">
        <is>
          <t>Quantas posições foram preenchidas internamente?</t>
        </is>
      </c>
      <c r="E25" s="16" t="inlineStr">
        <is>
          <t>Movimentações internas/posições preenchidas</t>
        </is>
      </c>
      <c r="F25" s="16" t="inlineStr">
        <is>
          <t>%</t>
        </is>
      </c>
      <c r="G25" s="16" t="inlineStr">
        <is>
          <t>Empresa/Área</t>
        </is>
      </c>
      <c r="H25" s="16" t="inlineStr">
        <is>
          <t>Mensal</t>
        </is>
      </c>
      <c r="I25" s="16" t="inlineStr">
        <is>
          <t>HCM/ATS</t>
        </is>
      </c>
      <c r="J25" s="53" t="n">
        <v>0.35</v>
      </c>
      <c r="K25" s="53" t="n">
        <v>0.2</v>
      </c>
      <c r="L25" s="16" t="inlineStr">
        <is>
          <t>Maior melhor</t>
        </is>
      </c>
      <c r="M25" s="16" t="inlineStr">
        <is>
          <t>Talent Management</t>
        </is>
      </c>
      <c r="N25" s="16" t="inlineStr">
        <is>
          <t>Economia de contratação</t>
        </is>
      </c>
      <c r="O25" s="16" t="inlineStr">
        <is>
          <t>Proposto</t>
        </is>
      </c>
    </row>
    <row r="26" ht="15" customHeight="1">
      <c r="A26" s="16" t="inlineStr">
        <is>
          <t>KPI-CLI-01</t>
        </is>
      </c>
      <c r="B26" s="16" t="inlineStr">
        <is>
          <t>Cliente</t>
        </is>
      </c>
      <c r="C26" s="16" t="inlineStr">
        <is>
          <t>Risco de churn</t>
        </is>
      </c>
      <c r="D26" s="16" t="inlineStr">
        <is>
          <t>Quais contas têm maior probabilidade de perda?</t>
        </is>
      </c>
      <c r="E26" s="16" t="inlineStr">
        <is>
          <t>Modelo NPS+incidentes+entrega+margem+relação</t>
        </is>
      </c>
      <c r="F26" s="16" t="inlineStr">
        <is>
          <t>0–100</t>
        </is>
      </c>
      <c r="G26" s="16" t="inlineStr">
        <is>
          <t>Cliente</t>
        </is>
      </c>
      <c r="H26" s="16" t="inlineStr">
        <is>
          <t>Semanal</t>
        </is>
      </c>
      <c r="I26" s="16" t="inlineStr">
        <is>
          <t>CRM+Operações</t>
        </is>
      </c>
      <c r="J26" s="16" t="inlineStr">
        <is>
          <t>20</t>
        </is>
      </c>
      <c r="K26" s="16" t="inlineStr">
        <is>
          <t>60</t>
        </is>
      </c>
      <c r="L26" s="16" t="inlineStr">
        <is>
          <t>Menor melhor</t>
        </is>
      </c>
      <c r="M26" s="16" t="inlineStr">
        <is>
          <t>CS</t>
        </is>
      </c>
      <c r="N26" s="16" t="inlineStr">
        <is>
          <t>Receita em risco</t>
        </is>
      </c>
      <c r="O26" s="16" t="inlineStr">
        <is>
          <t>MVP+1</t>
        </is>
      </c>
    </row>
    <row r="27" ht="15" customHeight="1">
      <c r="A27" s="16" t="inlineStr">
        <is>
          <t>KPI-SUP-01</t>
        </is>
      </c>
      <c r="B27" s="16" t="inlineStr">
        <is>
          <t>Compras</t>
        </is>
      </c>
      <c r="C27" s="16" t="inlineStr">
        <is>
          <t>Savings realizado</t>
        </is>
      </c>
      <c r="D27" s="16" t="inlineStr">
        <is>
          <t>Quanto foi economizado versus baseline?</t>
        </is>
      </c>
      <c r="E27" s="16" t="inlineStr">
        <is>
          <t>(Baseline-preço contratado)×volume</t>
        </is>
      </c>
      <c r="F27" s="16" t="inlineStr">
        <is>
          <t>R$</t>
        </is>
      </c>
      <c r="G27" s="16" t="inlineStr">
        <is>
          <t>Fornecedor/Categoria</t>
        </is>
      </c>
      <c r="H27" s="16" t="inlineStr">
        <is>
          <t>Mensal</t>
        </is>
      </c>
      <c r="I27" s="16" t="inlineStr">
        <is>
          <t>ERP/Compras</t>
        </is>
      </c>
      <c r="J27" s="16" t="n"/>
      <c r="K27" s="16" t="n"/>
      <c r="L27" s="16" t="inlineStr">
        <is>
          <t>Maior melhor</t>
        </is>
      </c>
      <c r="M27" s="16" t="inlineStr">
        <is>
          <t>Compras+Financeiro</t>
        </is>
      </c>
      <c r="N27" s="16" t="inlineStr">
        <is>
          <t>Redução de custo</t>
        </is>
      </c>
      <c r="O27" s="16" t="inlineStr">
        <is>
          <t>MVP+1</t>
        </is>
      </c>
    </row>
    <row r="28" ht="15" customHeight="1">
      <c r="A28" s="16" t="inlineStr">
        <is>
          <t>KPI-SUP-02</t>
        </is>
      </c>
      <c r="B28" s="16" t="inlineStr">
        <is>
          <t>Compras</t>
        </is>
      </c>
      <c r="C28" s="16" t="inlineStr">
        <is>
          <t>Competitividade da oferta</t>
        </is>
      </c>
      <c r="D28" s="16" t="inlineStr">
        <is>
          <t>Quanto a oferta difere do preço usual?</t>
        </is>
      </c>
      <c r="E28" s="16" t="inlineStr">
        <is>
          <t>(Preço usual-preço ofertado)/preço usual</t>
        </is>
      </c>
      <c r="F28" s="16" t="inlineStr">
        <is>
          <t>%</t>
        </is>
      </c>
      <c r="G28" s="16" t="inlineStr">
        <is>
          <t>Item/Fornecedor</t>
        </is>
      </c>
      <c r="H28" s="16" t="inlineStr">
        <is>
          <t>Cotação</t>
        </is>
      </c>
      <c r="I28" s="16" t="inlineStr">
        <is>
          <t>Compras</t>
        </is>
      </c>
      <c r="J28" s="53" t="n">
        <v>0.15</v>
      </c>
      <c r="K28" s="53" t="n">
        <v>0.05</v>
      </c>
      <c r="L28" s="16" t="inlineStr">
        <is>
          <t>Maior melhor</t>
        </is>
      </c>
      <c r="M28" s="16" t="inlineStr">
        <is>
          <t>Compras</t>
        </is>
      </c>
      <c r="N28" s="16" t="inlineStr">
        <is>
          <t>Savings disponível</t>
        </is>
      </c>
      <c r="O28" s="16" t="inlineStr">
        <is>
          <t>Caso Aline: 15%</t>
        </is>
      </c>
    </row>
    <row r="29" ht="15" customHeight="1">
      <c r="A29" s="16" t="inlineStr">
        <is>
          <t>KPI-HUB-01</t>
        </is>
      </c>
      <c r="B29" s="16" t="inlineStr">
        <is>
          <t>HUB Impact</t>
        </is>
      </c>
      <c r="C29" s="16" t="inlineStr">
        <is>
          <t>Adoção ativa</t>
        </is>
      </c>
      <c r="D29" s="16" t="inlineStr">
        <is>
          <t>Quanto do público elegível usa o HUB?</t>
        </is>
      </c>
      <c r="E29" s="16" t="inlineStr">
        <is>
          <t>Usuários ativos/usuários elegíveis</t>
        </is>
      </c>
      <c r="F29" s="16" t="inlineStr">
        <is>
          <t>%</t>
        </is>
      </c>
      <c r="G29" s="16" t="inlineStr">
        <is>
          <t>Perfil/Área</t>
        </is>
      </c>
      <c r="H29" s="16" t="inlineStr">
        <is>
          <t>Semanal/mensal</t>
        </is>
      </c>
      <c r="I29" s="16" t="inlineStr">
        <is>
          <t>Telemetria</t>
        </is>
      </c>
      <c r="J29" s="53" t="n">
        <v>0.75</v>
      </c>
      <c r="K29" s="53" t="n">
        <v>0.45</v>
      </c>
      <c r="L29" s="16" t="inlineStr">
        <is>
          <t>Maior melhor</t>
        </is>
      </c>
      <c r="M29" s="16" t="inlineStr">
        <is>
          <t>Gestor HUB</t>
        </is>
      </c>
      <c r="N29" s="16" t="inlineStr">
        <is>
          <t>Condição de captura de valor</t>
        </is>
      </c>
      <c r="O29" s="16" t="inlineStr">
        <is>
          <t>MVP</t>
        </is>
      </c>
    </row>
    <row r="30" ht="15" customHeight="1">
      <c r="A30" s="16" t="inlineStr">
        <is>
          <t>KPI-HUB-02</t>
        </is>
      </c>
      <c r="B30" s="16" t="inlineStr">
        <is>
          <t>HUB Impact</t>
        </is>
      </c>
      <c r="C30" s="16" t="inlineStr">
        <is>
          <t>Ação sobre alertas</t>
        </is>
      </c>
      <c r="D30" s="16" t="inlineStr">
        <is>
          <t>Os alertas levam a ações?</t>
        </is>
      </c>
      <c r="E30" s="16" t="inlineStr">
        <is>
          <t>Alertas com ação/alertas válidos</t>
        </is>
      </c>
      <c r="F30" s="16" t="inlineStr">
        <is>
          <t>%</t>
        </is>
      </c>
      <c r="G30" s="16" t="inlineStr">
        <is>
          <t>Gestor/Área</t>
        </is>
      </c>
      <c r="H30" s="16" t="inlineStr">
        <is>
          <t>Semanal/mensal</t>
        </is>
      </c>
      <c r="I30" s="16" t="inlineStr">
        <is>
          <t>Audit log</t>
        </is>
      </c>
      <c r="J30" s="53" t="n">
        <v>0.65</v>
      </c>
      <c r="K30" s="53" t="n">
        <v>0.3</v>
      </c>
      <c r="L30" s="16" t="inlineStr">
        <is>
          <t>Maior melhor</t>
        </is>
      </c>
      <c r="M30" s="16" t="inlineStr">
        <is>
          <t>Gestor HUB</t>
        </is>
      </c>
      <c r="N30" s="16" t="inlineStr">
        <is>
          <t>Conversão em valor</t>
        </is>
      </c>
      <c r="O30" s="16" t="inlineStr">
        <is>
          <t>MVP</t>
        </is>
      </c>
    </row>
    <row r="31" ht="15" customHeight="1">
      <c r="A31" s="16" t="inlineStr">
        <is>
          <t>KPI-HUB-03</t>
        </is>
      </c>
      <c r="B31" s="16" t="inlineStr">
        <is>
          <t>HUB Impact</t>
        </is>
      </c>
      <c r="C31" s="16" t="inlineStr">
        <is>
          <t>Tempo até decisão</t>
        </is>
      </c>
      <c r="D31" s="16" t="inlineStr">
        <is>
          <t>Quanto tempo do alerta à decisão?</t>
        </is>
      </c>
      <c r="E31" s="16" t="inlineStr">
        <is>
          <t>Média(data decisão-data alerta)</t>
        </is>
      </c>
      <c r="F31" s="16" t="inlineStr">
        <is>
          <t>Dias</t>
        </is>
      </c>
      <c r="G31" s="16" t="inlineStr">
        <is>
          <t>Tipo/Área</t>
        </is>
      </c>
      <c r="H31" s="16" t="inlineStr">
        <is>
          <t>Mensal</t>
        </is>
      </c>
      <c r="I31" s="16" t="inlineStr">
        <is>
          <t>Audit log</t>
        </is>
      </c>
      <c r="J31" s="16" t="inlineStr">
        <is>
          <t>3</t>
        </is>
      </c>
      <c r="K31" s="16" t="inlineStr">
        <is>
          <t>10</t>
        </is>
      </c>
      <c r="L31" s="16" t="inlineStr">
        <is>
          <t>Menor melhor</t>
        </is>
      </c>
      <c r="M31" s="16" t="inlineStr">
        <is>
          <t>Gestor HUB</t>
        </is>
      </c>
      <c r="N31" s="16" t="inlineStr">
        <is>
          <t>Agilidade/perda evitada</t>
        </is>
      </c>
      <c r="O31" s="16" t="inlineStr">
        <is>
          <t>MVP</t>
        </is>
      </c>
    </row>
    <row r="32" ht="15" customHeight="1">
      <c r="A32" s="16" t="inlineStr">
        <is>
          <t>KPI-HUB-04</t>
        </is>
      </c>
      <c r="B32" s="16" t="inlineStr">
        <is>
          <t>HUB Impact</t>
        </is>
      </c>
      <c r="C32" s="16" t="inlineStr">
        <is>
          <t>ROI da plataforma</t>
        </is>
      </c>
      <c r="D32" s="16" t="inlineStr">
        <is>
          <t>Qual o retorno líquido do HUB?</t>
        </is>
      </c>
      <c r="E32" s="16" t="inlineStr">
        <is>
          <t>(Benefícios validados-custo HUB)/custo HUB</t>
        </is>
      </c>
      <c r="F32" s="16" t="inlineStr">
        <is>
          <t>%</t>
        </is>
      </c>
      <c r="G32" s="16" t="inlineStr">
        <is>
          <t>Empresa/Período</t>
        </is>
      </c>
      <c r="H32" s="16" t="inlineStr">
        <is>
          <t>Mensal/trimestral</t>
        </is>
      </c>
      <c r="I32" s="16" t="inlineStr">
        <is>
          <t>ERP+HUB</t>
        </is>
      </c>
      <c r="J32" s="53" t="n">
        <v>1</v>
      </c>
      <c r="K32" s="53" t="n">
        <v>0</v>
      </c>
      <c r="L32" s="16" t="inlineStr">
        <is>
          <t>Maior melhor</t>
        </is>
      </c>
      <c r="M32" s="16" t="inlineStr">
        <is>
          <t>Financeiro+Sponsor</t>
        </is>
      </c>
      <c r="N32" s="16" t="inlineStr">
        <is>
          <t>Valor da plataforma</t>
        </is>
      </c>
      <c r="O32" s="16" t="inlineStr">
        <is>
          <t>MVP</t>
        </is>
      </c>
    </row>
  </sheetData>
  <mergeCells count="2">
    <mergeCell ref="A1:O1"/>
    <mergeCell ref="A2:O2"/>
  </mergeCells>
  <dataValidations count="1">
    <dataValidation sqref="O5:O250" showDropDown="0" showInputMessage="0" showErrorMessage="0" allowBlank="0" type="list">
      <formula1>"Rascunho,Proposto,Prioridade piloto,MVP,MVP+1,Aprovado,Descontinuado,Caso Aline: 15%"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25" customWidth="1" min="4" max="4"/>
    <col width="20" customWidth="1" min="5" max="5"/>
    <col width="48" customWidth="1" min="6" max="6"/>
    <col width="20" customWidth="1" min="7" max="7"/>
    <col width="35" customWidth="1" min="8" max="8"/>
    <col width="40" customWidth="1" min="9" max="9"/>
    <col width="38" customWidth="1" min="10" max="10"/>
    <col width="35" customWidth="1" min="11" max="11"/>
    <col width="24" customWidth="1" min="12" max="12"/>
    <col width="18" customWidth="1" min="13" max="13"/>
  </cols>
  <sheetData>
    <row r="1" ht="32" customHeight="1">
      <c r="A1" s="2" t="inlineStr">
        <is>
          <t>07_RELACOES</t>
        </is>
      </c>
    </row>
    <row r="2" ht="28" customHeight="1">
      <c r="A2" s="5" t="inlineStr">
        <is>
          <t>Hipóteses: correlação não deve ser apresentada como causalidade sem validação.</t>
        </is>
      </c>
    </row>
    <row r="4" ht="36" customHeight="1">
      <c r="A4" s="8" t="inlineStr">
        <is>
          <t>ID</t>
        </is>
      </c>
      <c r="B4" s="8" t="inlineStr">
        <is>
          <t>Sinal</t>
        </is>
      </c>
      <c r="C4" s="8" t="inlineStr">
        <is>
          <t>Mediador</t>
        </is>
      </c>
      <c r="D4" s="8" t="inlineStr">
        <is>
          <t>Resultado</t>
        </is>
      </c>
      <c r="E4" s="8" t="inlineStr">
        <is>
          <t>Relação</t>
        </is>
      </c>
      <c r="F4" s="8" t="inlineStr">
        <is>
          <t>Hipótese</t>
        </is>
      </c>
      <c r="G4" s="8" t="inlineStr">
        <is>
          <t>Janela</t>
        </is>
      </c>
      <c r="H4" s="8" t="inlineStr">
        <is>
          <t>Controles</t>
        </is>
      </c>
      <c r="I4" s="8" t="inlineStr">
        <is>
          <t>Validação</t>
        </is>
      </c>
      <c r="J4" s="8" t="inlineStr">
        <is>
          <t>Ação</t>
        </is>
      </c>
      <c r="K4" s="8" t="inlineStr">
        <is>
          <t>Risco de viés</t>
        </is>
      </c>
      <c r="L4" s="8" t="inlineStr">
        <is>
          <t>Nível de evidência (Espec. 5.1)</t>
        </is>
      </c>
      <c r="M4" s="8" t="inlineStr">
        <is>
          <t>Status</t>
        </is>
      </c>
    </row>
    <row r="5" ht="15" customHeight="1">
      <c r="A5" s="16" t="inlineStr">
        <is>
          <t>REL-01</t>
        </is>
      </c>
      <c r="B5" s="16" t="inlineStr">
        <is>
          <t>Qualidade da meta</t>
        </is>
      </c>
      <c r="C5" s="16" t="inlineStr">
        <is>
          <t>Foco/retrabalho</t>
        </is>
      </c>
      <c r="D5" s="16" t="inlineStr">
        <is>
          <t>Margem</t>
        </is>
      </c>
      <c r="E5" s="16" t="inlineStr">
        <is>
          <t>Hipótese</t>
        </is>
      </c>
      <c r="F5" s="16" t="inlineStr">
        <is>
          <t>Metas claras reduzem esforço sem valor.</t>
        </is>
      </c>
      <c r="G5" s="16" t="inlineStr">
        <is>
          <t>4–12 semanas</t>
        </is>
      </c>
      <c r="H5" s="16" t="inlineStr">
        <is>
          <t>Complexidade; senioridade; cliente</t>
        </is>
      </c>
      <c r="I5" s="16" t="inlineStr">
        <is>
          <t>Antes/depois+grupos comparáveis</t>
        </is>
      </c>
      <c r="J5" s="16" t="inlineStr">
        <is>
          <t>Reformular meta/pesos</t>
        </is>
      </c>
      <c r="K5" s="16" t="inlineStr">
        <is>
          <t>Metas fáceis premiadas</t>
        </is>
      </c>
      <c r="L5" s="16" t="inlineStr">
        <is>
          <t>Hipótese</t>
        </is>
      </c>
      <c r="M5" t="inlineStr">
        <is>
          <t>Validar piloto</t>
        </is>
      </c>
    </row>
    <row r="6" ht="15" customHeight="1">
      <c r="A6" s="16" t="inlineStr">
        <is>
          <t>REL-02</t>
        </is>
      </c>
      <c r="B6" s="16" t="inlineStr">
        <is>
          <t>Atingimento</t>
        </is>
      </c>
      <c r="C6" s="16" t="inlineStr">
        <is>
          <t>Entrega de marcos</t>
        </is>
      </c>
      <c r="D6" s="16" t="inlineStr">
        <is>
          <t>Receita</t>
        </is>
      </c>
      <c r="E6" s="16" t="inlineStr">
        <is>
          <t>Associação</t>
        </is>
      </c>
      <c r="F6" s="16" t="inlineStr">
        <is>
          <t>Entrega habilita reconhecimento de receita.</t>
        </is>
      </c>
      <c r="G6" s="16" t="inlineStr">
        <is>
          <t>Semanal/mensal</t>
        </is>
      </c>
      <c r="H6" s="16" t="inlineStr">
        <is>
          <t>Contrato; sazonalidade</t>
        </is>
      </c>
      <c r="I6" s="16" t="inlineStr">
        <is>
          <t>Regressão+revisão financeira</t>
        </is>
      </c>
      <c r="J6" s="16" t="inlineStr">
        <is>
          <t>Alertar marco</t>
        </is>
      </c>
      <c r="K6" s="16" t="inlineStr">
        <is>
          <t>Fatores externos</t>
        </is>
      </c>
      <c r="L6" s="16" t="inlineStr">
        <is>
          <t>Associação</t>
        </is>
      </c>
      <c r="M6" t="inlineStr">
        <is>
          <t>Validar piloto</t>
        </is>
      </c>
    </row>
    <row r="7" ht="15" customHeight="1">
      <c r="A7" s="16" t="inlineStr">
        <is>
          <t>REL-03</t>
        </is>
      </c>
      <c r="B7" s="16" t="inlineStr">
        <is>
          <t>Queda de performance</t>
        </is>
      </c>
      <c r="C7" s="16" t="inlineStr">
        <is>
          <t>Produtividade/alocação</t>
        </is>
      </c>
      <c r="D7" s="16" t="inlineStr">
        <is>
          <t>Receita/margem</t>
        </is>
      </c>
      <c r="E7" s="16" t="inlineStr">
        <is>
          <t>Associação</t>
        </is>
      </c>
      <c r="F7" s="16" t="inlineStr">
        <is>
          <t>Queda persistente pode antecipar capacidade perdida.</t>
        </is>
      </c>
      <c r="G7" s="16" t="inlineStr">
        <is>
          <t>2–8 semanas</t>
        </is>
      </c>
      <c r="H7" s="16" t="inlineStr">
        <is>
          <t>Projeto; licença; carga</t>
        </is>
      </c>
      <c r="I7" s="16" t="inlineStr">
        <is>
          <t>Série temporal+revisão humana</t>
        </is>
      </c>
      <c r="J7" s="16" t="inlineStr">
        <is>
          <t>Diagnóstico contextual</t>
        </is>
      </c>
      <c r="K7" s="16" t="inlineStr">
        <is>
          <t>Uso punitivo</t>
        </is>
      </c>
      <c r="L7" s="16" t="inlineStr">
        <is>
          <t>Associação</t>
        </is>
      </c>
      <c r="M7" t="inlineStr">
        <is>
          <t>Validar piloto</t>
        </is>
      </c>
    </row>
    <row r="8" ht="15" customHeight="1">
      <c r="A8" s="16" t="inlineStr">
        <is>
          <t>REL-04</t>
        </is>
      </c>
      <c r="B8" s="16" t="inlineStr">
        <is>
          <t>Liderança</t>
        </is>
      </c>
      <c r="C8" s="16" t="inlineStr">
        <is>
          <t>Clima/retenção/execução</t>
        </is>
      </c>
      <c r="D8" s="16" t="inlineStr">
        <is>
          <t>Custo/margem</t>
        </is>
      </c>
      <c r="E8" s="16" t="inlineStr">
        <is>
          <t>Hipótese</t>
        </is>
      </c>
      <c r="F8" s="16" t="inlineStr">
        <is>
          <t>Boa liderança reduz saídas, retrabalho e atrasos.</t>
        </is>
      </c>
      <c r="G8" s="16" t="inlineStr">
        <is>
          <t>3–12 meses</t>
        </is>
      </c>
      <c r="H8" s="16" t="inlineStr">
        <is>
          <t>Mercado; remuneração; projeto</t>
        </is>
      </c>
      <c r="I8" s="16" t="inlineStr">
        <is>
          <t>Longitudinal+controles</t>
        </is>
      </c>
      <c r="J8" s="16" t="inlineStr">
        <is>
          <t>Coaching/processo</t>
        </is>
      </c>
      <c r="K8" s="16" t="inlineStr">
        <is>
          <t>Viés de popularidade</t>
        </is>
      </c>
      <c r="L8" s="16" t="inlineStr">
        <is>
          <t>Hipótese</t>
        </is>
      </c>
      <c r="M8" t="inlineStr">
        <is>
          <t>Proposto</t>
        </is>
      </c>
    </row>
    <row r="9" ht="15" customHeight="1">
      <c r="A9" s="16" t="inlineStr">
        <is>
          <t>REL-05</t>
        </is>
      </c>
      <c r="B9" s="16" t="inlineStr">
        <is>
          <t>Alocação</t>
        </is>
      </c>
      <c r="C9" s="16" t="inlineStr">
        <is>
          <t>Horas faturáveis</t>
        </is>
      </c>
      <c r="D9" s="16" t="inlineStr">
        <is>
          <t>Receita</t>
        </is>
      </c>
      <c r="E9" s="16" t="inlineStr">
        <is>
          <t>Matemática</t>
        </is>
      </c>
      <c r="F9" s="16" t="inlineStr">
        <is>
          <t>Horas faturáveis×taxa determinam receita disponível.</t>
        </is>
      </c>
      <c r="G9" s="16" t="inlineStr">
        <is>
          <t>Semanal</t>
        </is>
      </c>
      <c r="H9" s="16" t="inlineStr">
        <is>
          <t>Desconto; contrato</t>
        </is>
      </c>
      <c r="I9" s="16" t="inlineStr">
        <is>
          <t>Conciliação timesheet×fatura</t>
        </is>
      </c>
      <c r="J9" s="16" t="inlineStr">
        <is>
          <t>Realocar capacidade</t>
        </is>
      </c>
      <c r="K9" s="16" t="inlineStr">
        <is>
          <t>Apontamento indevido</t>
        </is>
      </c>
      <c r="L9" s="16" t="inlineStr">
        <is>
          <t>Evidência fortalecida</t>
        </is>
      </c>
      <c r="M9" t="inlineStr">
        <is>
          <t>Piloto</t>
        </is>
      </c>
    </row>
    <row r="10" ht="15" customHeight="1">
      <c r="A10" s="16" t="inlineStr">
        <is>
          <t>REL-06</t>
        </is>
      </c>
      <c r="B10" s="16" t="inlineStr">
        <is>
          <t>Engajamento</t>
        </is>
      </c>
      <c r="C10" s="16" t="inlineStr">
        <is>
          <t>Absenteísmo/permanência</t>
        </is>
      </c>
      <c r="D10" s="16" t="inlineStr">
        <is>
          <t>Custo</t>
        </is>
      </c>
      <c r="E10" s="16" t="inlineStr">
        <is>
          <t>Associação</t>
        </is>
      </c>
      <c r="F10" s="16" t="inlineStr">
        <is>
          <t>Queda pode anteceder ausência e saída.</t>
        </is>
      </c>
      <c r="G10" s="16" t="inlineStr">
        <is>
          <t>1–6 meses</t>
        </is>
      </c>
      <c r="H10" s="16" t="inlineStr">
        <is>
          <t>Remuneração; reorganização</t>
        </is>
      </c>
      <c r="I10" s="16" t="inlineStr">
        <is>
          <t>Risco+calibração</t>
        </is>
      </c>
      <c r="J10" s="16" t="inlineStr">
        <is>
          <t>Escuta/intervenção</t>
        </is>
      </c>
      <c r="K10" s="16" t="inlineStr">
        <is>
          <t>Inferência individual</t>
        </is>
      </c>
      <c r="L10" s="16" t="inlineStr">
        <is>
          <t>Associação</t>
        </is>
      </c>
      <c r="M10" t="inlineStr">
        <is>
          <t>Proposto</t>
        </is>
      </c>
    </row>
    <row r="11" ht="15" customHeight="1">
      <c r="A11" s="16" t="inlineStr">
        <is>
          <t>REL-07</t>
        </is>
      </c>
      <c r="B11" s="16" t="inlineStr">
        <is>
          <t>Skills</t>
        </is>
      </c>
      <c r="C11" s="16" t="inlineStr">
        <is>
          <t>Mobilidade/ramp-up</t>
        </is>
      </c>
      <c r="D11" s="16" t="inlineStr">
        <is>
          <t>Custo contratação</t>
        </is>
      </c>
      <c r="E11" s="16" t="inlineStr">
        <is>
          <t>Hipótese</t>
        </is>
      </c>
      <c r="F11" s="16" t="inlineStr">
        <is>
          <t>Skills internas reduzem contratação e ramp-up.</t>
        </is>
      </c>
      <c r="G11" s="16" t="inlineStr">
        <is>
          <t>3–12 meses</t>
        </is>
      </c>
      <c r="H11" s="16" t="inlineStr">
        <is>
          <t>Demanda; mercado</t>
        </is>
      </c>
      <c r="I11" s="16" t="inlineStr">
        <is>
          <t>Coorte+custo evitado</t>
        </is>
      </c>
      <c r="J11" s="16" t="inlineStr">
        <is>
          <t>Trilha/projeto</t>
        </is>
      </c>
      <c r="K11" s="16" t="inlineStr">
        <is>
          <t>Curso≠competência</t>
        </is>
      </c>
      <c r="L11" s="16" t="inlineStr">
        <is>
          <t>Hipótese</t>
        </is>
      </c>
      <c r="M11" t="inlineStr">
        <is>
          <t>Fase 2</t>
        </is>
      </c>
    </row>
    <row r="12" ht="15" customHeight="1">
      <c r="A12" s="16" t="inlineStr">
        <is>
          <t>REL-08</t>
        </is>
      </c>
      <c r="B12" s="16" t="inlineStr">
        <is>
          <t>Preço fornecedor</t>
        </is>
      </c>
      <c r="C12" s="16" t="inlineStr">
        <is>
          <t>Custo aquisição</t>
        </is>
      </c>
      <c r="D12" s="16" t="inlineStr">
        <is>
          <t>Margem</t>
        </is>
      </c>
      <c r="E12" s="16" t="inlineStr">
        <is>
          <t>Matemática</t>
        </is>
      </c>
      <c r="F12" s="16" t="inlineStr">
        <is>
          <t>Oferta 15% menor gera savings se TCO equivalente.</t>
        </is>
      </c>
      <c r="G12" s="16" t="inlineStr">
        <is>
          <t>Compra</t>
        </is>
      </c>
      <c r="H12" s="16" t="inlineStr">
        <is>
          <t>Qualidade; prazo; volume</t>
        </is>
      </c>
      <c r="I12" s="16" t="inlineStr">
        <is>
          <t>Baseline+TCO</t>
        </is>
      </c>
      <c r="J12" s="16" t="inlineStr">
        <is>
          <t>Convidar Aline</t>
        </is>
      </c>
      <c r="K12" s="16" t="inlineStr">
        <is>
          <t>Viés contra novo</t>
        </is>
      </c>
      <c r="L12" s="16" t="inlineStr">
        <is>
          <t>Evidência fortalecida</t>
        </is>
      </c>
      <c r="M12" t="inlineStr">
        <is>
          <t>MVP+1</t>
        </is>
      </c>
    </row>
    <row r="13" ht="15" customHeight="1">
      <c r="A13" s="16" t="inlineStr">
        <is>
          <t>REL-09</t>
        </is>
      </c>
      <c r="B13" s="16" t="inlineStr">
        <is>
          <t>Uso alertas HUB</t>
        </is>
      </c>
      <c r="C13" s="16" t="inlineStr">
        <is>
          <t>Tempo de reação</t>
        </is>
      </c>
      <c r="D13" s="16" t="inlineStr">
        <is>
          <t>Benefício/perda evitada</t>
        </is>
      </c>
      <c r="E13" s="16" t="inlineStr">
        <is>
          <t>Hipótese</t>
        </is>
      </c>
      <c r="F13" s="16" t="inlineStr">
        <is>
          <t>Alertas acompanhados antecipam decisão e valor.</t>
        </is>
      </c>
      <c r="G13" s="16" t="inlineStr">
        <is>
          <t>Dias–meses</t>
        </is>
      </c>
      <c r="H13" s="16" t="inlineStr">
        <is>
          <t>Maturidade; volume</t>
        </is>
      </c>
      <c r="I13" s="16" t="inlineStr">
        <is>
          <t>Ação+contrafactual+Financeiro</t>
        </is>
      </c>
      <c r="J13" s="16" t="inlineStr">
        <is>
          <t>Otimizar regra</t>
        </is>
      </c>
      <c r="K13" s="16" t="inlineStr">
        <is>
          <t>Atribuição excessiva</t>
        </is>
      </c>
      <c r="L13" s="16" t="inlineStr">
        <is>
          <t>Hipótese</t>
        </is>
      </c>
      <c r="M13" t="inlineStr">
        <is>
          <t>MVP</t>
        </is>
      </c>
    </row>
    <row r="14" ht="15" customHeight="1">
      <c r="A14" s="16" t="inlineStr">
        <is>
          <t>REL-10</t>
        </is>
      </c>
      <c r="B14" s="16" t="inlineStr">
        <is>
          <t>Meta</t>
        </is>
      </c>
      <c r="C14" s="16" t="inlineStr">
        <is>
          <t>Meta ligada</t>
        </is>
      </c>
      <c r="D14" s="16" t="inlineStr">
        <is>
          <t>Indicador financeiro</t>
        </is>
      </c>
      <c r="E14" s="16" t="inlineStr">
        <is>
          <t>Associação</t>
        </is>
      </c>
      <c r="F14" s="16" t="inlineStr">
        <is>
          <t>Meta individual→meta equipe→indicador financeiro.</t>
        </is>
      </c>
      <c r="G14" s="16" t="inlineStr">
        <is>
          <t>Ciclo</t>
        </is>
      </c>
      <c r="H14" s="16" t="inlineStr">
        <is>
          <t>Complexidade; cliente</t>
        </is>
      </c>
      <c r="I14" s="16" t="inlineStr">
        <is>
          <t>Lineage Meta→KPI</t>
        </is>
      </c>
      <c r="J14" s="16" t="inlineStr">
        <is>
          <t>Revisar ligação financeira</t>
        </is>
      </c>
      <c r="K14" s="16" t="inlineStr">
        <is>
          <t>Meta isolada</t>
        </is>
      </c>
      <c r="L14" s="16" t="inlineStr">
        <is>
          <t>Associação</t>
        </is>
      </c>
      <c r="M14" t="inlineStr">
        <is>
          <t>Proposto</t>
        </is>
      </c>
    </row>
    <row r="15" ht="15" customHeight="1">
      <c r="A15" s="16" t="inlineStr">
        <is>
          <t>REL-11</t>
        </is>
      </c>
      <c r="B15" s="16" t="inlineStr">
        <is>
          <t>Universidade</t>
        </is>
      </c>
      <c r="C15" s="16" t="inlineStr">
        <is>
          <t>Competência</t>
        </is>
      </c>
      <c r="D15" s="16" t="inlineStr">
        <is>
          <t>Skills futuras</t>
        </is>
      </c>
      <c r="E15" s="16" t="inlineStr">
        <is>
          <t>Hipótese</t>
        </is>
      </c>
      <c r="F15" s="16" t="inlineStr">
        <is>
          <t>Universidade→competência alimenta skills emergentes.</t>
        </is>
      </c>
      <c r="G15" s="16" t="inlineStr">
        <is>
          <t>6–12 meses</t>
        </is>
      </c>
      <c r="H15" s="16" t="inlineStr">
        <is>
          <t>Curso; mercado</t>
        </is>
      </c>
      <c r="I15" s="16" t="inlineStr">
        <is>
          <t>Coorte universidade→skill</t>
        </is>
      </c>
      <c r="J15" s="16" t="inlineStr">
        <is>
          <t>Alinhar grade e trilha</t>
        </is>
      </c>
      <c r="K15" s="16" t="inlineStr">
        <is>
          <t>Oferta≠demanda</t>
        </is>
      </c>
      <c r="L15" s="16" t="inlineStr">
        <is>
          <t>Hipótese</t>
        </is>
      </c>
      <c r="M15" t="inlineStr">
        <is>
          <t>Fase 2</t>
        </is>
      </c>
    </row>
    <row r="16" ht="15" customHeight="1">
      <c r="A16" s="16" t="inlineStr">
        <is>
          <t>REL-12</t>
        </is>
      </c>
      <c r="B16" s="16" t="inlineStr">
        <is>
          <t>Curso</t>
        </is>
      </c>
      <c r="C16" s="16" t="inlineStr">
        <is>
          <t>Lacuna</t>
        </is>
      </c>
      <c r="D16" s="16" t="inlineStr">
        <is>
          <t>Empregabilidade</t>
        </is>
      </c>
      <c r="E16" s="16" t="inlineStr">
        <is>
          <t>Hipótese</t>
        </is>
      </c>
      <c r="F16" s="16" t="inlineStr">
        <is>
          <t>Curso→lacuna explica gap de contratação.</t>
        </is>
      </c>
      <c r="G16" s="16" t="inlineStr">
        <is>
          <t>3–12 meses</t>
        </is>
      </c>
      <c r="H16" s="16" t="inlineStr">
        <is>
          <t>Região; demanda</t>
        </is>
      </c>
      <c r="I16" s="16" t="inlineStr">
        <is>
          <t>Taxa de conversão e lacuna</t>
        </is>
      </c>
      <c r="J16" s="16" t="inlineStr">
        <is>
          <t>Ajustar portfólio/curso</t>
        </is>
      </c>
      <c r="K16" s="16" t="inlineStr">
        <is>
          <t>Viés de seleção</t>
        </is>
      </c>
      <c r="L16" s="16" t="inlineStr">
        <is>
          <t>Hipótese</t>
        </is>
      </c>
      <c r="M16" t="inlineStr">
        <is>
          <t>Fase 2</t>
        </is>
      </c>
    </row>
  </sheetData>
  <mergeCells count="2">
    <mergeCell ref="A2:L2"/>
    <mergeCell ref="A1:L1"/>
  </mergeCells>
  <dataValidations count="1">
    <dataValidation sqref="L5:L250" showDropDown="0" showInputMessage="0" showErrorMessage="0" allowBlank="0" type="list">
      <formula1>"Rascunho,Proposto,Validar piloto,Piloto,MVP,MVP+1,Fase 2,Validado,Rejeitado"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9" customWidth="1" min="4" max="4"/>
    <col width="25" customWidth="1" min="5" max="5"/>
    <col width="19" customWidth="1" min="6" max="6"/>
    <col width="26" customWidth="1" min="7" max="7"/>
    <col width="48" customWidth="1" min="8" max="8"/>
    <col width="26" customWidth="1" min="9" max="9"/>
    <col width="40" customWidth="1" min="10" max="10"/>
    <col width="17" customWidth="1" min="11" max="11"/>
    <col width="18" customWidth="1" min="12" max="12"/>
    <col width="22" customWidth="1" min="13" max="13"/>
    <col width="15" customWidth="1" min="14" max="14"/>
    <col width="20" customWidth="1" min="15" max="15"/>
  </cols>
  <sheetData>
    <row r="1" ht="32" customHeight="1">
      <c r="A1" s="2" t="inlineStr">
        <is>
          <t>08_INTEGRACOES</t>
        </is>
      </c>
    </row>
    <row r="2" ht="28" customHeight="1">
      <c r="A2" s="5" t="inlineStr">
        <is>
          <t>Contratos iniciais de integração e requisitos não funcionais.</t>
        </is>
      </c>
    </row>
    <row r="4" ht="36" customHeight="1">
      <c r="A4" s="8" t="inlineStr">
        <is>
          <t>ID</t>
        </is>
      </c>
      <c r="B4" s="8" t="inlineStr">
        <is>
          <t>Sistema</t>
        </is>
      </c>
      <c r="C4" s="8" t="inlineStr">
        <is>
          <t>Objeto</t>
        </is>
      </c>
      <c r="D4" s="8" t="inlineStr">
        <is>
          <t>Direção</t>
        </is>
      </c>
      <c r="E4" s="8" t="inlineStr">
        <is>
          <t>Método</t>
        </is>
      </c>
      <c r="F4" s="8" t="inlineStr">
        <is>
          <t>Frequência</t>
        </is>
      </c>
      <c r="G4" s="8" t="inlineStr">
        <is>
          <t>Chave</t>
        </is>
      </c>
      <c r="H4" s="8" t="inlineStr">
        <is>
          <t>Campos mínimos</t>
        </is>
      </c>
      <c r="I4" s="8" t="inlineStr">
        <is>
          <t>Autenticação</t>
        </is>
      </c>
      <c r="J4" s="8" t="inlineStr">
        <is>
          <t>Erro/Reprocessamento</t>
        </is>
      </c>
      <c r="K4" s="8" t="inlineStr">
        <is>
          <t>SLA</t>
        </is>
      </c>
      <c r="L4" s="8" t="inlineStr">
        <is>
          <t>Histórico</t>
        </is>
      </c>
      <c r="M4" s="8" t="inlineStr">
        <is>
          <t>Dono</t>
        </is>
      </c>
      <c r="N4" s="8" t="inlineStr">
        <is>
          <t>Prioridade</t>
        </is>
      </c>
      <c r="O4" s="8" t="inlineStr">
        <is>
          <t>Status</t>
        </is>
      </c>
    </row>
    <row r="5" ht="15" customHeight="1">
      <c r="A5" s="16" t="inlineStr">
        <is>
          <t>INT-01</t>
        </is>
      </c>
      <c r="B5" s="16" t="inlineStr">
        <is>
          <t>Workday/HCM</t>
        </is>
      </c>
      <c r="C5" s="16" t="inlineStr">
        <is>
          <t>Pessoas/hierarquia</t>
        </is>
      </c>
      <c r="D5" s="16" t="inlineStr">
        <is>
          <t>Entrada</t>
        </is>
      </c>
      <c r="E5" s="16" t="inlineStr">
        <is>
          <t>API; fallback SFTP</t>
        </is>
      </c>
      <c r="F5" s="16" t="inlineStr">
        <is>
          <t>Diária</t>
        </is>
      </c>
      <c r="G5" s="16" t="inlineStr">
        <is>
          <t>ID Workday</t>
        </is>
      </c>
      <c r="H5" s="16" t="inlineStr">
        <is>
          <t>Cadastro, gestor, estrutura</t>
        </is>
      </c>
      <c r="I5" s="16" t="inlineStr">
        <is>
          <t>OAuth2</t>
        </is>
      </c>
      <c r="J5" s="16" t="inlineStr">
        <is>
          <t>Quarentena+relatório+retry</t>
        </is>
      </c>
      <c r="K5" s="16" t="inlineStr">
        <is>
          <t>D+1</t>
        </is>
      </c>
      <c r="L5" s="16" t="inlineStr">
        <is>
          <t>24 meses</t>
        </is>
      </c>
      <c r="M5" s="16" t="inlineStr">
        <is>
          <t>RHIS</t>
        </is>
      </c>
      <c r="N5" s="16" t="inlineStr">
        <is>
          <t>Crítica</t>
        </is>
      </c>
      <c r="O5" s="16" t="inlineStr">
        <is>
          <t>A confirmar</t>
        </is>
      </c>
    </row>
    <row r="6" ht="15" customHeight="1">
      <c r="A6" s="16" t="inlineStr">
        <is>
          <t>INT-02</t>
        </is>
      </c>
      <c r="B6" s="16" t="inlineStr">
        <is>
          <t>Qulture Rocks/Performance</t>
        </is>
      </c>
      <c r="C6" s="16" t="inlineStr">
        <is>
          <t>Metas/avaliações</t>
        </is>
      </c>
      <c r="D6" s="16" t="inlineStr">
        <is>
          <t>Entrada/bidirecional</t>
        </is>
      </c>
      <c r="E6" s="16" t="inlineStr">
        <is>
          <t>API/webhook; CSV</t>
        </is>
      </c>
      <c r="F6" s="16" t="inlineStr">
        <is>
          <t>Evento+diária</t>
        </is>
      </c>
      <c r="G6" s="16" t="inlineStr">
        <is>
          <t>Pessoa+meta/ciclo</t>
        </is>
      </c>
      <c r="H6" s="16" t="inlineStr">
        <is>
          <t>Meta, peso, progresso, notas</t>
        </is>
      </c>
      <c r="I6" s="16" t="inlineStr">
        <is>
          <t>OAuth2/API key</t>
        </is>
      </c>
      <c r="J6" s="16" t="inlineStr">
        <is>
          <t>Idempotência+versionamento+DLQ</t>
        </is>
      </c>
      <c r="K6" s="16" t="inlineStr">
        <is>
          <t>≤4h</t>
        </is>
      </c>
      <c r="L6" s="16" t="inlineStr">
        <is>
          <t>3 ciclos</t>
        </is>
      </c>
      <c r="M6" s="16" t="inlineStr">
        <is>
          <t>RH Performance</t>
        </is>
      </c>
      <c r="N6" s="16" t="inlineStr">
        <is>
          <t>Crítica</t>
        </is>
      </c>
      <c r="O6" s="16" t="inlineStr">
        <is>
          <t>A confirmar</t>
        </is>
      </c>
    </row>
    <row r="7" ht="15" customHeight="1">
      <c r="A7" s="16" t="inlineStr">
        <is>
          <t>INT-03</t>
        </is>
      </c>
      <c r="B7" s="16" t="inlineStr">
        <is>
          <t>ERP/Financeiro</t>
        </is>
      </c>
      <c r="C7" s="16" t="inlineStr">
        <is>
          <t>Receita/custo/margem</t>
        </is>
      </c>
      <c r="D7" s="16" t="inlineStr">
        <is>
          <t>Entrada</t>
        </is>
      </c>
      <c r="E7" s="16" t="inlineStr">
        <is>
          <t>API/DW</t>
        </is>
      </c>
      <c r="F7" s="16" t="inlineStr">
        <is>
          <t>Mensal</t>
        </is>
      </c>
      <c r="G7" s="16" t="inlineStr">
        <is>
          <t>Projeto/cliente/CC/período</t>
        </is>
      </c>
      <c r="H7" s="16" t="inlineStr">
        <is>
          <t>Receita, custo, moeda, fechamento</t>
        </is>
      </c>
      <c r="I7" s="16" t="inlineStr">
        <is>
          <t>Service account</t>
        </is>
      </c>
      <c r="J7" s="16" t="inlineStr">
        <is>
          <t>Bloquear não conciliado</t>
        </is>
      </c>
      <c r="K7" s="16" t="inlineStr">
        <is>
          <t>D+2 fechamento</t>
        </is>
      </c>
      <c r="L7" s="16" t="inlineStr">
        <is>
          <t>24 meses</t>
        </is>
      </c>
      <c r="M7" s="16" t="inlineStr">
        <is>
          <t>Financeiro</t>
        </is>
      </c>
      <c r="N7" s="16" t="inlineStr">
        <is>
          <t>Crítica</t>
        </is>
      </c>
      <c r="O7" s="16" t="inlineStr">
        <is>
          <t>A confirmar</t>
        </is>
      </c>
    </row>
    <row r="8" ht="15" customHeight="1">
      <c r="A8" s="16" t="inlineStr">
        <is>
          <t>INT-04</t>
        </is>
      </c>
      <c r="B8" s="16" t="inlineStr">
        <is>
          <t>PSA/Timesheet</t>
        </is>
      </c>
      <c r="C8" s="16" t="inlineStr">
        <is>
          <t>Alocação/horas</t>
        </is>
      </c>
      <c r="D8" s="16" t="inlineStr">
        <is>
          <t>Entrada</t>
        </is>
      </c>
      <c r="E8" s="16" t="inlineStr">
        <is>
          <t>API/webhook</t>
        </is>
      </c>
      <c r="F8" s="16" t="inlineStr">
        <is>
          <t>Diária</t>
        </is>
      </c>
      <c r="G8" s="16" t="inlineStr">
        <is>
          <t>Pessoa/projeto/data</t>
        </is>
      </c>
      <c r="H8" s="16" t="inlineStr">
        <is>
          <t>Disponível, faturável, taxa</t>
        </is>
      </c>
      <c r="I8" s="16" t="inlineStr">
        <is>
          <t>OAuth2</t>
        </is>
      </c>
      <c r="J8" s="16" t="inlineStr">
        <is>
          <t>Idempotência+quarentena</t>
        </is>
      </c>
      <c r="K8" s="16" t="inlineStr">
        <is>
          <t>D+1</t>
        </is>
      </c>
      <c r="L8" s="16" t="inlineStr">
        <is>
          <t>12 meses</t>
        </is>
      </c>
      <c r="M8" s="16" t="inlineStr">
        <is>
          <t>Operações</t>
        </is>
      </c>
      <c r="N8" s="16" t="inlineStr">
        <is>
          <t>Crítica</t>
        </is>
      </c>
      <c r="O8" s="16" t="inlineStr">
        <is>
          <t>A confirmar</t>
        </is>
      </c>
    </row>
    <row r="9" ht="15" customHeight="1">
      <c r="A9" s="16" t="inlineStr">
        <is>
          <t>INT-05</t>
        </is>
      </c>
      <c r="B9" s="16" t="inlineStr">
        <is>
          <t>CRM</t>
        </is>
      </c>
      <c r="C9" s="16" t="inlineStr">
        <is>
          <t>Clientes/contratos</t>
        </is>
      </c>
      <c r="D9" s="16" t="inlineStr">
        <is>
          <t>Entrada</t>
        </is>
      </c>
      <c r="E9" s="16" t="inlineStr">
        <is>
          <t>API/webhook</t>
        </is>
      </c>
      <c r="F9" s="16" t="inlineStr">
        <is>
          <t>Diária</t>
        </is>
      </c>
      <c r="G9" s="16" t="inlineStr">
        <is>
          <t>Account/contract ID</t>
        </is>
      </c>
      <c r="H9" s="16" t="inlineStr">
        <is>
          <t>Conta, owner, valor, renovação</t>
        </is>
      </c>
      <c r="I9" s="16" t="inlineStr">
        <is>
          <t>OAuth2</t>
        </is>
      </c>
      <c r="J9" s="16" t="inlineStr">
        <is>
          <t>Retry+reconciliação</t>
        </is>
      </c>
      <c r="K9" s="16" t="inlineStr">
        <is>
          <t>D+1</t>
        </is>
      </c>
      <c r="L9" s="16" t="inlineStr">
        <is>
          <t>24 meses</t>
        </is>
      </c>
      <c r="M9" s="16" t="inlineStr">
        <is>
          <t>Comercial</t>
        </is>
      </c>
      <c r="N9" s="16" t="inlineStr">
        <is>
          <t>Alta</t>
        </is>
      </c>
      <c r="O9" s="16" t="inlineStr">
        <is>
          <t>A confirmar</t>
        </is>
      </c>
    </row>
    <row r="10" ht="15" customHeight="1">
      <c r="A10" s="16" t="inlineStr">
        <is>
          <t>INT-06</t>
        </is>
      </c>
      <c r="B10" s="16" t="inlineStr">
        <is>
          <t>Payroll</t>
        </is>
      </c>
      <c r="C10" s="16" t="inlineStr">
        <is>
          <t>Custo pessoa</t>
        </is>
      </c>
      <c r="D10" s="16" t="inlineStr">
        <is>
          <t>Entrada</t>
        </is>
      </c>
      <c r="E10" s="16" t="inlineStr">
        <is>
          <t>SFTP/DW seguro</t>
        </is>
      </c>
      <c r="F10" s="16" t="inlineStr">
        <is>
          <t>Mensal</t>
        </is>
      </c>
      <c r="G10" s="16" t="inlineStr">
        <is>
          <t>Pessoa+período</t>
        </is>
      </c>
      <c r="H10" s="16" t="inlineStr">
        <is>
          <t>Salário, encargos, benefícios</t>
        </is>
      </c>
      <c r="I10" s="16" t="inlineStr">
        <is>
          <t>Segredo gerenciado</t>
        </is>
      </c>
      <c r="J10" s="16" t="inlineStr">
        <is>
          <t>Acesso restrito+conciliação</t>
        </is>
      </c>
      <c r="K10" s="16" t="inlineStr">
        <is>
          <t>D+2 folha</t>
        </is>
      </c>
      <c r="L10" s="16" t="inlineStr">
        <is>
          <t>12 meses</t>
        </is>
      </c>
      <c r="M10" s="16" t="inlineStr">
        <is>
          <t>Folha</t>
        </is>
      </c>
      <c r="N10" s="16" t="inlineStr">
        <is>
          <t>Crítica</t>
        </is>
      </c>
      <c r="O10" s="16" t="inlineStr">
        <is>
          <t>A confirmar</t>
        </is>
      </c>
    </row>
    <row r="11" ht="15" customHeight="1">
      <c r="A11" s="16" t="inlineStr">
        <is>
          <t>INT-07</t>
        </is>
      </c>
      <c r="B11" s="16" t="inlineStr">
        <is>
          <t>BI/DW</t>
        </is>
      </c>
      <c r="C11" s="16" t="inlineStr">
        <is>
          <t>Outputs HUB</t>
        </is>
      </c>
      <c r="D11" s="16" t="inlineStr">
        <is>
          <t>Saída</t>
        </is>
      </c>
      <c r="E11" s="16" t="inlineStr">
        <is>
          <t>API/SQL/arquivo</t>
        </is>
      </c>
      <c r="F11" s="16" t="inlineStr">
        <is>
          <t>Diária/mensal</t>
        </is>
      </c>
      <c r="G11" s="16" t="inlineStr">
        <is>
          <t>IDs canônicos</t>
        </is>
      </c>
      <c r="H11" s="16" t="inlineStr">
        <is>
          <t>KPIs, alertas, valor gerado, lineage, atribuição</t>
        </is>
      </c>
      <c r="I11" s="16" t="inlineStr">
        <is>
          <t>Service account</t>
        </is>
      </c>
      <c r="J11" s="16" t="inlineStr">
        <is>
          <t>Contrato versionado</t>
        </is>
      </c>
      <c r="K11" s="16" t="inlineStr">
        <is>
          <t>D+1</t>
        </is>
      </c>
      <c r="L11" s="16" t="inlineStr">
        <is>
          <t>Destino</t>
        </is>
      </c>
      <c r="M11" s="16" t="inlineStr">
        <is>
          <t>Dados</t>
        </is>
      </c>
      <c r="N11" s="16" t="inlineStr">
        <is>
          <t>Alta</t>
        </is>
      </c>
      <c r="O11" s="16" t="inlineStr">
        <is>
          <t>Governado</t>
        </is>
      </c>
    </row>
    <row r="12" ht="15" customHeight="1">
      <c r="A12" s="16" t="inlineStr">
        <is>
          <t>INT-08</t>
        </is>
      </c>
      <c r="B12" s="16" t="inlineStr">
        <is>
          <t>SSO/IAM</t>
        </is>
      </c>
      <c r="C12" s="16" t="inlineStr">
        <is>
          <t>Usuários/papéis</t>
        </is>
      </c>
      <c r="D12" s="16" t="inlineStr">
        <is>
          <t>Bidirecional</t>
        </is>
      </c>
      <c r="E12" s="16" t="inlineStr">
        <is>
          <t>SAML/OIDC/SCIM</t>
        </is>
      </c>
      <c r="F12" s="16" t="inlineStr">
        <is>
          <t>Tempo real/diária</t>
        </is>
      </c>
      <c r="G12" s="16" t="inlineStr">
        <is>
          <t>E-mail/ID</t>
        </is>
      </c>
      <c r="H12" s="16" t="inlineStr">
        <is>
          <t>Usuário, papel, grupo, status</t>
        </is>
      </c>
      <c r="I12" s="16" t="inlineStr">
        <is>
          <t>SSO/MFA</t>
        </is>
      </c>
      <c r="J12" s="16" t="inlineStr">
        <is>
          <t>Revogação imediata</t>
        </is>
      </c>
      <c r="K12" s="16" t="inlineStr">
        <is>
          <t>≤15min</t>
        </is>
      </c>
      <c r="L12" s="16" t="inlineStr">
        <is>
          <t>Auditável</t>
        </is>
      </c>
      <c r="M12" s="16" t="inlineStr">
        <is>
          <t>Segurança</t>
        </is>
      </c>
      <c r="N12" s="16" t="inlineStr">
        <is>
          <t>Crítica</t>
        </is>
      </c>
      <c r="O12" s="16" t="inlineStr">
        <is>
          <t>A confirmar</t>
        </is>
      </c>
    </row>
    <row r="13" ht="15" customHeight="1">
      <c r="A13" s="16" t="inlineStr">
        <is>
          <t>INT-09</t>
        </is>
      </c>
      <c r="B13" s="16" t="inlineStr">
        <is>
          <t>SRC-04 HRIS</t>
        </is>
      </c>
      <c r="C13" s="16" t="inlineStr">
        <is>
          <t>Pessoas/hierarquia e risco agregado</t>
        </is>
      </c>
      <c r="D13" s="16" t="inlineStr">
        <is>
          <t>Entrada</t>
        </is>
      </c>
      <c r="E13" s="16" t="inlineStr">
        <is>
          <t>API/SFTP seguro</t>
        </is>
      </c>
      <c r="F13" s="16" t="inlineStr">
        <is>
          <t>Diária</t>
        </is>
      </c>
      <c r="G13" s="16" t="inlineStr">
        <is>
          <t>tenant_id+pessoa/período</t>
        </is>
      </c>
      <c r="H13" s="16" t="inlineStr">
        <is>
          <t>Cadastro, hierarquia, área, dados agregados</t>
        </is>
      </c>
      <c r="I13" s="16" t="inlineStr">
        <is>
          <t>OAuth2 + vault</t>
        </is>
      </c>
      <c r="J13" s="16" t="inlineStr">
        <is>
          <t>Envelope FLD-042→045; idempotência; retry/DLQ; reconciliação</t>
        </is>
      </c>
      <c r="K13" s="16" t="inlineStr">
        <is>
          <t>D+1</t>
        </is>
      </c>
      <c r="L13" s="16" t="inlineStr">
        <is>
          <t>24 meses</t>
        </is>
      </c>
      <c r="M13" s="16" t="inlineStr">
        <is>
          <t>RHIS</t>
        </is>
      </c>
      <c r="N13" s="16" t="inlineStr">
        <is>
          <t>Crítica</t>
        </is>
      </c>
      <c r="O13" s="16" t="inlineStr">
        <is>
          <t>Planejado</t>
        </is>
      </c>
    </row>
    <row r="14" ht="15" customHeight="1">
      <c r="A14" s="16" t="inlineStr">
        <is>
          <t>INT-10</t>
        </is>
      </c>
      <c r="B14" s="16" t="inlineStr">
        <is>
          <t>SRC-09 ATS</t>
        </is>
      </c>
      <c r="C14" s="16" t="inlineStr">
        <is>
          <t>Vagas/candidatos/etapas</t>
        </is>
      </c>
      <c r="D14" s="16" t="inlineStr">
        <is>
          <t>Entrada</t>
        </is>
      </c>
      <c r="E14" s="16" t="inlineStr">
        <is>
          <t>API/CSV</t>
        </is>
      </c>
      <c r="F14" s="16" t="inlineStr">
        <is>
          <t>Diária</t>
        </is>
      </c>
      <c r="G14" s="16" t="inlineStr">
        <is>
          <t>tenant_id+candidatura/vaga</t>
        </is>
      </c>
      <c r="H14" s="16" t="inlineStr">
        <is>
          <t>Vagas, candidatos, etapas, contratação, canonical_id</t>
        </is>
      </c>
      <c r="I14" s="16" t="inlineStr">
        <is>
          <t>OAuth2</t>
        </is>
      </c>
      <c r="J14" s="16" t="inlineStr">
        <is>
          <t>Envelope FLD-042→045; idempotência; retry/DLQ; replay/reconciliação</t>
        </is>
      </c>
      <c r="K14" s="16" t="inlineStr">
        <is>
          <t>D+1</t>
        </is>
      </c>
      <c r="L14" s="16" t="inlineStr">
        <is>
          <t>24 meses</t>
        </is>
      </c>
      <c r="M14" s="16" t="inlineStr">
        <is>
          <t>Talent Acquisition</t>
        </is>
      </c>
      <c r="N14" s="16" t="inlineStr">
        <is>
          <t>Alta</t>
        </is>
      </c>
      <c r="O14" s="16" t="inlineStr">
        <is>
          <t>Planejado</t>
        </is>
      </c>
    </row>
    <row r="15" ht="15" customHeight="1">
      <c r="A15" s="16" t="inlineStr">
        <is>
          <t>INT-11</t>
        </is>
      </c>
      <c r="B15" s="16" t="inlineStr">
        <is>
          <t>SRC-10 SPEND</t>
        </is>
      </c>
      <c r="C15" s="16" t="inlineStr">
        <is>
          <t>Fornecedores/cotações/SLA/risco</t>
        </is>
      </c>
      <c r="D15" s="16" t="inlineStr">
        <is>
          <t>Entrada</t>
        </is>
      </c>
      <c r="E15" s="16" t="inlineStr">
        <is>
          <t>API/CSV/Form</t>
        </is>
      </c>
      <c r="F15" s="16" t="inlineStr">
        <is>
          <t>Semanal/mensal</t>
        </is>
      </c>
      <c r="G15" s="16" t="inlineStr">
        <is>
          <t>tenant_id+CNPJ/proposta/período</t>
        </is>
      </c>
      <c r="H15" s="16" t="inlineStr">
        <is>
          <t>Cadastro, cotação, preço, SLA, risco, pagamento</t>
        </is>
      </c>
      <c r="I15" s="16" t="inlineStr">
        <is>
          <t>OAuth2 + vault</t>
        </is>
      </c>
      <c r="J15" s="16" t="inlineStr">
        <is>
          <t>Envelope FLD-042→045; idempotência; retry/DLQ; reconciliação</t>
        </is>
      </c>
      <c r="K15" s="16" t="inlineStr">
        <is>
          <t>D+1</t>
        </is>
      </c>
      <c r="L15" s="16" t="inlineStr">
        <is>
          <t>5 anos</t>
        </is>
      </c>
      <c r="M15" s="16" t="inlineStr">
        <is>
          <t>Compras</t>
        </is>
      </c>
      <c r="N15" s="16" t="inlineStr">
        <is>
          <t>Alta</t>
        </is>
      </c>
      <c r="O15" s="16" t="inlineStr">
        <is>
          <t>Planejado</t>
        </is>
      </c>
    </row>
    <row r="16" ht="15" customHeight="1">
      <c r="A16" s="16" t="inlineStr">
        <is>
          <t>INT-12</t>
        </is>
      </c>
      <c r="B16" s="16" t="inlineStr">
        <is>
          <t>SRC-11 ERP cliente</t>
        </is>
      </c>
      <c r="C16" s="16" t="inlineStr">
        <is>
          <t>Receita/custo/margem/fechamento</t>
        </is>
      </c>
      <c r="D16" s="16" t="inlineStr">
        <is>
          <t>Entrada</t>
        </is>
      </c>
      <c r="E16" s="16" t="inlineStr">
        <is>
          <t>API/DW seguro</t>
        </is>
      </c>
      <c r="F16" s="16" t="inlineStr">
        <is>
          <t>Mensal</t>
        </is>
      </c>
      <c r="G16" s="16" t="inlineStr">
        <is>
          <t>tenant_id+cliente/projeto/período</t>
        </is>
      </c>
      <c r="H16" s="16" t="inlineStr">
        <is>
          <t>Receita, custo, moeda, margem, fechamento, ledger</t>
        </is>
      </c>
      <c r="I16" s="16" t="inlineStr">
        <is>
          <t>OAuth2 + vault</t>
        </is>
      </c>
      <c r="J16" s="16" t="inlineStr">
        <is>
          <t>Envelope FLD-042→045; idempotência; retry/DLQ; reconciliação/rollback</t>
        </is>
      </c>
      <c r="K16" s="16" t="inlineStr">
        <is>
          <t>D+2</t>
        </is>
      </c>
      <c r="L16" s="16" t="inlineStr">
        <is>
          <t>7 anos</t>
        </is>
      </c>
      <c r="M16" s="16" t="inlineStr">
        <is>
          <t>Financeiro cliente</t>
        </is>
      </c>
      <c r="N16" s="16" t="inlineStr">
        <is>
          <t>Crítica</t>
        </is>
      </c>
      <c r="O16" s="16" t="inlineStr">
        <is>
          <t>Planejado</t>
        </is>
      </c>
    </row>
  </sheetData>
  <mergeCells count="2">
    <mergeCell ref="A1:O1"/>
    <mergeCell ref="A2:O2"/>
  </mergeCells>
  <dataValidations count="1">
    <dataValidation sqref="O5:O250" showDropDown="0" showInputMessage="0" showErrorMessage="0" allowBlank="0" type="list">
      <formula1>"A confirmar,Planejado,Em desenvolvimento,Em teste,Produção,Bloqueado"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42" customWidth="1" min="3" max="3"/>
    <col width="20" customWidth="1" min="4" max="4"/>
    <col width="40" customWidth="1" min="5" max="5"/>
    <col width="17" customWidth="1" min="6" max="6"/>
    <col width="28" customWidth="1" min="7" max="7"/>
    <col width="42" customWidth="1" min="8" max="8"/>
    <col width="48" customWidth="1" min="9" max="9"/>
    <col width="17" customWidth="1" min="10" max="10"/>
    <col width="36" customWidth="1" min="11" max="11"/>
    <col width="38" customWidth="1" min="12" max="12"/>
    <col width="18" customWidth="1" min="13" max="13"/>
  </cols>
  <sheetData>
    <row r="1" ht="32" customHeight="1">
      <c r="A1" s="2" t="inlineStr">
        <is>
          <t>09_REGRAS_ALERTAS</t>
        </is>
      </c>
    </row>
    <row r="2" ht="28" customHeight="1">
      <c r="A2" s="5" t="inlineStr">
        <is>
          <t>Limites configuráveis e validados por cliente.</t>
        </is>
      </c>
    </row>
    <row r="4" ht="36" customHeight="1">
      <c r="A4" s="8" t="inlineStr">
        <is>
          <t>ID</t>
        </is>
      </c>
      <c r="B4" s="8" t="inlineStr">
        <is>
          <t>Regra</t>
        </is>
      </c>
      <c r="C4" s="8" t="inlineStr">
        <is>
          <t>Condição</t>
        </is>
      </c>
      <c r="D4" s="8" t="inlineStr">
        <is>
          <t>Janela</t>
        </is>
      </c>
      <c r="E4" s="8" t="inlineStr">
        <is>
          <t>Condições adicionais</t>
        </is>
      </c>
      <c r="F4" s="8" t="inlineStr">
        <is>
          <t>Severidade</t>
        </is>
      </c>
      <c r="G4" s="8" t="inlineStr">
        <is>
          <t>Destinatário</t>
        </is>
      </c>
      <c r="H4" s="8" t="inlineStr">
        <is>
          <t>Saída</t>
        </is>
      </c>
      <c r="I4" s="8" t="inlineStr">
        <is>
          <t>Recomendação</t>
        </is>
      </c>
      <c r="J4" s="8" t="inlineStr">
        <is>
          <t>SLA</t>
        </is>
      </c>
      <c r="K4" s="8" t="inlineStr">
        <is>
          <t>Escalonamento/Supressão</t>
        </is>
      </c>
      <c r="L4" s="8" t="inlineStr">
        <is>
          <t>Explicação</t>
        </is>
      </c>
      <c r="M4" s="8" t="inlineStr">
        <is>
          <t>Status</t>
        </is>
      </c>
    </row>
    <row r="5" ht="15" customHeight="1">
      <c r="A5" s="16" t="inlineStr">
        <is>
          <t>ALT-01</t>
        </is>
      </c>
      <c r="B5" s="16" t="inlineStr">
        <is>
          <t>Queda persistente</t>
        </is>
      </c>
      <c r="C5" s="16" t="inlineStr">
        <is>
          <t>Atingimento &lt;75% em 2 períodos</t>
        </is>
      </c>
      <c r="D5" s="16" t="inlineStr">
        <is>
          <t>2 semanas/meses</t>
        </is>
      </c>
      <c r="E5" s="16" t="inlineStr">
        <is>
          <t>Meta qualidade≥70%; sem licença</t>
        </is>
      </c>
      <c r="F5" s="16" t="inlineStr">
        <is>
          <t>Alta</t>
        </is>
      </c>
      <c r="G5" s="16" t="inlineStr">
        <is>
          <t>Gestor+RH</t>
        </is>
      </c>
      <c r="H5" s="16" t="inlineStr">
        <is>
          <t>Metas e fatores relacionados</t>
        </is>
      </c>
      <c r="I5" s="16" t="inlineStr">
        <is>
          <t>Diagnosticar contexto, carga, prioridade, skill e suporte</t>
        </is>
      </c>
      <c r="J5" s="16" t="inlineStr">
        <is>
          <t>3 dias</t>
        </is>
      </c>
      <c r="K5" s="16" t="inlineStr">
        <is>
          <t>Escala 7 dias; suprime 7</t>
        </is>
      </c>
      <c r="L5" s="16" t="inlineStr">
        <is>
          <t>Dados, regra, período e limites</t>
        </is>
      </c>
      <c r="M5" s="16" t="inlineStr">
        <is>
          <t>Proposto — validar com Monks em F0</t>
        </is>
      </c>
    </row>
    <row r="6" ht="15" customHeight="1">
      <c r="A6" s="16" t="inlineStr">
        <is>
          <t>ALT-02</t>
        </is>
      </c>
      <c r="B6" s="16" t="inlineStr">
        <is>
          <t>Risco por ociosidade</t>
        </is>
      </c>
      <c r="C6" s="16" t="inlineStr">
        <is>
          <t>Alocação &lt;65% e capacidade &gt;40h</t>
        </is>
      </c>
      <c r="D6" s="16" t="inlineStr">
        <is>
          <t>2 semanas</t>
        </is>
      </c>
      <c r="E6" s="16" t="inlineStr">
        <is>
          <t>Pessoa elegível</t>
        </is>
      </c>
      <c r="F6" s="16" t="inlineStr">
        <is>
          <t>Alta</t>
        </is>
      </c>
      <c r="G6" s="16" t="inlineStr">
        <is>
          <t>Operações+Gestor</t>
        </is>
      </c>
      <c r="H6" s="16" t="inlineStr">
        <is>
          <t>R$ receita disponível em risco</t>
        </is>
      </c>
      <c r="I6" s="16" t="inlineStr">
        <is>
          <t>Revisar pipeline, skills e oportunidades</t>
        </is>
      </c>
      <c r="J6" s="16" t="inlineStr">
        <is>
          <t>2 dias</t>
        </is>
      </c>
      <c r="K6" s="16" t="inlineStr">
        <is>
          <t>Escala 5 dias</t>
        </is>
      </c>
      <c r="L6" s="16" t="inlineStr">
        <is>
          <t>Horas, taxa e cálculo</t>
        </is>
      </c>
      <c r="M6" s="16" t="inlineStr">
        <is>
          <t>Proposto — validar com Monks em F0</t>
        </is>
      </c>
    </row>
    <row r="7" ht="15" customHeight="1">
      <c r="A7" s="16" t="inlineStr">
        <is>
          <t>ALT-03</t>
        </is>
      </c>
      <c r="B7" s="16" t="inlineStr">
        <is>
          <t>Margem em risco</t>
        </is>
      </c>
      <c r="C7" s="16" t="inlineStr">
        <is>
          <t>Margem &lt;20% ou queda &gt;5p.p.</t>
        </is>
      </c>
      <c r="D7" s="16" t="inlineStr">
        <is>
          <t>Mês</t>
        </is>
      </c>
      <c r="E7" s="16" t="inlineStr">
        <is>
          <t>Período conciliado; receita&gt;0</t>
        </is>
      </c>
      <c r="F7" s="16" t="inlineStr">
        <is>
          <t>Crítica</t>
        </is>
      </c>
      <c r="G7" s="16" t="inlineStr">
        <is>
          <t>Financeiro+Operações</t>
        </is>
      </c>
      <c r="H7" s="16" t="inlineStr">
        <is>
          <t>Projeto e drivers</t>
        </is>
      </c>
      <c r="I7" s="16" t="inlineStr">
        <is>
          <t>Revisar escopo, mix, horas, preço e retrabalho</t>
        </is>
      </c>
      <c r="J7" s="16" t="inlineStr">
        <is>
          <t>2 dias</t>
        </is>
      </c>
      <c r="K7" s="16" t="inlineStr">
        <is>
          <t>Executivo se crítico</t>
        </is>
      </c>
      <c r="L7" s="16" t="inlineStr">
        <is>
          <t>Decomposição da variação</t>
        </is>
      </c>
      <c r="M7" s="16" t="inlineStr">
        <is>
          <t>Proposto — validar com Monks em F0</t>
        </is>
      </c>
    </row>
    <row r="8" ht="15" customHeight="1">
      <c r="A8" s="16" t="inlineStr">
        <is>
          <t>ALT-04</t>
        </is>
      </c>
      <c r="B8" s="16" t="inlineStr">
        <is>
          <t>Meta mal definida</t>
        </is>
      </c>
      <c r="C8" s="16" t="inlineStr">
        <is>
          <t>Qualidade &lt;70%</t>
        </is>
      </c>
      <c r="D8" s="16" t="inlineStr">
        <is>
          <t>Criação/revisão</t>
        </is>
      </c>
      <c r="E8" s="16" t="inlineStr">
        <is>
          <t>Meta editável</t>
        </is>
      </c>
      <c r="F8" s="16" t="inlineStr">
        <is>
          <t>Média</t>
        </is>
      </c>
      <c r="G8" s="16" t="inlineStr">
        <is>
          <t>Criador+Gestor</t>
        </is>
      </c>
      <c r="H8" s="16" t="inlineStr">
        <is>
          <t>Critérios frágeis</t>
        </is>
      </c>
      <c r="I8" s="16" t="inlineStr">
        <is>
          <t>Reescrever resultado, fórmula, fonte e ligação financeira</t>
        </is>
      </c>
      <c r="J8" s="16" t="inlineStr">
        <is>
          <t>Antes aprovar</t>
        </is>
      </c>
      <c r="K8" s="16" t="inlineStr">
        <is>
          <t>RH se ciclo iniciou</t>
        </is>
      </c>
      <c r="L8" s="16" t="inlineStr">
        <is>
          <t>Checklist por critério</t>
        </is>
      </c>
      <c r="M8" s="16" t="inlineStr">
        <is>
          <t>MVP</t>
        </is>
      </c>
    </row>
    <row r="9" ht="15" customHeight="1">
      <c r="A9" s="16" t="inlineStr">
        <is>
          <t>ALT-05</t>
        </is>
      </c>
      <c r="B9" s="16" t="inlineStr">
        <is>
          <t>Possível viés</t>
        </is>
      </c>
      <c r="C9" s="16" t="inlineStr">
        <is>
          <t>Disparidade após controles</t>
        </is>
      </c>
      <c r="D9" s="16" t="inlineStr">
        <is>
          <t>Ciclo</t>
        </is>
      </c>
      <c r="E9" s="16" t="inlineStr">
        <is>
          <t>Grupo mínimo+significância</t>
        </is>
      </c>
      <c r="F9" s="16" t="inlineStr">
        <is>
          <t>Alta</t>
        </is>
      </c>
      <c r="G9" s="16" t="inlineStr">
        <is>
          <t>RH/Comitê</t>
        </is>
      </c>
      <c r="H9" s="16" t="inlineStr">
        <is>
          <t>Sinal agregado</t>
        </is>
      </c>
      <c r="I9" s="16" t="inlineStr">
        <is>
          <t>Auditar critérios, distribuição e calibração</t>
        </is>
      </c>
      <c r="J9" s="16" t="inlineStr">
        <is>
          <t>10 dias</t>
        </is>
      </c>
      <c r="K9" s="16" t="inlineStr">
        <is>
          <t>Nunca em grupo pequeno</t>
        </is>
      </c>
      <c r="L9" s="16" t="inlineStr">
        <is>
          <t>Método, controles e incerteza</t>
        </is>
      </c>
      <c r="M9" s="16" t="inlineStr">
        <is>
          <t>MVP</t>
        </is>
      </c>
    </row>
    <row r="10" ht="15" customHeight="1">
      <c r="A10" s="16" t="inlineStr">
        <is>
          <t>ALT-06</t>
        </is>
      </c>
      <c r="B10" s="16" t="inlineStr">
        <is>
          <t>Fornecedor não acionado</t>
        </is>
      </c>
      <c r="C10" s="16" t="inlineStr">
        <is>
          <t>Oferta ≥15% menor e elegível</t>
        </is>
      </c>
      <c r="D10" s="16" t="inlineStr">
        <is>
          <t>Demanda</t>
        </is>
      </c>
      <c r="E10" s="16" t="inlineStr">
        <is>
          <t>TCO, capacidade e prazo aprovados</t>
        </is>
      </c>
      <c r="F10" s="16" t="inlineStr">
        <is>
          <t>Média</t>
        </is>
      </c>
      <c r="G10" s="16" t="inlineStr">
        <is>
          <t>Comprador</t>
        </is>
      </c>
      <c r="H10" s="16" t="inlineStr">
        <is>
          <t>Fornecedor compatível</t>
        </is>
      </c>
      <c r="I10" s="16" t="inlineStr">
        <is>
          <t>Incluir na cotação ou justificar</t>
        </is>
      </c>
      <c r="J10" s="16" t="inlineStr">
        <is>
          <t>Antes fechar</t>
        </is>
      </c>
      <c r="K10" s="16" t="inlineStr">
        <is>
          <t>Uma vez/demanda</t>
        </is>
      </c>
      <c r="L10" s="16" t="inlineStr">
        <is>
          <t>Baseline, preço, TCO</t>
        </is>
      </c>
      <c r="M10" s="16" t="inlineStr">
        <is>
          <t>Proposto — validar com Monks em F0</t>
        </is>
      </c>
    </row>
    <row r="11" ht="15" customHeight="1">
      <c r="A11" s="16" t="inlineStr">
        <is>
          <t>ALT-07</t>
        </is>
      </c>
      <c r="B11" s="16" t="inlineStr">
        <is>
          <t>Alerta sem ação</t>
        </is>
      </c>
      <c r="C11" s="16" t="inlineStr">
        <is>
          <t>Sem decisão registrada</t>
        </is>
      </c>
      <c r="D11" s="16" t="inlineStr">
        <is>
          <t>3–7 dias</t>
        </is>
      </c>
      <c r="E11" s="16" t="inlineStr">
        <is>
          <t>Responsável ativo</t>
        </is>
      </c>
      <c r="F11" s="16" t="inlineStr">
        <is>
          <t>Média</t>
        </is>
      </c>
      <c r="G11" s="16" t="inlineStr">
        <is>
          <t>Gestor HUB</t>
        </is>
      </c>
      <c r="H11" s="16" t="inlineStr">
        <is>
          <t>Pendência e valor em risco</t>
        </is>
      </c>
      <c r="I11" s="16" t="inlineStr">
        <is>
          <t>Cobrar, contextualizar e escalar</t>
        </is>
      </c>
      <c r="J11" s="16" t="inlineStr">
        <is>
          <t>1 dia</t>
        </is>
      </c>
      <c r="K11" s="16" t="inlineStr">
        <is>
          <t>Agrupar por responsável</t>
        </is>
      </c>
      <c r="L11" s="16" t="inlineStr">
        <is>
          <t>Linha do tempo</t>
        </is>
      </c>
      <c r="M11" s="16" t="inlineStr">
        <is>
          <t>Proposto — validar com Monks em F0</t>
        </is>
      </c>
    </row>
    <row r="12" ht="15" customHeight="1">
      <c r="A12" s="16" t="inlineStr">
        <is>
          <t>ALT-08</t>
        </is>
      </c>
      <c r="B12" s="16" t="inlineStr">
        <is>
          <t>Baixa adoção</t>
        </is>
      </c>
      <c r="C12" s="16" t="inlineStr">
        <is>
          <t>Ativos &lt;45%</t>
        </is>
      </c>
      <c r="D12" s="16" t="inlineStr">
        <is>
          <t>30 dias</t>
        </is>
      </c>
      <c r="E12" s="16" t="inlineStr">
        <is>
          <t>Elegíveis e SSO funcionais</t>
        </is>
      </c>
      <c r="F12" s="16" t="inlineStr">
        <is>
          <t>Média</t>
        </is>
      </c>
      <c r="G12" s="16" t="inlineStr">
        <is>
          <t>Gestor HUB+Sponsor</t>
        </is>
      </c>
      <c r="H12" s="16" t="inlineStr">
        <is>
          <t>Adoção por perfil</t>
        </is>
      </c>
      <c r="I12" s="16" t="inlineStr">
        <is>
          <t>Diagnosticar fluxo, treinamento e utilidade</t>
        </is>
      </c>
      <c r="J12" s="16" t="inlineStr">
        <is>
          <t>5 dias</t>
        </is>
      </c>
      <c r="K12" s="16" t="inlineStr">
        <is>
          <t>Mensal</t>
        </is>
      </c>
      <c r="L12" s="16" t="inlineStr">
        <is>
          <t>Segmentação e benchmark</t>
        </is>
      </c>
      <c r="M12" s="16" t="inlineStr">
        <is>
          <t>Proposto — validar com Monks em F0</t>
        </is>
      </c>
    </row>
  </sheetData>
  <mergeCells count="2">
    <mergeCell ref="A2:M2"/>
    <mergeCell ref="A1:M1"/>
  </mergeCells>
  <dataValidations count="2">
    <dataValidation sqref="F5:F250" showDropDown="0" showInputMessage="0" showErrorMessage="0" allowBlank="0" type="list">
      <formula1>"Baixa,Média,Alta,Crítica"</formula1>
    </dataValidation>
    <dataValidation sqref="M5:M250" showDropDown="0" showInputMessage="0" showErrorMessage="0" allowBlank="0" type="list">
      <formula1>"Rascunho,Piloto,MVP,MVP+1,Ativo,Pausado"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39" customWidth="1" min="4" max="4"/>
    <col width="50" customWidth="1" min="5" max="5"/>
    <col width="32" customWidth="1" min="6" max="6"/>
    <col width="40" customWidth="1" min="7" max="7"/>
    <col width="34" customWidth="1" min="8" max="8"/>
    <col width="38" customWidth="1" min="9" max="9"/>
    <col width="16" customWidth="1" min="10" max="10"/>
    <col width="16" customWidth="1" min="11" max="11"/>
    <col width="50" customWidth="1" min="12" max="12"/>
  </cols>
  <sheetData>
    <row r="1" ht="32" customHeight="1">
      <c r="A1" s="2" t="inlineStr">
        <is>
          <t>10_TELAS_OUTPUTS</t>
        </is>
      </c>
    </row>
    <row r="2" ht="28" customHeight="1">
      <c r="A2" s="5" t="inlineStr">
        <is>
          <t>Telas, relatórios e APIs esperados.</t>
        </is>
      </c>
    </row>
    <row r="4" ht="36" customHeight="1">
      <c r="A4" s="8" t="inlineStr">
        <is>
          <t>ID</t>
        </is>
      </c>
      <c r="B4" s="8" t="inlineStr">
        <is>
          <t>Tela/Output</t>
        </is>
      </c>
      <c r="C4" s="8" t="inlineStr">
        <is>
          <t>Perfil</t>
        </is>
      </c>
      <c r="D4" s="8" t="inlineStr">
        <is>
          <t>Objetivo</t>
        </is>
      </c>
      <c r="E4" s="8" t="inlineStr">
        <is>
          <t>Componentes</t>
        </is>
      </c>
      <c r="F4" s="8" t="inlineStr">
        <is>
          <t>Filtros</t>
        </is>
      </c>
      <c r="G4" s="8" t="inlineStr">
        <is>
          <t>Ações</t>
        </is>
      </c>
      <c r="H4" s="8" t="inlineStr">
        <is>
          <t>Dados/KPIs</t>
        </is>
      </c>
      <c r="I4" s="8" t="inlineStr">
        <is>
          <t>Erro/Vazio</t>
        </is>
      </c>
      <c r="J4" s="8" t="inlineStr">
        <is>
          <t>Fase</t>
        </is>
      </c>
      <c r="K4" s="8" t="inlineStr">
        <is>
          <t>Prioridade</t>
        </is>
      </c>
      <c r="L4" s="8" t="inlineStr">
        <is>
          <t>Aceite</t>
        </is>
      </c>
    </row>
    <row r="5" ht="15" customHeight="1">
      <c r="A5" s="16" t="inlineStr">
        <is>
          <t>SCR-01</t>
        </is>
      </c>
      <c r="B5" s="16" t="inlineStr">
        <is>
          <t>Cockpit executivo</t>
        </is>
      </c>
      <c r="C5" s="16" t="inlineStr">
        <is>
          <t>Executivo/Sponsor</t>
        </is>
      </c>
      <c r="D5" s="16" t="inlineStr">
        <is>
          <t>Ver negócio e decisões prioritárias.</t>
        </is>
      </c>
      <c r="E5" s="16" t="inlineStr">
        <is>
          <t>Receita, margem, pessoas, clientes, cenários, ROI</t>
        </is>
      </c>
      <c r="F5" s="16" t="inlineStr">
        <is>
          <t>Período; empresa; área; cliente</t>
        </is>
      </c>
      <c r="G5" s="16" t="inlineStr">
        <is>
          <t>Abrir driver; simular; aprovar</t>
        </is>
      </c>
      <c r="H5" s="16" t="inlineStr">
        <is>
          <t>FIN-01; ALO-01; PEO-01; HUB-04</t>
        </is>
      </c>
      <c r="I5" s="16" t="inlineStr">
        <is>
          <t>Última atualização e indisponibilidade</t>
        </is>
      </c>
      <c r="J5" s="16" t="inlineStr">
        <is>
          <t>MVP</t>
        </is>
      </c>
      <c r="K5" s="16" t="inlineStr">
        <is>
          <t>Crítica</t>
        </is>
      </c>
      <c r="L5" s="16" t="inlineStr">
        <is>
          <t>KPIs reconciliados; drill-down autorizado</t>
        </is>
      </c>
    </row>
    <row r="6" ht="15" customHeight="1">
      <c r="A6" s="16" t="inlineStr">
        <is>
          <t>SCR-02</t>
        </is>
      </c>
      <c r="B6" s="16" t="inlineStr">
        <is>
          <t>Painel do gestor</t>
        </is>
      </c>
      <c r="C6" s="16" t="inlineStr">
        <is>
          <t>Gestor</t>
        </is>
      </c>
      <c r="D6" s="16" t="inlineStr">
        <is>
          <t>Acompanhar equipe e agir continuamente.</t>
        </is>
      </c>
      <c r="E6" s="16" t="inlineStr">
        <is>
          <t>Metas, capacidade, performance, alertas, ações</t>
        </is>
      </c>
      <c r="F6" s="16" t="inlineStr">
        <is>
          <t>Período; projeto; pessoa</t>
        </is>
      </c>
      <c r="G6" s="16" t="inlineStr">
        <is>
          <t>Decidir; criar ação; revisar meta</t>
        </is>
      </c>
      <c r="H6" s="16" t="inlineStr">
        <is>
          <t>PERF-01/02; ALO-01/02</t>
        </is>
      </c>
      <c r="I6" s="16" t="inlineStr">
        <is>
          <t>Não inferir causa; pedir contexto</t>
        </is>
      </c>
      <c r="J6" s="16" t="inlineStr">
        <is>
          <t>MVP</t>
        </is>
      </c>
      <c r="K6" s="16" t="inlineStr">
        <is>
          <t>Crítica</t>
        </is>
      </c>
      <c r="L6" s="16" t="inlineStr">
        <is>
          <t>Ação auditável; somente hierarquia</t>
        </is>
      </c>
    </row>
    <row r="7" ht="15" customHeight="1">
      <c r="A7" s="16" t="inlineStr">
        <is>
          <t>SCR-03</t>
        </is>
      </c>
      <c r="B7" s="16" t="inlineStr">
        <is>
          <t>Minha jornada</t>
        </is>
      </c>
      <c r="C7" s="16" t="inlineStr">
        <is>
          <t>Colaborador</t>
        </is>
      </c>
      <c r="D7" s="16" t="inlineStr">
        <is>
          <t>Entender progresso e desenvolvimento.</t>
        </is>
      </c>
      <c r="E7" s="16" t="inlineStr">
        <is>
          <t>Metas, check-ins, feedbacks, skills e plano</t>
        </is>
      </c>
      <c r="F7" s="16" t="inlineStr">
        <is>
          <t>Ciclo; projeto</t>
        </is>
      </c>
      <c r="G7" s="16" t="inlineStr">
        <is>
          <t>Atualizar; responder; contestar</t>
        </is>
      </c>
      <c r="H7" s="16" t="inlineStr">
        <is>
          <t>Performance; skills; plano</t>
        </is>
      </c>
      <c r="I7" s="16" t="inlineStr">
        <is>
          <t>Explicar ausência de dado</t>
        </is>
      </c>
      <c r="J7" s="16" t="inlineStr">
        <is>
          <t>MVP</t>
        </is>
      </c>
      <c r="K7" s="16" t="inlineStr">
        <is>
          <t>Alta</t>
        </is>
      </c>
      <c r="L7" s="16" t="inlineStr">
        <is>
          <t>Origem visível e contestável</t>
        </is>
      </c>
    </row>
    <row r="8" ht="15" customHeight="1">
      <c r="A8" s="16" t="inlineStr">
        <is>
          <t>SCR-04</t>
        </is>
      </c>
      <c r="B8" s="16" t="inlineStr">
        <is>
          <t>Governança KPI</t>
        </is>
      </c>
      <c r="C8" s="16" t="inlineStr">
        <is>
          <t>RH/Financeiro/Admin</t>
        </is>
      </c>
      <c r="D8" s="16" t="inlineStr">
        <is>
          <t>Criar e versionar indicadores.</t>
        </is>
      </c>
      <c r="E8" s="16" t="inlineStr">
        <is>
          <t>Definição, fórmula, owner, meta, alertas e versões</t>
        </is>
      </c>
      <c r="F8" s="16" t="inlineStr">
        <is>
          <t>Domínio; status; owner</t>
        </is>
      </c>
      <c r="G8" s="16" t="inlineStr">
        <is>
          <t>Propor; aprovar; versionar</t>
        </is>
      </c>
      <c r="H8" s="16" t="inlineStr">
        <is>
          <t>Catálogo KPI</t>
        </is>
      </c>
      <c r="I8" s="16" t="inlineStr">
        <is>
          <t>Bloquear campos obrigatórios vazios</t>
        </is>
      </c>
      <c r="J8" s="16" t="inlineStr">
        <is>
          <t>MVP</t>
        </is>
      </c>
      <c r="K8" s="16" t="inlineStr">
        <is>
          <t>Crítica</t>
        </is>
      </c>
      <c r="L8" s="16" t="inlineStr">
        <is>
          <t>Histórico e dupla aprovação financeira</t>
        </is>
      </c>
    </row>
    <row r="9" ht="15" customHeight="1">
      <c r="A9" s="16" t="inlineStr">
        <is>
          <t>SCR-05</t>
        </is>
      </c>
      <c r="B9" s="16" t="inlineStr">
        <is>
          <t>Central alertas/decisões</t>
        </is>
      </c>
      <c r="C9" s="16" t="inlineStr">
        <is>
          <t>Gestor HUB</t>
        </is>
      </c>
      <c r="D9" s="16" t="inlineStr">
        <is>
          <t>Converter sinais em decisões.</t>
        </is>
      </c>
      <c r="E9" s="16" t="inlineStr">
        <is>
          <t>Fila, explicação, responsável, prazo, decisão e valor</t>
        </is>
      </c>
      <c r="F9" s="16" t="inlineStr">
        <is>
          <t>Status; severidade; área</t>
        </is>
      </c>
      <c r="G9" s="16" t="inlineStr">
        <is>
          <t>Assumir; decidir; escalar; encerrar</t>
        </is>
      </c>
      <c r="H9" s="16" t="inlineStr">
        <is>
          <t>HUB-02/03; valor em risco</t>
        </is>
      </c>
      <c r="I9" s="16" t="inlineStr">
        <is>
          <t>Falha preserva histórico</t>
        </is>
      </c>
      <c r="J9" s="16" t="inlineStr">
        <is>
          <t>MVP</t>
        </is>
      </c>
      <c r="K9" s="16" t="inlineStr">
        <is>
          <t>Crítica</t>
        </is>
      </c>
      <c r="L9" s="16" t="inlineStr">
        <is>
          <t>Tudo gera audit log; SLA calculado</t>
        </is>
      </c>
    </row>
    <row r="10" ht="15" customHeight="1">
      <c r="A10" s="16" t="inlineStr">
        <is>
          <t>SCR-06</t>
        </is>
      </c>
      <c r="B10" s="16" t="inlineStr">
        <is>
          <t>ROI do HUB</t>
        </is>
      </c>
      <c r="C10" s="16" t="inlineStr">
        <is>
          <t>Sponsor/Financeiro</t>
        </is>
      </c>
      <c r="D10" s="16" t="inlineStr">
        <is>
          <t>Provar valor e qualidade do uso.</t>
        </is>
      </c>
      <c r="E10" s="16" t="inlineStr">
        <is>
          <t>Custos, benefícios, decisões, adoção e payback</t>
        </is>
      </c>
      <c r="F10" s="16" t="inlineStr">
        <is>
          <t>Período; área; decisão</t>
        </is>
      </c>
      <c r="G10" s="16" t="inlineStr">
        <is>
          <t>Validar; anexar; ajustar premissa</t>
        </is>
      </c>
      <c r="H10" s="16" t="inlineStr">
        <is>
          <t>HUB-01/02/03/04</t>
        </is>
      </c>
      <c r="I10" s="16" t="inlineStr">
        <is>
          <t>Separar estimado/valor gerado validado</t>
        </is>
      </c>
      <c r="J10" s="16" t="inlineStr">
        <is>
          <t>MVP</t>
        </is>
      </c>
      <c r="K10" s="16" t="inlineStr">
        <is>
          <t>Crítica</t>
        </is>
      </c>
      <c r="L10" s="16" t="inlineStr">
        <is>
          <t>Financeiro valida valor gerado</t>
        </is>
      </c>
    </row>
    <row r="11" ht="15" customHeight="1">
      <c r="A11" s="16" t="inlineStr">
        <is>
          <t>SCR-07</t>
        </is>
      </c>
      <c r="B11" s="16" t="inlineStr">
        <is>
          <t>Diagnóstico de dados</t>
        </is>
      </c>
      <c r="C11" s="16" t="inlineStr">
        <is>
          <t>Dados/Admin</t>
        </is>
      </c>
      <c r="D11" s="16" t="inlineStr">
        <is>
          <t>Monitorar integração e confiabilidade.</t>
        </is>
      </c>
      <c r="E11" s="16" t="inlineStr">
        <is>
          <t>Jobs, freshness, rejeições, lineage e qualidade</t>
        </is>
      </c>
      <c r="F11" s="16" t="inlineStr">
        <is>
          <t>Fonte; domínio; data</t>
        </is>
      </c>
      <c r="G11" s="16" t="inlineStr">
        <is>
          <t>Reprocessar; baixar rejeições</t>
        </is>
      </c>
      <c r="H11" s="16" t="inlineStr">
        <is>
          <t>Qualidade/SLA</t>
        </is>
      </c>
      <c r="I11" s="16" t="inlineStr">
        <is>
          <t>Erro nunca silencioso</t>
        </is>
      </c>
      <c r="J11" s="16" t="inlineStr">
        <is>
          <t>MVP</t>
        </is>
      </c>
      <c r="K11" s="16" t="inlineStr">
        <is>
          <t>Alta</t>
        </is>
      </c>
      <c r="L11" s="16" t="inlineStr">
        <is>
          <t>Lineage por KPI</t>
        </is>
      </c>
    </row>
    <row r="12" ht="15" customHeight="1">
      <c r="A12" s="16" t="inlineStr">
        <is>
          <t>SCR-08</t>
        </is>
      </c>
      <c r="B12" s="16" t="inlineStr">
        <is>
          <t>Marketplace fornecedor</t>
        </is>
      </c>
      <c r="C12" s="16" t="inlineStr">
        <is>
          <t>Compras/Fornecedor</t>
        </is>
      </c>
      <c r="D12" s="16" t="inlineStr">
        <is>
          <t>Conectar demanda e oferta.</t>
        </is>
      </c>
      <c r="E12" s="16" t="inlineStr">
        <is>
          <t>Demanda, catálogo, matching, TCO completo, risco e justificativa</t>
        </is>
      </c>
      <c r="F12" s="16" t="inlineStr">
        <is>
          <t>Categoria; região; preço</t>
        </is>
      </c>
      <c r="G12" s="16" t="inlineStr">
        <is>
          <t>Convidar; propor; comparar</t>
        </is>
      </c>
      <c r="H12" s="16" t="inlineStr">
        <is>
          <t>SUP-01/02; TCO (preço+frete+impostos+operação+qualidade+risco+descarte); risco; savings</t>
        </is>
      </c>
      <c r="I12" s="16" t="inlineStr">
        <is>
          <t>Sem match sugere ajustes</t>
        </is>
      </c>
      <c r="J12" s="16" t="inlineStr">
        <is>
          <t>MVP+1</t>
        </is>
      </c>
      <c r="K12" s="16" t="inlineStr">
        <is>
          <t>Alta</t>
        </is>
      </c>
      <c r="L12" s="16" t="inlineStr">
        <is>
          <t>TCO completo, risco, qualidade, prazo e justificativa obrigatórios</t>
        </is>
      </c>
    </row>
    <row r="13" ht="15" customHeight="1">
      <c r="A13" s="16" t="inlineStr">
        <is>
          <t>SCR-09</t>
        </is>
      </c>
      <c r="B13" s="16" t="inlineStr">
        <is>
          <t>API de indicadores</t>
        </is>
      </c>
      <c r="C13" s="16" t="inlineStr">
        <is>
          <t>Sistemas/BI</t>
        </is>
      </c>
      <c r="D13" s="16" t="inlineStr">
        <is>
          <t>Entregar resultados governados.</t>
        </is>
      </c>
      <c r="E13" s="16" t="inlineStr">
        <is>
          <t>Endpoints, versão, metadados, paginação</t>
        </is>
      </c>
      <c r="F13" s="16" t="inlineStr">
        <is>
          <t>Organização; período; entidade</t>
        </is>
      </c>
      <c r="G13" s="16" t="inlineStr">
        <is>
          <t>Consultar/exportar</t>
        </is>
      </c>
      <c r="H13" s="16" t="inlineStr">
        <is>
          <t>KPIs aprovados</t>
        </is>
      </c>
      <c r="I13" s="16" t="inlineStr">
        <is>
          <t>Códigos, retry-after</t>
        </is>
      </c>
      <c r="J13" s="16" t="inlineStr">
        <is>
          <t>MVP</t>
        </is>
      </c>
      <c r="K13" s="16" t="inlineStr">
        <is>
          <t>Alta</t>
        </is>
      </c>
      <c r="L13" s="16" t="inlineStr">
        <is>
          <t>RBAC, versão, logs e limites</t>
        </is>
      </c>
    </row>
  </sheetData>
  <mergeCells count="2">
    <mergeCell ref="A2:L2"/>
    <mergeCell ref="A1:L1"/>
  </mergeCells>
  <dataValidations count="2">
    <dataValidation sqref="J5:J250" showDropDown="0" showInputMessage="0" showErrorMessage="0" allowBlank="0" type="list">
      <formula1>"MVP,MVP+1,Fase 2"</formula1>
    </dataValidation>
    <dataValidation sqref="K5:K250" showDropDown="0" showInputMessage="0" showErrorMessage="0" allowBlank="0" type="list">
      <formula1>"Baixa,Média,Alta,Crítica"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50" customWidth="1" min="4" max="4"/>
    <col width="27" customWidth="1" min="5" max="5"/>
    <col width="32" customWidth="1" min="6" max="6"/>
    <col width="16" customWidth="1" min="7" max="7"/>
    <col width="16" customWidth="1" min="8" max="8"/>
    <col width="20" customWidth="1" min="9" max="9"/>
  </cols>
  <sheetData>
    <row r="1" ht="32" customHeight="1">
      <c r="A1" s="2" t="inlineStr">
        <is>
          <t>11_SEGURANCA_LGPD</t>
        </is>
      </c>
    </row>
    <row r="2" ht="28" customHeight="1">
      <c r="A2" s="5" t="inlineStr">
        <is>
          <t>Controles mínimos de privacidade, ética, segurança e IA responsável.</t>
        </is>
      </c>
    </row>
    <row r="4" ht="36" customHeight="1">
      <c r="A4" s="8" t="inlineStr">
        <is>
          <t>ID</t>
        </is>
      </c>
      <c r="B4" s="8" t="inlineStr">
        <is>
          <t>Tema</t>
        </is>
      </c>
      <c r="C4" s="8" t="inlineStr">
        <is>
          <t>Requisito</t>
        </is>
      </c>
      <c r="D4" s="8" t="inlineStr">
        <is>
          <t>Aplicação</t>
        </is>
      </c>
      <c r="E4" s="8" t="inlineStr">
        <is>
          <t>Responsável</t>
        </is>
      </c>
      <c r="F4" s="8" t="inlineStr">
        <is>
          <t>Evidência</t>
        </is>
      </c>
      <c r="G4" s="8" t="inlineStr">
        <is>
          <t>Fase</t>
        </is>
      </c>
      <c r="H4" s="8" t="inlineStr">
        <is>
          <t>Prioridade</t>
        </is>
      </c>
      <c r="I4" s="8" t="inlineStr">
        <is>
          <t>Status</t>
        </is>
      </c>
    </row>
    <row r="5" ht="15" customHeight="1">
      <c r="A5" s="16" t="inlineStr">
        <is>
          <t>GOV-01</t>
        </is>
      </c>
      <c r="B5" s="16" t="inlineStr">
        <is>
          <t>Finalidade</t>
        </is>
      </c>
      <c r="C5" s="16" t="inlineStr">
        <is>
          <t>Dado com finalidade, base legal e público autorizado.</t>
        </is>
      </c>
      <c r="D5" s="16" t="inlineStr">
        <is>
          <t>Campo→finalidade→papel→retenção.</t>
        </is>
      </c>
      <c r="E5" s="16" t="inlineStr">
        <is>
          <t>DPO/Jurídico+Produto</t>
        </is>
      </c>
      <c r="F5" s="16" t="inlineStr">
        <is>
          <t>Registro tratamento/matriz</t>
        </is>
      </c>
      <c r="G5" s="16" t="inlineStr">
        <is>
          <t>MVP</t>
        </is>
      </c>
      <c r="H5" s="16" t="inlineStr">
        <is>
          <t>Crítica</t>
        </is>
      </c>
      <c r="I5" s="16" t="inlineStr">
        <is>
          <t>Pendente</t>
        </is>
      </c>
    </row>
    <row r="6" ht="15" customHeight="1">
      <c r="A6" s="16" t="inlineStr">
        <is>
          <t>GOV-02</t>
        </is>
      </c>
      <c r="B6" s="16" t="inlineStr">
        <is>
          <t>Minimização</t>
        </is>
      </c>
      <c r="C6" s="16" t="inlineStr">
        <is>
          <t>Coletar somente o necessário.</t>
        </is>
      </c>
      <c r="D6" s="16" t="inlineStr">
        <is>
          <t>Revisar campos e desligar sem uso.</t>
        </is>
      </c>
      <c r="E6" s="16" t="inlineStr">
        <is>
          <t>DPO+Dados</t>
        </is>
      </c>
      <c r="F6" s="16" t="inlineStr">
        <is>
          <t>Checklist/aprovação</t>
        </is>
      </c>
      <c r="G6" s="16" t="inlineStr">
        <is>
          <t>MVP</t>
        </is>
      </c>
      <c r="H6" s="16" t="inlineStr">
        <is>
          <t>Crítica</t>
        </is>
      </c>
      <c r="I6" s="16" t="inlineStr">
        <is>
          <t>Pendente</t>
        </is>
      </c>
    </row>
    <row r="7" ht="15" customHeight="1">
      <c r="A7" s="16" t="inlineStr">
        <is>
          <t>GOV-03</t>
        </is>
      </c>
      <c r="B7" s="16" t="inlineStr">
        <is>
          <t>RBAC/ABAC</t>
        </is>
      </c>
      <c r="C7" s="16" t="inlineStr">
        <is>
          <t>Acesso por papel, organização, hierarquia e sensibilidade.</t>
        </is>
      </c>
      <c r="D7" s="16" t="inlineStr">
        <is>
          <t>Deny by default; teste por tenant.</t>
        </is>
      </c>
      <c r="E7" s="16" t="inlineStr">
        <is>
          <t>Segurança+Engenharia</t>
        </is>
      </c>
      <c r="F7" s="16" t="inlineStr">
        <is>
          <t>Matriz/testes</t>
        </is>
      </c>
      <c r="G7" s="16" t="inlineStr">
        <is>
          <t>MVP</t>
        </is>
      </c>
      <c r="H7" s="16" t="inlineStr">
        <is>
          <t>Crítica</t>
        </is>
      </c>
      <c r="I7" s="16" t="inlineStr">
        <is>
          <t>Planejado</t>
        </is>
      </c>
    </row>
    <row r="8" ht="15" customHeight="1">
      <c r="A8" s="16" t="inlineStr">
        <is>
          <t>GOV-04</t>
        </is>
      </c>
      <c r="B8" s="16" t="inlineStr">
        <is>
          <t>Sensíveis</t>
        </is>
      </c>
      <c r="C8" s="16" t="inlineStr">
        <is>
          <t>N24 bloqueador: consent_id+purpose+legal_basis por titular; revogação propaga &lt;=5min para derivados.</t>
        </is>
      </c>
      <c r="D8" s="16" t="inlineStr">
        <is>
          <t>Sem consent válido, leitura de FLD-005/006/007/028 bloqueada; CMP log auditável.</t>
        </is>
      </c>
      <c r="E8" s="16" t="inlineStr">
        <is>
          <t>DPO+RH</t>
        </is>
      </c>
      <c r="F8" s="16" t="inlineStr">
        <is>
          <t>Logs/testes de propagação</t>
        </is>
      </c>
      <c r="G8" s="16" t="inlineStr">
        <is>
          <t>MVP</t>
        </is>
      </c>
      <c r="H8" s="16" t="inlineStr">
        <is>
          <t>Crítica</t>
        </is>
      </c>
      <c r="I8" s="16" t="inlineStr">
        <is>
          <t>Planejado</t>
        </is>
      </c>
    </row>
    <row r="9" ht="15" customHeight="1">
      <c r="A9" s="16" t="inlineStr">
        <is>
          <t>GOV-05</t>
        </is>
      </c>
      <c r="B9" s="16" t="inlineStr">
        <is>
          <t>Decisão humana</t>
        </is>
      </c>
      <c r="C9" s="16" t="inlineStr">
        <is>
          <t>IA não decide contratação, promoção, desligamento ou punição.</t>
        </is>
      </c>
      <c r="D9" s="16" t="inlineStr">
        <is>
          <t>Recomendação explicável+revisão+contestação.</t>
        </is>
      </c>
      <c r="E9" s="16" t="inlineStr">
        <is>
          <t>Produto+Ética</t>
        </is>
      </c>
      <c r="F9" s="16" t="inlineStr">
        <is>
          <t>Registro decisão</t>
        </is>
      </c>
      <c r="G9" s="16" t="inlineStr">
        <is>
          <t>MVP</t>
        </is>
      </c>
      <c r="H9" s="16" t="inlineStr">
        <is>
          <t>Crítica</t>
        </is>
      </c>
      <c r="I9" s="16" t="inlineStr">
        <is>
          <t>Planejado</t>
        </is>
      </c>
    </row>
    <row r="10" ht="15" customHeight="1">
      <c r="A10" s="16" t="inlineStr">
        <is>
          <t>GOV-06</t>
        </is>
      </c>
      <c r="B10" s="16" t="inlineStr">
        <is>
          <t>Explicabilidade</t>
        </is>
      </c>
      <c r="C10" s="16" t="inlineStr">
        <is>
          <t>Score/alerta mostra dados, regra, período, confiança e limites.</t>
        </is>
      </c>
      <c r="D10" s="16" t="inlineStr">
        <is>
          <t>Tela “por que estou vendo?”.</t>
        </is>
      </c>
      <c r="E10" s="16" t="inlineStr">
        <is>
          <t>Produto+Dados</t>
        </is>
      </c>
      <c r="F10" s="16" t="inlineStr">
        <is>
          <t>Aceite telas</t>
        </is>
      </c>
      <c r="G10" s="16" t="inlineStr">
        <is>
          <t>MVP</t>
        </is>
      </c>
      <c r="H10" s="16" t="inlineStr">
        <is>
          <t>Alta</t>
        </is>
      </c>
      <c r="I10" s="16" t="inlineStr">
        <is>
          <t>Planejado</t>
        </is>
      </c>
    </row>
    <row r="11" ht="15" customHeight="1">
      <c r="A11" s="16" t="inlineStr">
        <is>
          <t>GOV-07</t>
        </is>
      </c>
      <c r="B11" s="16" t="inlineStr">
        <is>
          <t>Viés</t>
        </is>
      </c>
      <c r="C11" s="16" t="inlineStr">
        <is>
          <t>Modelos/KPIs testados por grupos e contexto.</t>
        </is>
      </c>
      <c r="D11" s="16" t="inlineStr">
        <is>
          <t>Erro, disparidade e drift.</t>
        </is>
      </c>
      <c r="E11" s="16" t="inlineStr">
        <is>
          <t>Dados+RH+Ética</t>
        </is>
      </c>
      <c r="F11" s="16" t="inlineStr">
        <is>
          <t>Relatório fairness</t>
        </is>
      </c>
      <c r="G11" s="16" t="inlineStr">
        <is>
          <t>MVP</t>
        </is>
      </c>
      <c r="H11" s="16" t="inlineStr">
        <is>
          <t>Crítica</t>
        </is>
      </c>
      <c r="I11" s="16" t="inlineStr">
        <is>
          <t>Planejado</t>
        </is>
      </c>
    </row>
    <row r="12" ht="15" customHeight="1">
      <c r="A12" s="16" t="inlineStr">
        <is>
          <t>GOV-08</t>
        </is>
      </c>
      <c r="B12" s="16" t="inlineStr">
        <is>
          <t>Contestação</t>
        </is>
      </c>
      <c r="C12" s="16" t="inlineStr">
        <is>
          <t>Titular pode corrigir ou contestar.</t>
        </is>
      </c>
      <c r="D12" s="16" t="inlineStr">
        <is>
          <t>Fluxo com SLA, evidência e auditoria.</t>
        </is>
      </c>
      <c r="E12" s="16" t="inlineStr">
        <is>
          <t>Operações+DPO</t>
        </is>
      </c>
      <c r="F12" s="16" t="inlineStr">
        <is>
          <t>Tickets/resolução</t>
        </is>
      </c>
      <c r="G12" s="16" t="inlineStr">
        <is>
          <t>MVP</t>
        </is>
      </c>
      <c r="H12" s="16" t="inlineStr">
        <is>
          <t>Alta</t>
        </is>
      </c>
      <c r="I12" s="16" t="inlineStr">
        <is>
          <t>Planejado</t>
        </is>
      </c>
    </row>
    <row r="13" ht="15" customHeight="1">
      <c r="A13" s="16" t="inlineStr">
        <is>
          <t>GOV-09</t>
        </is>
      </c>
      <c r="B13" s="16" t="inlineStr">
        <is>
          <t>Auditoria</t>
        </is>
      </c>
      <c r="C13" s="16" t="inlineStr">
        <is>
          <t>Leituras sensíveis, alterações e decisões registradas.</t>
        </is>
      </c>
      <c r="D13" s="16" t="inlineStr">
        <is>
          <t>Log imutável usuário-ação-objeto-tempo.</t>
        </is>
      </c>
      <c r="E13" s="16" t="inlineStr">
        <is>
          <t>Segurança</t>
        </is>
      </c>
      <c r="F13" s="16" t="inlineStr">
        <is>
          <t>Audit log</t>
        </is>
      </c>
      <c r="G13" s="16" t="inlineStr">
        <is>
          <t>MVP</t>
        </is>
      </c>
      <c r="H13" s="16" t="inlineStr">
        <is>
          <t>Crítica</t>
        </is>
      </c>
      <c r="I13" s="16" t="inlineStr">
        <is>
          <t>Planejado</t>
        </is>
      </c>
    </row>
    <row r="14" ht="15" customHeight="1">
      <c r="A14" s="16" t="inlineStr">
        <is>
          <t>GOV-10</t>
        </is>
      </c>
      <c r="B14" s="16" t="inlineStr">
        <is>
          <t>Segurança</t>
        </is>
      </c>
      <c r="C14" s="16" t="inlineStr">
        <is>
          <t>Criptografia, MFA, segredos, backup e segregação.</t>
        </is>
      </c>
      <c r="D14" s="16" t="inlineStr">
        <is>
          <t>TLS, KMS, vault, SSO e testes.</t>
        </is>
      </c>
      <c r="E14" s="16" t="inlineStr">
        <is>
          <t>Segurança/Engenharia</t>
        </is>
      </c>
      <c r="F14" s="16" t="inlineStr">
        <is>
          <t>Arquitetura/testes</t>
        </is>
      </c>
      <c r="G14" s="16" t="inlineStr">
        <is>
          <t>MVP</t>
        </is>
      </c>
      <c r="H14" s="16" t="inlineStr">
        <is>
          <t>Crítica</t>
        </is>
      </c>
      <c r="I14" s="16" t="inlineStr">
        <is>
          <t>Planejado</t>
        </is>
      </c>
    </row>
    <row r="15" ht="15" customHeight="1">
      <c r="A15" s="16" t="inlineStr">
        <is>
          <t>GOV-11</t>
        </is>
      </c>
      <c r="B15" s="16" t="inlineStr">
        <is>
          <t>Retenção</t>
        </is>
      </c>
      <c r="C15" s="16" t="inlineStr">
        <is>
          <t>Políticas por entidade e obrigação.</t>
        </is>
      </c>
      <c r="D15" s="16" t="inlineStr">
        <is>
          <t>Expurgo, legal hold e anonimização.</t>
        </is>
      </c>
      <c r="E15" s="16" t="inlineStr">
        <is>
          <t>DPO+Engenharia</t>
        </is>
      </c>
      <c r="F15" s="16" t="inlineStr">
        <is>
          <t>Relatório retenção</t>
        </is>
      </c>
      <c r="G15" s="16" t="inlineStr">
        <is>
          <t>MVP</t>
        </is>
      </c>
      <c r="H15" s="16" t="inlineStr">
        <is>
          <t>Alta</t>
        </is>
      </c>
      <c r="I15" s="16" t="inlineStr">
        <is>
          <t>Pendente</t>
        </is>
      </c>
    </row>
    <row r="16" ht="15" customHeight="1">
      <c r="A16" s="16" t="inlineStr">
        <is>
          <t>GOV-12</t>
        </is>
      </c>
      <c r="B16" s="16" t="inlineStr">
        <is>
          <t>Multi-tenant</t>
        </is>
      </c>
      <c r="C16" s="16" t="inlineStr">
        <is>
          <t>Nenhum cliente acessa dados de outro.</t>
        </is>
      </c>
      <c r="D16" s="16" t="inlineStr">
        <is>
          <t>Isolamento e teste tenant escape.</t>
        </is>
      </c>
      <c r="E16" s="16" t="inlineStr">
        <is>
          <t>Arquitetura</t>
        </is>
      </c>
      <c r="F16" s="16" t="inlineStr">
        <is>
          <t>Threat model/pentest</t>
        </is>
      </c>
      <c r="G16" s="16" t="inlineStr">
        <is>
          <t>MVP</t>
        </is>
      </c>
      <c r="H16" s="16" t="inlineStr">
        <is>
          <t>Crítica</t>
        </is>
      </c>
      <c r="I16" s="16" t="inlineStr">
        <is>
          <t>Planejado</t>
        </is>
      </c>
    </row>
  </sheetData>
  <mergeCells count="2">
    <mergeCell ref="A1:I1"/>
    <mergeCell ref="A2:I2"/>
  </mergeCells>
  <dataValidations count="3">
    <dataValidation sqref="G5:G250" showDropDown="0" showInputMessage="0" showErrorMessage="0" allowBlank="0" type="list">
      <formula1>"MVP,MVP+1,Fase 2"</formula1>
    </dataValidation>
    <dataValidation sqref="H5:H250" showDropDown="0" showInputMessage="0" showErrorMessage="0" allowBlank="0" type="list">
      <formula1>"Baixa,Média,Alta,Crítica"</formula1>
    </dataValidation>
    <dataValidation sqref="I5:I250" showDropDown="0" showInputMessage="0" showErrorMessage="0" allowBlank="0" type="list">
      <formula1>"Backlog,Planejado,Em execução,Pendente,Concluído,Bloqueado"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7" customWidth="1" min="3" max="3"/>
    <col width="23" customWidth="1" min="4" max="4"/>
    <col width="35" customWidth="1" min="5" max="5"/>
    <col width="35" customWidth="1" min="6" max="6"/>
    <col width="52" customWidth="1" min="7" max="7"/>
    <col width="32" customWidth="1" min="8" max="8"/>
    <col width="16" customWidth="1" min="9" max="9"/>
    <col width="18" customWidth="1" min="10" max="10"/>
    <col width="16" customWidth="1" min="11" max="11"/>
    <col width="14" customWidth="1" min="12" max="12"/>
    <col width="24" customWidth="1" min="13" max="13"/>
    <col width="16" customWidth="1" min="14" max="14"/>
    <col width="20" customWidth="1" min="15" max="15"/>
    <col width="38" customWidth="1" min="16" max="16"/>
  </cols>
  <sheetData>
    <row r="1" ht="32" customHeight="1">
      <c r="A1" s="2" t="inlineStr">
        <is>
          <t>12_BACKLOG</t>
        </is>
      </c>
    </row>
    <row r="2" ht="28" customHeight="1">
      <c r="A2" s="5" t="inlineStr">
        <is>
          <t>Backlog inicial para refinamento com desenvolvimento.</t>
        </is>
      </c>
    </row>
    <row r="4" ht="36" customHeight="1">
      <c r="A4" s="8" t="inlineStr">
        <is>
          <t>ID</t>
        </is>
      </c>
      <c r="B4" s="8" t="inlineStr">
        <is>
          <t>Épico</t>
        </is>
      </c>
      <c r="C4" s="8" t="inlineStr">
        <is>
          <t>Requisito</t>
        </is>
      </c>
      <c r="D4" s="8" t="inlineStr">
        <is>
          <t>Como</t>
        </is>
      </c>
      <c r="E4" s="8" t="inlineStr">
        <is>
          <t>Quero</t>
        </is>
      </c>
      <c r="F4" s="8" t="inlineStr">
        <is>
          <t>Para</t>
        </is>
      </c>
      <c r="G4" s="8" t="inlineStr">
        <is>
          <t>Aceite resumido</t>
        </is>
      </c>
      <c r="H4" s="8" t="inlineStr">
        <is>
          <t>Dependências</t>
        </is>
      </c>
      <c r="I4" s="8" t="inlineStr">
        <is>
          <t>Fase</t>
        </is>
      </c>
      <c r="J4" s="8" t="inlineStr">
        <is>
          <t>Roadmap Espec. (cap.18)</t>
        </is>
      </c>
      <c r="K4" s="8" t="inlineStr">
        <is>
          <t>Prioridade</t>
        </is>
      </c>
      <c r="L4" s="8" t="inlineStr">
        <is>
          <t>Esforço</t>
        </is>
      </c>
      <c r="M4" s="8" t="inlineStr">
        <is>
          <t>Responsável</t>
        </is>
      </c>
      <c r="N4" s="8" t="inlineStr">
        <is>
          <t>Sprint</t>
        </is>
      </c>
      <c r="O4" s="8" t="inlineStr">
        <is>
          <t>Status</t>
        </is>
      </c>
      <c r="P4" s="8" t="inlineStr">
        <is>
          <t>Observações</t>
        </is>
      </c>
    </row>
    <row r="5" ht="15" customHeight="1">
      <c r="A5" s="16" t="inlineStr">
        <is>
          <t>BL-001</t>
        </is>
      </c>
      <c r="B5" s="16" t="inlineStr">
        <is>
          <t>Fundação</t>
        </is>
      </c>
      <c r="C5" s="16" t="inlineStr">
        <is>
          <t>Multiempresa/organizações</t>
        </is>
      </c>
      <c r="D5" s="16" t="inlineStr">
        <is>
          <t>Admin</t>
        </is>
      </c>
      <c r="E5" s="16" t="inlineStr">
        <is>
          <t>criar empresas e parâmetros</t>
        </is>
      </c>
      <c r="F5" s="16" t="inlineStr">
        <is>
          <t>isolar dados/configurações</t>
        </is>
      </c>
      <c r="G5" s="16" t="inlineStr">
        <is>
          <t>Tenant único e isolamento testado</t>
        </is>
      </c>
      <c r="H5" s="16" t="inlineStr">
        <is>
          <t>IAM/Banco</t>
        </is>
      </c>
      <c r="I5" s="16" t="inlineStr">
        <is>
          <t>MVP</t>
        </is>
      </c>
      <c r="J5" s="16" t="inlineStr">
        <is>
          <t>F0</t>
        </is>
      </c>
      <c r="K5" s="16" t="inlineStr">
        <is>
          <t>Crítica</t>
        </is>
      </c>
      <c r="L5" s="16" t="inlineStr">
        <is>
          <t>L</t>
        </is>
      </c>
      <c r="M5" s="16" t="inlineStr">
        <is>
          <t>Backend/Arquitetura</t>
        </is>
      </c>
      <c r="N5" s="16" t="n"/>
      <c r="O5" s="16" t="inlineStr">
        <is>
          <t>Não iniciado</t>
        </is>
      </c>
    </row>
    <row r="6" ht="15" customHeight="1">
      <c r="A6" s="16" t="inlineStr">
        <is>
          <t>BL-002</t>
        </is>
      </c>
      <c r="B6" s="16" t="inlineStr">
        <is>
          <t>Integrações</t>
        </is>
      </c>
      <c r="C6" s="16" t="inlineStr">
        <is>
          <t>Importar Workday</t>
        </is>
      </c>
      <c r="D6" s="16" t="inlineStr">
        <is>
          <t>RHIS</t>
        </is>
      </c>
      <c r="E6" s="16" t="inlineStr">
        <is>
          <t>sincronizar pessoas/hierarquia</t>
        </is>
      </c>
      <c r="F6" s="16" t="inlineStr">
        <is>
          <t>manter base canônica</t>
        </is>
      </c>
      <c r="G6" s="16" t="inlineStr">
        <is>
          <t>Carga idempotente, rejeições e histórico; FLD-024 consent_id + FLD-025 purpose + FLD-040 tenant_id + FLD-041 valid_from/to presentes/validados; N24 bloqueia sem consent; envelope FLD-042→045</t>
        </is>
      </c>
      <c r="H6" s="16" t="inlineStr">
        <is>
          <t>BL-001</t>
        </is>
      </c>
      <c r="I6" s="16" t="inlineStr">
        <is>
          <t>MVP</t>
        </is>
      </c>
      <c r="J6" s="16" t="inlineStr">
        <is>
          <t>F0</t>
        </is>
      </c>
      <c r="K6" s="16" t="inlineStr">
        <is>
          <t>Crítica</t>
        </is>
      </c>
      <c r="L6" s="16" t="inlineStr">
        <is>
          <t>L</t>
        </is>
      </c>
      <c r="M6" s="16" t="inlineStr">
        <is>
          <t>Dados/Backend</t>
        </is>
      </c>
      <c r="N6" s="16" t="n"/>
      <c r="O6" s="16" t="inlineStr">
        <is>
          <t>Não iniciado</t>
        </is>
      </c>
      <c r="P6" t="inlineStr">
        <is>
          <t>Pessoa: FLD-027→033 (nome, email, telefone, localização, idioma, disponibilidade) + FLD-034/035/037 (nível, área, admissão)</t>
        </is>
      </c>
    </row>
    <row r="7" ht="15" customHeight="1">
      <c r="A7" s="16" t="inlineStr">
        <is>
          <t>BL-003</t>
        </is>
      </c>
      <c r="B7" s="16" t="inlineStr">
        <is>
          <t>Integrações</t>
        </is>
      </c>
      <c r="C7" s="16" t="inlineStr">
        <is>
          <t>Importar performance</t>
        </is>
      </c>
      <c r="D7" s="16" t="inlineStr">
        <is>
          <t>RH</t>
        </is>
      </c>
      <c r="E7" s="16" t="inlineStr">
        <is>
          <t>integrar metas/avaliações</t>
        </is>
      </c>
      <c r="F7" s="16" t="inlineStr">
        <is>
          <t>ligar performance ao negócio</t>
        </is>
      </c>
      <c r="G7" s="16" t="inlineStr">
        <is>
          <t>Metas, pesos, ciclos e notas conciliados; FLD-024 consent_id + FLD-025 purpose + FLD-040 tenant_id + FLD-041 valid_from/to presentes/validados; N24 bloqueia sem consent; envelope FLD-042→045</t>
        </is>
      </c>
      <c r="H7" s="16" t="inlineStr">
        <is>
          <t>BL-002</t>
        </is>
      </c>
      <c r="I7" s="16" t="inlineStr">
        <is>
          <t>MVP</t>
        </is>
      </c>
      <c r="J7" s="16" t="inlineStr">
        <is>
          <t>MVP1</t>
        </is>
      </c>
      <c r="K7" s="16" t="inlineStr">
        <is>
          <t>Crítica</t>
        </is>
      </c>
      <c r="L7" s="16" t="inlineStr">
        <is>
          <t>L</t>
        </is>
      </c>
      <c r="M7" s="16" t="inlineStr">
        <is>
          <t>Dados/Backend</t>
        </is>
      </c>
      <c r="N7" s="16" t="n"/>
      <c r="O7" s="16" t="inlineStr">
        <is>
          <t>Não iniciado</t>
        </is>
      </c>
      <c r="P7" t="inlineStr">
        <is>
          <t>Performance vinculada a canonical_id e tenant_id</t>
        </is>
      </c>
    </row>
    <row r="8" ht="15" customHeight="1">
      <c r="A8" s="16" t="inlineStr">
        <is>
          <t>BL-004</t>
        </is>
      </c>
      <c r="B8" s="16" t="inlineStr">
        <is>
          <t>Integrações</t>
        </is>
      </c>
      <c r="C8" s="16" t="inlineStr">
        <is>
          <t>Importar alocação</t>
        </is>
      </c>
      <c r="D8" s="16" t="inlineStr">
        <is>
          <t>Operações</t>
        </is>
      </c>
      <c r="E8" s="16" t="inlineStr">
        <is>
          <t>integrar PSA/timesheet</t>
        </is>
      </c>
      <c r="F8" s="16" t="inlineStr">
        <is>
          <t>medir capacidade faturável</t>
        </is>
      </c>
      <c r="G8" s="16" t="inlineStr">
        <is>
          <t>Horas conciliadas; rejeições visíveis; FLD-024 consent_id + FLD-025 purpose + FLD-040 tenant_id + FLD-041 valid_from/to presentes/validados; N24 bloqueia sem consent; envelope FLD-042→045</t>
        </is>
      </c>
      <c r="H8" s="16" t="inlineStr">
        <is>
          <t>BL-002</t>
        </is>
      </c>
      <c r="I8" s="16" t="inlineStr">
        <is>
          <t>MVP</t>
        </is>
      </c>
      <c r="J8" s="16" t="inlineStr">
        <is>
          <t>MVP1</t>
        </is>
      </c>
      <c r="K8" s="16" t="inlineStr">
        <is>
          <t>Crítica</t>
        </is>
      </c>
      <c r="L8" s="16" t="inlineStr">
        <is>
          <t>L</t>
        </is>
      </c>
      <c r="M8" s="16" t="inlineStr">
        <is>
          <t>Dados/Backend</t>
        </is>
      </c>
      <c r="N8" s="16" t="n"/>
      <c r="O8" s="16" t="inlineStr">
        <is>
          <t>Não iniciado</t>
        </is>
      </c>
      <c r="P8" t="inlineStr">
        <is>
          <t>Vínculo: FLD-040 tenant_id + temporalidade valid_from/to obrigatórios</t>
        </is>
      </c>
    </row>
    <row r="9" ht="15" customHeight="1">
      <c r="A9" s="16" t="inlineStr">
        <is>
          <t>BL-005</t>
        </is>
      </c>
      <c r="B9" s="16" t="inlineStr">
        <is>
          <t>Integrações</t>
        </is>
      </c>
      <c r="C9" s="16" t="inlineStr">
        <is>
          <t>Importar financeiro/CRM</t>
        </is>
      </c>
      <c r="D9" s="16" t="inlineStr">
        <is>
          <t>Financeiro</t>
        </is>
      </c>
      <c r="E9" s="16" t="inlineStr">
        <is>
          <t>integrar ERP/CRM</t>
        </is>
      </c>
      <c r="F9" s="16" t="inlineStr">
        <is>
          <t>calcular receita/custo/margem</t>
        </is>
      </c>
      <c r="G9" s="16" t="inlineStr">
        <is>
          <t>Fechamento, moeda e período versionados; FLD-024 consent_id + FLD-025 purpose + FLD-040 tenant_id + FLD-041 valid_from/to presentes/validados; N24 bloqueia sem consent; envelope FLD-042→045; estados Potencial→Influenciado→Validado→Realizado e ledger</t>
        </is>
      </c>
      <c r="H9" s="16" t="inlineStr">
        <is>
          <t>BL-001</t>
        </is>
      </c>
      <c r="I9" s="16" t="inlineStr">
        <is>
          <t>MVP</t>
        </is>
      </c>
      <c r="J9" s="16" t="inlineStr">
        <is>
          <t>MVP1</t>
        </is>
      </c>
      <c r="K9" s="16" t="inlineStr">
        <is>
          <t>Crítica</t>
        </is>
      </c>
      <c r="L9" s="16" t="inlineStr">
        <is>
          <t>XL</t>
        </is>
      </c>
      <c r="M9" s="16" t="inlineStr">
        <is>
          <t>Dados/Backend</t>
        </is>
      </c>
      <c r="N9" s="16" t="n"/>
      <c r="O9" s="16" t="inlineStr">
        <is>
          <t>Não iniciado</t>
        </is>
      </c>
      <c r="P9" t="inlineStr">
        <is>
          <t>Financeiro/Valor: deduplicação beneficiário×alavanca×período×intervenção; sem dupla contagem</t>
        </is>
      </c>
    </row>
    <row r="10" ht="15" customHeight="1">
      <c r="A10" s="16" t="inlineStr">
        <is>
          <t>BL-006</t>
        </is>
      </c>
      <c r="B10" s="16" t="inlineStr">
        <is>
          <t>KPI Engine</t>
        </is>
      </c>
      <c r="C10" s="16" t="inlineStr">
        <is>
          <t>Catálogo/versionamento</t>
        </is>
      </c>
      <c r="D10" s="16" t="inlineStr">
        <is>
          <t>Admin KPI</t>
        </is>
      </c>
      <c r="E10" s="16" t="inlineStr">
        <is>
          <t>criar/aprovar KPIs</t>
        </is>
      </c>
      <c r="F10" s="16" t="inlineStr">
        <is>
          <t>evitar ambiguidade</t>
        </is>
      </c>
      <c r="G10" s="16" t="inlineStr">
        <is>
          <t>Campos, aprovação, versão e lineage</t>
        </is>
      </c>
      <c r="H10" s="16" t="inlineStr">
        <is>
          <t>BL-001</t>
        </is>
      </c>
      <c r="I10" s="16" t="inlineStr">
        <is>
          <t>MVP</t>
        </is>
      </c>
      <c r="J10" s="16" t="inlineStr">
        <is>
          <t>F0</t>
        </is>
      </c>
      <c r="K10" s="16" t="inlineStr">
        <is>
          <t>Crítica</t>
        </is>
      </c>
      <c r="L10" s="16" t="inlineStr">
        <is>
          <t>L</t>
        </is>
      </c>
      <c r="M10" s="16" t="inlineStr">
        <is>
          <t>Backend/Produto</t>
        </is>
      </c>
      <c r="N10" s="16" t="n"/>
      <c r="O10" s="16" t="inlineStr">
        <is>
          <t>Não iniciado</t>
        </is>
      </c>
    </row>
    <row r="11" ht="15" customHeight="1">
      <c r="A11" s="16" t="inlineStr">
        <is>
          <t>BL-007</t>
        </is>
      </c>
      <c r="B11" s="16" t="inlineStr">
        <is>
          <t>KPI Engine</t>
        </is>
      </c>
      <c r="C11" s="16" t="inlineStr">
        <is>
          <t>Calcular alocação/margem</t>
        </is>
      </c>
      <c r="D11" s="16" t="inlineStr">
        <is>
          <t>Gestor</t>
        </is>
      </c>
      <c r="E11" s="16" t="inlineStr">
        <is>
          <t>ver KPIs piloto</t>
        </is>
      </c>
      <c r="F11" s="16" t="inlineStr">
        <is>
          <t>agir sobre valor</t>
        </is>
      </c>
      <c r="G11" s="16" t="inlineStr">
        <is>
          <t>Cálculos reconciliados, filtros e fonte</t>
        </is>
      </c>
      <c r="H11" s="16" t="inlineStr">
        <is>
          <t>BL-004/005/006</t>
        </is>
      </c>
      <c r="I11" s="16" t="inlineStr">
        <is>
          <t>MVP</t>
        </is>
      </c>
      <c r="J11" s="16" t="inlineStr">
        <is>
          <t>MVP1</t>
        </is>
      </c>
      <c r="K11" s="16" t="inlineStr">
        <is>
          <t>Crítica</t>
        </is>
      </c>
      <c r="L11" s="16" t="inlineStr">
        <is>
          <t>L</t>
        </is>
      </c>
      <c r="M11" s="16" t="inlineStr">
        <is>
          <t>Dados</t>
        </is>
      </c>
      <c r="N11" s="16" t="n"/>
      <c r="O11" s="16" t="inlineStr">
        <is>
          <t>Não iniciado</t>
        </is>
      </c>
    </row>
    <row r="12" ht="15" customHeight="1">
      <c r="A12" s="16" t="inlineStr">
        <is>
          <t>BL-008</t>
        </is>
      </c>
      <c r="B12" s="16" t="inlineStr">
        <is>
          <t>Performance</t>
        </is>
      </c>
      <c r="C12" s="16" t="inlineStr">
        <is>
          <t>Qualidade de metas</t>
        </is>
      </c>
      <c r="D12" s="16" t="inlineStr">
        <is>
          <t>Gestor</t>
        </is>
      </c>
      <c r="E12" s="16" t="inlineStr">
        <is>
          <t>definir metas melhores</t>
        </is>
      </c>
      <c r="F12" s="16" t="inlineStr">
        <is>
          <t>reduzir viés e esforço sem valor</t>
        </is>
      </c>
      <c r="G12" s="16" t="inlineStr">
        <is>
          <t>Checklist, score e ligação financeira</t>
        </is>
      </c>
      <c r="H12" s="16" t="inlineStr">
        <is>
          <t>BL-006</t>
        </is>
      </c>
      <c r="I12" s="16" t="inlineStr">
        <is>
          <t>MVP</t>
        </is>
      </c>
      <c r="J12" s="16" t="inlineStr">
        <is>
          <t>MVP1</t>
        </is>
      </c>
      <c r="K12" s="16" t="inlineStr">
        <is>
          <t>Alta</t>
        </is>
      </c>
      <c r="L12" s="16" t="inlineStr">
        <is>
          <t>M</t>
        </is>
      </c>
      <c r="M12" s="16" t="inlineStr">
        <is>
          <t>Produto/Backend</t>
        </is>
      </c>
      <c r="N12" s="16" t="n"/>
      <c r="O12" s="16" t="inlineStr">
        <is>
          <t>Não iniciado</t>
        </is>
      </c>
    </row>
    <row r="13" ht="15" customHeight="1">
      <c r="A13" s="16" t="inlineStr">
        <is>
          <t>BL-009</t>
        </is>
      </c>
      <c r="B13" s="16" t="inlineStr">
        <is>
          <t>Performance</t>
        </is>
      </c>
      <c r="C13" s="16" t="inlineStr">
        <is>
          <t>Check-in contínuo</t>
        </is>
      </c>
      <c r="D13" s="16" t="inlineStr">
        <is>
          <t>Pessoa/Gestor</t>
        </is>
      </c>
      <c r="E13" s="16" t="inlineStr">
        <is>
          <t>registrar avanço</t>
        </is>
      </c>
      <c r="F13" s="16" t="inlineStr">
        <is>
          <t>detectar mudanças cedo</t>
        </is>
      </c>
      <c r="G13" s="16" t="inlineStr">
        <is>
          <t>Cadência, lembrete, histórico e comentário</t>
        </is>
      </c>
      <c r="H13" s="16" t="inlineStr">
        <is>
          <t>BL-003</t>
        </is>
      </c>
      <c r="I13" s="16" t="inlineStr">
        <is>
          <t>MVP</t>
        </is>
      </c>
      <c r="J13" s="16" t="inlineStr">
        <is>
          <t>MVP1</t>
        </is>
      </c>
      <c r="K13" s="16" t="inlineStr">
        <is>
          <t>Alta</t>
        </is>
      </c>
      <c r="L13" s="16" t="inlineStr">
        <is>
          <t>M</t>
        </is>
      </c>
      <c r="M13" s="16" t="inlineStr">
        <is>
          <t>Frontend/Backend</t>
        </is>
      </c>
      <c r="N13" s="16" t="n"/>
      <c r="O13" s="16" t="inlineStr">
        <is>
          <t>Não iniciado</t>
        </is>
      </c>
    </row>
    <row r="14" ht="15" customHeight="1">
      <c r="A14" s="16" t="inlineStr">
        <is>
          <t>BL-010</t>
        </is>
      </c>
      <c r="B14" s="16" t="inlineStr">
        <is>
          <t>Alertas</t>
        </is>
      </c>
      <c r="C14" s="16" t="inlineStr">
        <is>
          <t>Motor de regras</t>
        </is>
      </c>
      <c r="D14" s="16" t="inlineStr">
        <is>
          <t>Gestor HUB</t>
        </is>
      </c>
      <c r="E14" s="16" t="inlineStr">
        <is>
          <t>configurar sinais</t>
        </is>
      </c>
      <c r="F14" s="16" t="inlineStr">
        <is>
          <t>gerar alertas acionáveis</t>
        </is>
      </c>
      <c r="G14" s="16" t="inlineStr">
        <is>
          <t>Versão, supressão, severidade, explicação</t>
        </is>
      </c>
      <c r="H14" s="16" t="inlineStr">
        <is>
          <t>BL-006/007</t>
        </is>
      </c>
      <c r="I14" s="16" t="inlineStr">
        <is>
          <t>MVP</t>
        </is>
      </c>
      <c r="J14" s="16" t="inlineStr">
        <is>
          <t>MVP1</t>
        </is>
      </c>
      <c r="K14" s="16" t="inlineStr">
        <is>
          <t>Crítica</t>
        </is>
      </c>
      <c r="L14" s="16" t="inlineStr">
        <is>
          <t>L</t>
        </is>
      </c>
      <c r="M14" s="16" t="inlineStr">
        <is>
          <t>Backend</t>
        </is>
      </c>
      <c r="N14" s="16" t="n"/>
      <c r="O14" s="16" t="inlineStr">
        <is>
          <t>Não iniciado</t>
        </is>
      </c>
    </row>
    <row r="15" ht="15" customHeight="1">
      <c r="A15" s="16" t="inlineStr">
        <is>
          <t>BL-011</t>
        </is>
      </c>
      <c r="B15" s="16" t="inlineStr">
        <is>
          <t>Decisões</t>
        </is>
      </c>
      <c r="C15" s="16" t="inlineStr">
        <is>
          <t>Decisão e ação</t>
        </is>
      </c>
      <c r="D15" s="16" t="inlineStr">
        <is>
          <t>Gestor</t>
        </is>
      </c>
      <c r="E15" s="16" t="inlineStr">
        <is>
          <t>decidir sobre alerta</t>
        </is>
      </c>
      <c r="F15" s="16" t="inlineStr">
        <is>
          <t>acompanhar resultado</t>
        </is>
      </c>
      <c r="G15" s="16" t="inlineStr">
        <is>
          <t>Motivo, ação, prazo e evidência auditados</t>
        </is>
      </c>
      <c r="H15" s="16" t="inlineStr">
        <is>
          <t>BL-010</t>
        </is>
      </c>
      <c r="I15" s="16" t="inlineStr">
        <is>
          <t>MVP</t>
        </is>
      </c>
      <c r="J15" s="16" t="inlineStr">
        <is>
          <t>MVP1</t>
        </is>
      </c>
      <c r="K15" s="16" t="inlineStr">
        <is>
          <t>Crítica</t>
        </is>
      </c>
      <c r="L15" s="16" t="inlineStr">
        <is>
          <t>M</t>
        </is>
      </c>
      <c r="M15" s="16" t="inlineStr">
        <is>
          <t>Frontend/Backend</t>
        </is>
      </c>
      <c r="N15" s="16" t="n"/>
      <c r="O15" s="16" t="inlineStr">
        <is>
          <t>Não iniciado</t>
        </is>
      </c>
    </row>
    <row r="16" ht="15" customHeight="1">
      <c r="A16" s="16" t="inlineStr">
        <is>
          <t>BL-012</t>
        </is>
      </c>
      <c r="B16" s="16" t="inlineStr">
        <is>
          <t>Cockpit</t>
        </is>
      </c>
      <c r="C16" s="16" t="inlineStr">
        <is>
          <t>Painel gestor</t>
        </is>
      </c>
      <c r="D16" s="16" t="inlineStr">
        <is>
          <t>Gestor</t>
        </is>
      </c>
      <c r="E16" s="16" t="inlineStr">
        <is>
          <t>ver time, negócio e alertas</t>
        </is>
      </c>
      <c r="F16" s="16" t="inlineStr">
        <is>
          <t>agir rápido</t>
        </is>
      </c>
      <c r="G16" s="16" t="inlineStr">
        <is>
          <t>RBAC, filtros, drivers e estados de erro</t>
        </is>
      </c>
      <c r="H16" s="16" t="inlineStr">
        <is>
          <t>BL-007/010/011</t>
        </is>
      </c>
      <c r="I16" s="16" t="inlineStr">
        <is>
          <t>MVP</t>
        </is>
      </c>
      <c r="J16" s="16" t="inlineStr">
        <is>
          <t>MVP1</t>
        </is>
      </c>
      <c r="K16" s="16" t="inlineStr">
        <is>
          <t>Crítica</t>
        </is>
      </c>
      <c r="L16" s="16" t="inlineStr">
        <is>
          <t>L</t>
        </is>
      </c>
      <c r="M16" s="16" t="inlineStr">
        <is>
          <t>Frontend</t>
        </is>
      </c>
      <c r="N16" s="16" t="n"/>
      <c r="O16" s="16" t="inlineStr">
        <is>
          <t>Não iniciado</t>
        </is>
      </c>
    </row>
    <row r="17" ht="15" customHeight="1">
      <c r="A17" s="16" t="inlineStr">
        <is>
          <t>BL-013</t>
        </is>
      </c>
      <c r="B17" s="16" t="inlineStr">
        <is>
          <t>Cockpit</t>
        </is>
      </c>
      <c r="C17" s="16" t="inlineStr">
        <is>
          <t>Painel executivo</t>
        </is>
      </c>
      <c r="D17" s="16" t="inlineStr">
        <is>
          <t>Executivo</t>
        </is>
      </c>
      <c r="E17" s="16" t="inlineStr">
        <is>
          <t>ver riscos, cenários e impacto</t>
        </is>
      </c>
      <c r="F17" s="16" t="inlineStr">
        <is>
          <t>priorizar</t>
        </is>
      </c>
      <c r="G17" s="16" t="inlineStr">
        <is>
          <t>Agregado, drill-down e exportação auditada</t>
        </is>
      </c>
      <c r="H17" s="16" t="inlineStr">
        <is>
          <t>BL-007/010</t>
        </is>
      </c>
      <c r="I17" s="16" t="inlineStr">
        <is>
          <t>MVP</t>
        </is>
      </c>
      <c r="J17" s="16" t="inlineStr">
        <is>
          <t>MVP1</t>
        </is>
      </c>
      <c r="K17" s="16" t="inlineStr">
        <is>
          <t>Alta</t>
        </is>
      </c>
      <c r="L17" s="16" t="inlineStr">
        <is>
          <t>L</t>
        </is>
      </c>
      <c r="M17" s="16" t="inlineStr">
        <is>
          <t>Frontend</t>
        </is>
      </c>
      <c r="N17" s="16" t="n"/>
      <c r="O17" s="16" t="inlineStr">
        <is>
          <t>Não iniciado</t>
        </is>
      </c>
    </row>
    <row r="18" ht="15" customHeight="1">
      <c r="A18" s="16" t="inlineStr">
        <is>
          <t>BL-014</t>
        </is>
      </c>
      <c r="B18" s="16" t="inlineStr">
        <is>
          <t>HUB Impact</t>
        </is>
      </c>
      <c r="C18" s="16" t="inlineStr">
        <is>
          <t>Telemetria</t>
        </is>
      </c>
      <c r="D18" s="16" t="inlineStr">
        <is>
          <t>Gestor HUB</t>
        </is>
      </c>
      <c r="E18" s="16" t="inlineStr">
        <is>
          <t>medir adoção/jornada</t>
        </is>
      </c>
      <c r="F18" s="16" t="inlineStr">
        <is>
          <t>melhorar valor</t>
        </is>
      </c>
      <c r="G18" s="16" t="inlineStr">
        <is>
          <t>Eventos documentados e ≥99,5% qualidade</t>
        </is>
      </c>
      <c r="H18" s="16" t="inlineStr">
        <is>
          <t>BL-001</t>
        </is>
      </c>
      <c r="I18" s="16" t="inlineStr">
        <is>
          <t>MVP</t>
        </is>
      </c>
      <c r="J18" s="16" t="inlineStr">
        <is>
          <t>MVP1</t>
        </is>
      </c>
      <c r="K18" s="16" t="inlineStr">
        <is>
          <t>Crítica</t>
        </is>
      </c>
      <c r="L18" s="16" t="inlineStr">
        <is>
          <t>M</t>
        </is>
      </c>
      <c r="M18" s="16" t="inlineStr">
        <is>
          <t>Produto/Dados</t>
        </is>
      </c>
      <c r="N18" s="16" t="n"/>
      <c r="O18" s="16" t="inlineStr">
        <is>
          <t>Não iniciado</t>
        </is>
      </c>
    </row>
    <row r="19" ht="15" customHeight="1">
      <c r="A19" s="16" t="inlineStr">
        <is>
          <t>BL-015</t>
        </is>
      </c>
      <c r="B19" s="16" t="inlineStr">
        <is>
          <t>HUB Impact</t>
        </is>
      </c>
      <c r="C19" s="16" t="inlineStr">
        <is>
          <t>ROI plataforma</t>
        </is>
      </c>
      <c r="D19" s="16" t="inlineStr">
        <is>
          <t>Financeiro</t>
        </is>
      </c>
      <c r="E19" s="16" t="inlineStr">
        <is>
          <t>comparar custos/benefícios</t>
        </is>
      </c>
      <c r="F19" s="16" t="inlineStr">
        <is>
          <t>provar valor</t>
        </is>
      </c>
      <c r="G19" s="16" t="inlineStr">
        <is>
          <t>Estimado≠valor gerado validado; evidência e validação</t>
        </is>
      </c>
      <c r="H19" s="16" t="inlineStr">
        <is>
          <t>BL-005/011/014</t>
        </is>
      </c>
      <c r="I19" s="16" t="inlineStr">
        <is>
          <t>MVP</t>
        </is>
      </c>
      <c r="J19" s="16" t="inlineStr">
        <is>
          <t>MVP1</t>
        </is>
      </c>
      <c r="K19" s="16" t="inlineStr">
        <is>
          <t>Crítica</t>
        </is>
      </c>
      <c r="L19" s="16" t="inlineStr">
        <is>
          <t>L</t>
        </is>
      </c>
      <c r="M19" s="16" t="inlineStr">
        <is>
          <t>Dados/Frontend</t>
        </is>
      </c>
      <c r="N19" s="16" t="n"/>
      <c r="O19" s="16" t="inlineStr">
        <is>
          <t>Não iniciado</t>
        </is>
      </c>
    </row>
    <row r="20" ht="15" customHeight="1">
      <c r="A20" s="16" t="inlineStr">
        <is>
          <t>BL-016</t>
        </is>
      </c>
      <c r="B20" s="16" t="inlineStr">
        <is>
          <t>Governança</t>
        </is>
      </c>
      <c r="C20" s="16" t="inlineStr">
        <is>
          <t>RBAC/sensíveis</t>
        </is>
      </c>
      <c r="D20" s="16" t="inlineStr">
        <is>
          <t>Segurança</t>
        </is>
      </c>
      <c r="E20" s="16" t="inlineStr">
        <is>
          <t>aplicar política</t>
        </is>
      </c>
      <c r="F20" s="16" t="inlineStr">
        <is>
          <t>proteger titulares/clientes</t>
        </is>
      </c>
      <c r="G20" s="16" t="inlineStr">
        <is>
          <t>Deny default, isolamento e logs</t>
        </is>
      </c>
      <c r="H20" s="16" t="inlineStr">
        <is>
          <t>BL-001</t>
        </is>
      </c>
      <c r="I20" s="16" t="inlineStr">
        <is>
          <t>MVP</t>
        </is>
      </c>
      <c r="J20" s="16" t="inlineStr">
        <is>
          <t>MVP1</t>
        </is>
      </c>
      <c r="K20" s="16" t="inlineStr">
        <is>
          <t>Crítica</t>
        </is>
      </c>
      <c r="L20" s="16" t="inlineStr">
        <is>
          <t>XL</t>
        </is>
      </c>
      <c r="M20" s="16" t="inlineStr">
        <is>
          <t>Segurança/Backend</t>
        </is>
      </c>
      <c r="N20" s="16" t="n"/>
      <c r="O20" s="16" t="inlineStr">
        <is>
          <t>Não iniciado</t>
        </is>
      </c>
    </row>
    <row r="21" ht="15" customHeight="1">
      <c r="A21" s="16" t="inlineStr">
        <is>
          <t>BL-017</t>
        </is>
      </c>
      <c r="B21" s="16" t="inlineStr">
        <is>
          <t>Governança</t>
        </is>
      </c>
      <c r="C21" s="16" t="inlineStr">
        <is>
          <t>Contestação</t>
        </is>
      </c>
      <c r="D21" s="16" t="inlineStr">
        <is>
          <t>Titular</t>
        </is>
      </c>
      <c r="E21" s="16" t="inlineStr">
        <is>
          <t>contestar dado/recomendação</t>
        </is>
      </c>
      <c r="F21" s="16" t="inlineStr">
        <is>
          <t>corrigir e confiar</t>
        </is>
      </c>
      <c r="G21" s="16" t="inlineStr">
        <is>
          <t>SLA, resposta e alteração auditada</t>
        </is>
      </c>
      <c r="H21" s="16" t="inlineStr">
        <is>
          <t>BL-011/016</t>
        </is>
      </c>
      <c r="I21" s="16" t="inlineStr">
        <is>
          <t>MVP</t>
        </is>
      </c>
      <c r="J21" s="16" t="inlineStr">
        <is>
          <t>MVP1</t>
        </is>
      </c>
      <c r="K21" s="16" t="inlineStr">
        <is>
          <t>Alta</t>
        </is>
      </c>
      <c r="L21" s="16" t="inlineStr">
        <is>
          <t>M</t>
        </is>
      </c>
      <c r="M21" s="16" t="inlineStr">
        <is>
          <t>Produto/Backend</t>
        </is>
      </c>
      <c r="N21" s="16" t="n"/>
      <c r="O21" s="16" t="inlineStr">
        <is>
          <t>Não iniciado</t>
        </is>
      </c>
    </row>
    <row r="22" ht="15" customHeight="1">
      <c r="A22" s="16" t="inlineStr">
        <is>
          <t>BL-018</t>
        </is>
      </c>
      <c r="B22" s="16" t="inlineStr">
        <is>
          <t>Compras</t>
        </is>
      </c>
      <c r="C22" s="16" t="inlineStr">
        <is>
          <t>Matching fornecedor</t>
        </is>
      </c>
      <c r="D22" s="16" t="inlineStr">
        <is>
          <t>Comprador</t>
        </is>
      </c>
      <c r="E22" s="16" t="inlineStr">
        <is>
          <t>encontrar oferta</t>
        </is>
      </c>
      <c r="F22" s="16" t="inlineStr">
        <is>
          <t>reduzir custo com qualidade</t>
        </is>
      </c>
      <c r="G22" s="16" t="inlineStr">
        <is>
          <t>Matching, TCO, risco e justificativa</t>
        </is>
      </c>
      <c r="H22" s="16" t="inlineStr">
        <is>
          <t>Cadastro/demanda</t>
        </is>
      </c>
      <c r="I22" s="16" t="inlineStr">
        <is>
          <t>MVP+1</t>
        </is>
      </c>
      <c r="J22" s="16" t="inlineStr">
        <is>
          <t>MVP3</t>
        </is>
      </c>
      <c r="K22" s="16" t="inlineStr">
        <is>
          <t>Alta</t>
        </is>
      </c>
      <c r="L22" s="16" t="inlineStr">
        <is>
          <t>L</t>
        </is>
      </c>
      <c r="M22" s="16" t="inlineStr">
        <is>
          <t>Produto/Dados</t>
        </is>
      </c>
      <c r="N22" s="16" t="n"/>
      <c r="O22" s="16" t="inlineStr">
        <is>
          <t>Não iniciado</t>
        </is>
      </c>
      <c r="P22" t="inlineStr">
        <is>
          <t>Aline: ≥15% mais barato</t>
        </is>
      </c>
    </row>
    <row r="23" ht="15" customHeight="1">
      <c r="A23" s="16" t="inlineStr">
        <is>
          <t>BL-019</t>
        </is>
      </c>
      <c r="B23" s="16" t="inlineStr">
        <is>
          <t>Talentos</t>
        </is>
      </c>
      <c r="C23" s="16" t="inlineStr">
        <is>
          <t>Matching candidato</t>
        </is>
      </c>
      <c r="D23" s="16" t="inlineStr">
        <is>
          <t>RH/Candidato</t>
        </is>
      </c>
      <c r="E23" s="16" t="inlineStr">
        <is>
          <t>conectar vaga/pessoa</t>
        </is>
      </c>
      <c r="F23" s="16" t="inlineStr">
        <is>
          <t>reduzir oportunidade perdida</t>
        </is>
      </c>
      <c r="G23" s="16" t="inlineStr">
        <is>
          <t>Critérios, explicação, consentimento, viés</t>
        </is>
      </c>
      <c r="H23" s="16" t="inlineStr">
        <is>
          <t>ATS/skills</t>
        </is>
      </c>
      <c r="I23" s="16" t="inlineStr">
        <is>
          <t>MVP+1</t>
        </is>
      </c>
      <c r="J23" s="16" t="inlineStr">
        <is>
          <t>MVP2</t>
        </is>
      </c>
      <c r="K23" s="16" t="inlineStr">
        <is>
          <t>Alta</t>
        </is>
      </c>
      <c r="L23" s="16" t="inlineStr">
        <is>
          <t>L</t>
        </is>
      </c>
      <c r="M23" s="16" t="inlineStr">
        <is>
          <t>Produto/Dados</t>
        </is>
      </c>
      <c r="N23" s="16" t="n"/>
      <c r="O23" s="16" t="inlineStr">
        <is>
          <t>Não iniciado</t>
        </is>
      </c>
      <c r="P23" t="inlineStr">
        <is>
          <t>Caso Júlia</t>
        </is>
      </c>
    </row>
    <row r="24" ht="15" customHeight="1">
      <c r="A24" s="16" t="inlineStr">
        <is>
          <t>BL-020</t>
        </is>
      </c>
      <c r="B24" s="16" t="inlineStr">
        <is>
          <t>Acadêmico</t>
        </is>
      </c>
      <c r="C24" s="16" t="inlineStr">
        <is>
          <t>Skills futuras</t>
        </is>
      </c>
      <c r="D24" s="16" t="inlineStr">
        <is>
          <t>Universidade</t>
        </is>
      </c>
      <c r="E24" s="16" t="inlineStr">
        <is>
          <t>comparar formação/demanda</t>
        </is>
      </c>
      <c r="F24" s="16" t="inlineStr">
        <is>
          <t>criar oportunidades</t>
        </is>
      </c>
      <c r="G24" s="16" t="inlineStr">
        <is>
          <t>Taxonomia, evidências e agregado</t>
        </is>
      </c>
      <c r="H24" s="16" t="inlineStr">
        <is>
          <t>Parcerias/dados</t>
        </is>
      </c>
      <c r="I24" s="16" t="inlineStr">
        <is>
          <t>Fase 2</t>
        </is>
      </c>
      <c r="J24" s="16" t="inlineStr">
        <is>
          <t>MVP3</t>
        </is>
      </c>
      <c r="K24" s="16" t="inlineStr">
        <is>
          <t>Média</t>
        </is>
      </c>
      <c r="L24" s="16" t="inlineStr">
        <is>
          <t>XL</t>
        </is>
      </c>
      <c r="M24" s="16" t="inlineStr">
        <is>
          <t>Produto/Dados</t>
        </is>
      </c>
      <c r="N24" s="16" t="n"/>
      <c r="O24" s="16" t="inlineStr">
        <is>
          <t>Não iniciado</t>
        </is>
      </c>
    </row>
    <row r="25" ht="15" customHeight="1">
      <c r="A25" s="16" t="inlineStr">
        <is>
          <t>BL-021</t>
        </is>
      </c>
      <c r="B25" s="16" t="inlineStr">
        <is>
          <t>Governança</t>
        </is>
      </c>
      <c r="C25" s="16" t="inlineStr">
        <is>
          <t>HUB Trust/Equidade</t>
        </is>
      </c>
      <c r="D25" s="16" t="inlineStr">
        <is>
          <t>Dados+RH+Ética</t>
        </is>
      </c>
      <c r="E25" s="16" t="inlineStr">
        <is>
          <t>auditar viés e explicabilidade</t>
        </is>
      </c>
      <c r="F25" s="16" t="inlineStr">
        <is>
          <t>garantir decisão justa e contestável</t>
        </is>
      </c>
      <c r="G25" s="16" t="inlineStr">
        <is>
          <t>Relatório fairness por grupo + teste de equidade em MVP</t>
        </is>
      </c>
      <c r="H25" s="16" t="inlineStr">
        <is>
          <t>GOV-07/REL-03/06</t>
        </is>
      </c>
      <c r="I25" s="16" t="inlineStr">
        <is>
          <t>MVP</t>
        </is>
      </c>
      <c r="J25" s="16" t="inlineStr">
        <is>
          <t>MVP1</t>
        </is>
      </c>
      <c r="K25" s="16" t="inlineStr">
        <is>
          <t>Alta</t>
        </is>
      </c>
      <c r="L25" s="16" t="inlineStr">
        <is>
          <t>L</t>
        </is>
      </c>
      <c r="M25" s="16" t="inlineStr">
        <is>
          <t>Dados/Ética/Produto</t>
        </is>
      </c>
      <c r="N25" s="16" t="n"/>
      <c r="O25" s="16" t="inlineStr">
        <is>
          <t>Não iniciado</t>
        </is>
      </c>
      <c r="P25" t="inlineStr">
        <is>
          <t>Trust depende de GOV-07</t>
        </is>
      </c>
    </row>
    <row r="26" ht="15" customHeight="1">
      <c r="A26" s="16" t="inlineStr">
        <is>
          <t>BL-022</t>
        </is>
      </c>
      <c r="B26" s="16" t="inlineStr">
        <is>
          <t>Design/Mudança</t>
        </is>
      </c>
      <c r="C26" s="16" t="inlineStr">
        <is>
          <t>Design system e adoção</t>
        </is>
      </c>
      <c r="D26" s="16" t="inlineStr">
        <is>
          <t>Produto/Gestor HUB</t>
        </is>
      </c>
      <c r="E26" s="16" t="inlineStr">
        <is>
          <t>padronizar telas e comunicação de mudança</t>
        </is>
      </c>
      <c r="F26" s="16" t="inlineStr">
        <is>
          <t>acelerar adoção sem retrabalho</t>
        </is>
      </c>
      <c r="G26" s="16" t="inlineStr">
        <is>
          <t>Design tokens + guia de mudança validado com Monks</t>
        </is>
      </c>
      <c r="H26" s="16" t="inlineStr">
        <is>
          <t>SCR-01..09</t>
        </is>
      </c>
      <c r="I26" s="16" t="inlineStr">
        <is>
          <t>MVP</t>
        </is>
      </c>
      <c r="J26" s="16" t="inlineStr">
        <is>
          <t>MVP1</t>
        </is>
      </c>
      <c r="K26" s="16" t="inlineStr">
        <is>
          <t>Média</t>
        </is>
      </c>
      <c r="L26" s="16" t="inlineStr">
        <is>
          <t>M</t>
        </is>
      </c>
      <c r="M26" s="16" t="inlineStr">
        <is>
          <t>Produto/Design</t>
        </is>
      </c>
      <c r="N26" s="16" t="n"/>
      <c r="O26" s="16" t="inlineStr">
        <is>
          <t>Não iniciado</t>
        </is>
      </c>
      <c r="P26" t="inlineStr">
        <is>
          <t>Cap. 18.4</t>
        </is>
      </c>
    </row>
  </sheetData>
  <mergeCells count="2">
    <mergeCell ref="A1:O1"/>
    <mergeCell ref="A2:O2"/>
  </mergeCells>
  <dataValidations count="4">
    <dataValidation sqref="I5:I250" showDropDown="0" showInputMessage="0" showErrorMessage="0" allowBlank="0" type="list">
      <formula1>"MVP,MVP+1,Fase 2"</formula1>
    </dataValidation>
    <dataValidation sqref="J5:J250" showDropDown="0" showInputMessage="0" showErrorMessage="0" allowBlank="0" type="list">
      <formula1>"Baixa,Média,Alta,Crítica"</formula1>
    </dataValidation>
    <dataValidation sqref="K5:K250" showDropDown="0" showInputMessage="0" showErrorMessage="0" allowBlank="0" type="list">
      <formula1>"XS,S,M,L,XL"</formula1>
    </dataValidation>
    <dataValidation sqref="N5:N250" showDropDown="0" showInputMessage="0" showErrorMessage="0" allowBlank="0" type="list">
      <formula1>"Não iniciado,Em refinamento,Pronto,Em desenvolvimento,Em teste,Concluído,Bloqueado"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8" customWidth="1" min="3" max="3"/>
    <col width="48" customWidth="1" min="4" max="4"/>
    <col width="40" customWidth="1" min="5" max="5"/>
    <col width="16" customWidth="1" min="6" max="6"/>
    <col width="16" customWidth="1" min="7" max="7"/>
    <col width="38" customWidth="1" min="8" max="8"/>
    <col width="24" customWidth="1" min="9" max="9"/>
    <col width="24" customWidth="1" min="10" max="10"/>
    <col width="18" customWidth="1" min="11" max="11"/>
    <col width="30" customWidth="1" min="12" max="12"/>
    <col width="20" customWidth="1" min="13" max="13"/>
    <col width="42" customWidth="1" min="14" max="14"/>
  </cols>
  <sheetData>
    <row r="1" ht="32" customHeight="1">
      <c r="A1" s="2" t="inlineStr">
        <is>
          <t>13_PILOTO_MONKS</t>
        </is>
      </c>
    </row>
    <row r="2" ht="28" customHeight="1">
      <c r="A2" s="5" t="inlineStr">
        <is>
          <t>Escopo recomendado para validar valor e arquitetura.</t>
        </is>
      </c>
    </row>
    <row r="4" ht="36" customHeight="1">
      <c r="A4" s="8" t="inlineStr">
        <is>
          <t>ID</t>
        </is>
      </c>
      <c r="B4" s="8" t="inlineStr">
        <is>
          <t>Frente</t>
        </is>
      </c>
      <c r="C4" s="8" t="inlineStr">
        <is>
          <t>Hipótese/Entrega</t>
        </is>
      </c>
      <c r="D4" s="8" t="inlineStr">
        <is>
          <t>Dados</t>
        </is>
      </c>
      <c r="E4" s="8" t="inlineStr">
        <is>
          <t>Sucesso</t>
        </is>
      </c>
      <c r="F4" s="8" t="inlineStr">
        <is>
          <t>Baseline</t>
        </is>
      </c>
      <c r="G4" s="8" t="inlineStr">
        <is>
          <t>Meta</t>
        </is>
      </c>
      <c r="H4" s="8" t="inlineStr">
        <is>
          <t>Método</t>
        </is>
      </c>
      <c r="I4" s="8" t="inlineStr">
        <is>
          <t>Dono cliente</t>
        </is>
      </c>
      <c r="J4" s="8" t="inlineStr">
        <is>
          <t>Dono HUB</t>
        </is>
      </c>
      <c r="K4" s="8" t="inlineStr">
        <is>
          <t>Prazo</t>
        </is>
      </c>
      <c r="L4" s="8" t="inlineStr">
        <is>
          <t>Dependência</t>
        </is>
      </c>
      <c r="M4" s="8" t="inlineStr">
        <is>
          <t>Status</t>
        </is>
      </c>
      <c r="N4" s="8" t="inlineStr">
        <is>
          <t>Saída</t>
        </is>
      </c>
    </row>
    <row r="5" ht="15" customHeight="1">
      <c r="A5" s="16" t="inlineStr">
        <is>
          <t>PIL-01</t>
        </is>
      </c>
      <c r="B5" s="16" t="inlineStr">
        <is>
          <t>Performance×receita</t>
        </is>
      </c>
      <c r="C5" s="16" t="inlineStr">
        <is>
          <t>Ligar metas/avaliação a marcos e receita.</t>
        </is>
      </c>
      <c r="D5" s="16" t="inlineStr">
        <is>
          <t>Workday; metas; projetos; receita; cliente</t>
        </is>
      </c>
      <c r="E5" s="16" t="inlineStr">
        <is>
          <t>≥80% receita mapeada; alertas úteis</t>
        </is>
      </c>
      <c r="F5" s="16" t="n"/>
      <c r="G5" s="53" t="n">
        <v>0.8</v>
      </c>
      <c r="H5" s="16" t="inlineStr">
        <is>
          <t>Mapeamento+série temporal+Financeiro</t>
        </is>
      </c>
      <c r="I5" s="16" t="n"/>
      <c r="J5" s="16" t="inlineStr">
        <is>
          <t>Produto/Dados HUB</t>
        </is>
      </c>
      <c r="K5" s="16" t="n"/>
      <c r="L5" s="16" t="inlineStr">
        <is>
          <t>INT-01/02/03</t>
        </is>
      </c>
      <c r="M5" s="16" t="inlineStr">
        <is>
          <t>Proposto — validar em F0</t>
        </is>
      </c>
      <c r="N5" s="16" t="inlineStr">
        <is>
          <t>Escalar se rastreável e útil</t>
        </is>
      </c>
    </row>
    <row r="6" ht="15" customHeight="1">
      <c r="A6" s="16" t="inlineStr">
        <is>
          <t>PIL-02</t>
        </is>
      </c>
      <c r="B6" s="16" t="inlineStr">
        <is>
          <t>Alocação×margem</t>
        </is>
      </c>
      <c r="C6" s="16" t="inlineStr">
        <is>
          <t>Detectar ociosidade e mix de time que afetam margem.</t>
        </is>
      </c>
      <c r="D6" s="16" t="inlineStr">
        <is>
          <t>Horas; taxa; salário/custo; receita; projeto</t>
        </is>
      </c>
      <c r="E6" s="16" t="inlineStr">
        <is>
          <t>Margem ≥95% conciliada; valor identificado</t>
        </is>
      </c>
      <c r="F6" s="16" t="n"/>
      <c r="G6" s="53" t="n">
        <v>0.95</v>
      </c>
      <c r="H6" s="16" t="inlineStr">
        <is>
          <t>Conciliação+regras+ações</t>
        </is>
      </c>
      <c r="I6" s="16" t="n"/>
      <c r="J6" s="16" t="inlineStr">
        <is>
          <t>Produto/Dados HUB</t>
        </is>
      </c>
      <c r="K6" s="16" t="n"/>
      <c r="L6" s="16" t="inlineStr">
        <is>
          <t>INT-03/04/06</t>
        </is>
      </c>
      <c r="M6" s="16" t="inlineStr">
        <is>
          <t>Proposto — validar em F0</t>
        </is>
      </c>
      <c r="N6" s="16" t="inlineStr">
        <is>
          <t>Escalar se gerar valor validado</t>
        </is>
      </c>
    </row>
    <row r="7" ht="15" customHeight="1">
      <c r="A7" s="16" t="inlineStr">
        <is>
          <t>PIL-03</t>
        </is>
      </c>
      <c r="B7" s="16" t="inlineStr">
        <is>
          <t>Liderança×performance</t>
        </is>
      </c>
      <c r="C7" s="16" t="inlineStr">
        <is>
          <t>Identificar sinais ligados a entrega e retenção.</t>
        </is>
      </c>
      <c r="D7" s="16" t="inlineStr">
        <is>
          <t>Gestor; avaliação; clima; turnover; projeto</t>
        </is>
      </c>
      <c r="E7" s="16" t="inlineStr">
        <is>
          <t>≥70% sinais considerados úteis</t>
        </is>
      </c>
      <c r="F7" s="16" t="n"/>
      <c r="G7" s="53" t="n">
        <v>0.7</v>
      </c>
      <c r="H7" s="16" t="inlineStr">
        <is>
          <t>Coortes+controles+revisão humana</t>
        </is>
      </c>
      <c r="I7" s="16" t="n"/>
      <c r="J7" s="16" t="inlineStr">
        <is>
          <t>People Analytics HUB</t>
        </is>
      </c>
      <c r="K7" s="16" t="n"/>
      <c r="L7" s="16" t="inlineStr">
        <is>
          <t>Engajamento</t>
        </is>
      </c>
      <c r="M7" s="16" t="inlineStr">
        <is>
          <t>Proposto — validar em F0</t>
        </is>
      </c>
      <c r="N7" s="16" t="inlineStr">
        <is>
          <t>Parar se viés superar utilidade</t>
        </is>
      </c>
    </row>
    <row r="8" ht="15" customHeight="1">
      <c r="A8" s="16" t="inlineStr">
        <is>
          <t>PIL-04</t>
        </is>
      </c>
      <c r="B8" s="16" t="inlineStr">
        <is>
          <t>Qualidade KPI</t>
        </is>
      </c>
      <c r="C8" s="16" t="inlineStr">
        <is>
          <t>Revisar metas antes de medir pessoas.</t>
        </is>
      </c>
      <c r="D8" s="16" t="inlineStr">
        <is>
          <t>Metas; fórmulas; pesos; fontes; financeiro</t>
        </is>
      </c>
      <c r="E8" s="16" t="inlineStr">
        <is>
          <t>≥85% metas com qualidade</t>
        </is>
      </c>
      <c r="F8" s="16" t="n"/>
      <c r="G8" s="53" t="n">
        <v>0.85</v>
      </c>
      <c r="H8" s="16" t="inlineStr">
        <is>
          <t>Checklist+calibração</t>
        </is>
      </c>
      <c r="I8" s="16" t="n"/>
      <c r="J8" s="16" t="inlineStr">
        <is>
          <t>RH Performance HUB</t>
        </is>
      </c>
      <c r="K8" s="16" t="n"/>
      <c r="L8" s="16" t="inlineStr">
        <is>
          <t>Catálogo KPI</t>
        </is>
      </c>
      <c r="M8" s="16" t="inlineStr">
        <is>
          <t>Proposto — validar em F0</t>
        </is>
      </c>
      <c r="N8" s="16" t="inlineStr">
        <is>
          <t>Incorporar se reduzir ambiguidade</t>
        </is>
      </c>
    </row>
    <row r="9" ht="15" customHeight="1">
      <c r="A9" s="16" t="inlineStr">
        <is>
          <t>PIL-05</t>
        </is>
      </c>
      <c r="B9" s="16" t="inlineStr">
        <is>
          <t>HUB Impact</t>
        </is>
      </c>
      <c r="C9" s="16" t="inlineStr">
        <is>
          <t>Medir adoção, decisões, tempo e valor.</t>
        </is>
      </c>
      <c r="D9" s="16" t="inlineStr">
        <is>
          <t>Telemetria; alertas; ações; custo/benefício</t>
        </is>
      </c>
      <c r="E9" s="16" t="inlineStr">
        <is>
          <t>Adoção≥75%; ação≥65%; ROI≥100%</t>
        </is>
      </c>
      <c r="F9" s="16" t="n"/>
      <c r="G9" s="53" t="n">
        <v>1</v>
      </c>
      <c r="H9" s="16" t="inlineStr">
        <is>
          <t>Audit log+validação financeira</t>
        </is>
      </c>
      <c r="I9" s="16" t="n"/>
      <c r="J9" s="16" t="inlineStr">
        <is>
          <t>Gestor HUB</t>
        </is>
      </c>
      <c r="K9" s="16" t="n"/>
      <c r="L9" s="16" t="inlineStr">
        <is>
          <t>Telemetria/ROI</t>
        </is>
      </c>
      <c r="M9" s="16" t="inlineStr">
        <is>
          <t>Proposto — validar em F0</t>
        </is>
      </c>
      <c r="N9" s="16" t="inlineStr">
        <is>
          <t>Escalar se benefício&gt;custo</t>
        </is>
      </c>
    </row>
  </sheetData>
  <mergeCells count="2">
    <mergeCell ref="A2:N2"/>
    <mergeCell ref="A1:N1"/>
  </mergeCells>
  <dataValidations count="1">
    <dataValidation sqref="M5:M250" showDropDown="0" showInputMessage="0" showErrorMessage="0" allowBlank="0" type="list">
      <formula1>"A confirmar,Planejado,Em execução,Concluído,Bloqueado"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2" customWidth="1" min="3" max="3"/>
    <col width="18" customWidth="1" min="4" max="4"/>
    <col width="28" customWidth="1" min="5" max="5"/>
    <col width="40" customWidth="1" min="6" max="6"/>
    <col width="24" customWidth="1" min="7" max="7"/>
    <col width="22" customWidth="1" min="8" max="8"/>
    <col width="22" customWidth="1" min="9" max="9"/>
    <col width="20" customWidth="1" min="10" max="10"/>
  </cols>
  <sheetData>
    <row r="1" ht="32" customHeight="1">
      <c r="A1" s="2" t="inlineStr">
        <is>
          <t>14_ROI_HUB</t>
        </is>
      </c>
    </row>
    <row r="2" ht="28" customHeight="1">
      <c r="A2" s="5" t="inlineStr">
        <is>
          <t>Preencha valores em azul; realizado exige validação financeira.</t>
        </is>
      </c>
    </row>
    <row r="4" ht="36" customHeight="1">
      <c r="A4" s="8" t="inlineStr">
        <is>
          <t>Categoria</t>
        </is>
      </c>
      <c r="B4" s="8" t="inlineStr">
        <is>
          <t>Item</t>
        </is>
      </c>
      <c r="C4" s="8" t="inlineStr">
        <is>
          <t>Estado canônico</t>
        </is>
      </c>
      <c r="D4" s="8" t="inlineStr">
        <is>
          <t>Atribuição</t>
        </is>
      </c>
      <c r="E4" s="8" t="inlineStr">
        <is>
          <t>Premissa</t>
        </is>
      </c>
      <c r="F4" s="8" t="inlineStr">
        <is>
          <t>Estimado (R$)</t>
        </is>
      </c>
      <c r="G4" s="8" t="inlineStr">
        <is>
          <t>Valor gerado validado (R$)</t>
        </is>
      </c>
      <c r="H4" s="8" t="inlineStr">
        <is>
          <t>Evidência</t>
        </is>
      </c>
      <c r="I4" s="8" t="inlineStr">
        <is>
          <t>Responsável</t>
        </is>
      </c>
      <c r="J4" s="8" t="inlineStr">
        <is>
          <t>Validação</t>
        </is>
      </c>
    </row>
    <row r="5">
      <c r="A5" s="60" t="inlineStr">
        <is>
          <t>Custo</t>
        </is>
      </c>
      <c r="B5" s="60" t="inlineStr">
        <is>
          <t>Implantação</t>
        </is>
      </c>
      <c r="C5" s="60" t="inlineStr">
        <is>
          <t>Potencial</t>
        </is>
      </c>
      <c r="D5" s="60" t="inlineStr">
        <is>
          <t>originado</t>
        </is>
      </c>
      <c r="E5" s="60" t="inlineStr">
        <is>
          <t>Configuração, integrações e treinamento.</t>
        </is>
      </c>
      <c r="F5" s="61" t="n">
        <v>0</v>
      </c>
      <c r="G5" s="61" t="n">
        <v>0</v>
      </c>
      <c r="H5" s="60" t="inlineStr">
        <is>
          <t>Contrato/projeto</t>
        </is>
      </c>
      <c r="I5" s="60" t="n"/>
      <c r="J5" s="60" t="inlineStr">
        <is>
          <t>Pendente</t>
        </is>
      </c>
    </row>
    <row r="6">
      <c r="A6" s="60" t="inlineStr">
        <is>
          <t>Custo</t>
        </is>
      </c>
      <c r="B6" s="60" t="inlineStr">
        <is>
          <t>Licença e operação</t>
        </is>
      </c>
      <c r="C6" s="60" t="inlineStr">
        <is>
          <t>Potencial</t>
        </is>
      </c>
      <c r="D6" s="60" t="inlineStr">
        <is>
          <t>originado</t>
        </is>
      </c>
      <c r="E6" s="60" t="inlineStr">
        <is>
          <t>Licença, suporte, infraestrutura e administração.</t>
        </is>
      </c>
      <c r="F6" s="61" t="n">
        <v>0</v>
      </c>
      <c r="G6" s="61" t="n">
        <v>0</v>
      </c>
      <c r="H6" s="60" t="inlineStr">
        <is>
          <t>Financeiro</t>
        </is>
      </c>
      <c r="I6" s="60" t="n"/>
      <c r="J6" s="60" t="inlineStr">
        <is>
          <t>Pendente</t>
        </is>
      </c>
    </row>
    <row r="7">
      <c r="A7" s="60" t="inlineStr">
        <is>
          <t>Benefício</t>
        </is>
      </c>
      <c r="B7" s="60" t="inlineStr">
        <is>
          <t>Receita gerada</t>
        </is>
      </c>
      <c r="C7" s="60" t="inlineStr">
        <is>
          <t>Realizado</t>
        </is>
      </c>
      <c r="D7" s="60" t="inlineStr">
        <is>
          <t>originado</t>
        </is>
      </c>
      <c r="E7" s="60" t="inlineStr">
        <is>
          <t>Ociosidade convertida em faturamento; ledger e aprovação Financeiro.</t>
        </is>
      </c>
      <c r="F7" s="61" t="n">
        <v>0</v>
      </c>
      <c r="G7" s="61" t="n">
        <v>0</v>
      </c>
      <c r="H7" s="60" t="inlineStr">
        <is>
          <t>Timesheet+fatura</t>
        </is>
      </c>
      <c r="I7" s="60" t="n"/>
      <c r="J7" s="60" t="inlineStr">
        <is>
          <t>Pendente</t>
        </is>
      </c>
    </row>
    <row r="8">
      <c r="A8" s="60" t="inlineStr">
        <is>
          <t>Benefício</t>
        </is>
      </c>
      <c r="B8" s="60" t="inlineStr">
        <is>
          <t>Margem recuperada</t>
        </is>
      </c>
      <c r="C8" s="60" t="inlineStr">
        <is>
          <t>Validado</t>
        </is>
      </c>
      <c r="D8" s="60" t="inlineStr">
        <is>
          <t>influenciado</t>
        </is>
      </c>
      <c r="E8" s="60" t="inlineStr">
        <is>
          <t>Redução de custo, retrabalho ou desvio.</t>
        </is>
      </c>
      <c r="F8" s="61" t="n">
        <v>0</v>
      </c>
      <c r="G8" s="61" t="n">
        <v>0</v>
      </c>
      <c r="H8" s="60" t="inlineStr">
        <is>
          <t>ERP+decisão HUB</t>
        </is>
      </c>
      <c r="I8" s="60" t="n"/>
      <c r="J8" s="60" t="inlineStr">
        <is>
          <t>Pendente</t>
        </is>
      </c>
    </row>
    <row r="9">
      <c r="A9" s="60" t="inlineStr">
        <is>
          <t>Benefício</t>
        </is>
      </c>
      <c r="B9" s="60" t="inlineStr">
        <is>
          <t>Turnover evitado</t>
        </is>
      </c>
      <c r="C9" s="60" t="inlineStr">
        <is>
          <t>Influenciado</t>
        </is>
      </c>
      <c r="D9" s="60" t="inlineStr">
        <is>
          <t>acelerado</t>
        </is>
      </c>
      <c r="E9" s="60" t="inlineStr">
        <is>
          <t>Reposição, ramp-up e produtividade evitados.</t>
        </is>
      </c>
      <c r="F9" s="61" t="n">
        <v>0</v>
      </c>
      <c r="G9" s="61" t="n">
        <v>0</v>
      </c>
      <c r="H9" s="60" t="inlineStr">
        <is>
          <t>RH+Financeiro</t>
        </is>
      </c>
      <c r="I9" s="60" t="n"/>
      <c r="J9" s="60" t="inlineStr">
        <is>
          <t>Pendente</t>
        </is>
      </c>
    </row>
    <row r="10">
      <c r="A10" s="60" t="inlineStr">
        <is>
          <t>Benefício</t>
        </is>
      </c>
      <c r="B10" s="60" t="inlineStr">
        <is>
          <t>Savings fornecedor</t>
        </is>
      </c>
      <c r="C10" s="60" t="inlineStr">
        <is>
          <t>Validado</t>
        </is>
      </c>
      <c r="D10" s="60" t="inlineStr">
        <is>
          <t>originado</t>
        </is>
      </c>
      <c r="E10" s="60" t="inlineStr">
        <is>
          <t>Economia validada por baseline e TCO.</t>
        </is>
      </c>
      <c r="F10" s="61" t="n">
        <v>0</v>
      </c>
      <c r="G10" s="61" t="n">
        <v>0</v>
      </c>
      <c r="H10" s="60" t="inlineStr">
        <is>
          <t>Compras+Financeiro</t>
        </is>
      </c>
      <c r="I10" s="60" t="n"/>
      <c r="J10" s="60" t="inlineStr">
        <is>
          <t>Pendente</t>
        </is>
      </c>
    </row>
    <row r="11">
      <c r="A11" s="60" t="inlineStr">
        <is>
          <t>Benefício</t>
        </is>
      </c>
      <c r="B11" s="60" t="inlineStr">
        <is>
          <t>Horas economizadas</t>
        </is>
      </c>
      <c r="C11" s="60" t="inlineStr">
        <is>
          <t>Realizado</t>
        </is>
      </c>
      <c r="D11" s="60" t="inlineStr">
        <is>
          <t>mensurado</t>
        </is>
      </c>
      <c r="E11" s="60" t="inlineStr">
        <is>
          <t>Horas manuais×custo-hora aprovado; ledger.</t>
        </is>
      </c>
      <c r="F11" s="61" t="n">
        <v>0</v>
      </c>
      <c r="G11" s="61" t="n">
        <v>0</v>
      </c>
      <c r="H11" s="60" t="inlineStr">
        <is>
          <t>Processo+Financeiro</t>
        </is>
      </c>
      <c r="I11" s="60" t="n"/>
      <c r="J11" s="60" t="inlineStr">
        <is>
          <t>Pendente</t>
        </is>
      </c>
    </row>
    <row r="12">
      <c r="A12" s="60" t="inlineStr">
        <is>
          <t>Benefício</t>
        </is>
      </c>
      <c r="B12" s="60" t="inlineStr">
        <is>
          <t>Perda evitada</t>
        </is>
      </c>
      <c r="C12" s="60" t="inlineStr">
        <is>
          <t>Potencial</t>
        </is>
      </c>
      <c r="D12" s="60" t="inlineStr">
        <is>
          <t>influenciado</t>
        </is>
      </c>
      <c r="E12" s="60" t="inlineStr">
        <is>
          <t>Valor esperado e validado da decisão antecipada.</t>
        </is>
      </c>
      <c r="F12" s="61" t="n">
        <v>0</v>
      </c>
      <c r="G12" s="61" t="n">
        <v>0</v>
      </c>
      <c r="H12" s="60" t="inlineStr">
        <is>
          <t>Decisão+premissas</t>
        </is>
      </c>
      <c r="I12" s="60" t="n"/>
      <c r="J12" s="60" t="inlineStr">
        <is>
          <t>Pendente</t>
        </is>
      </c>
    </row>
    <row r="14" ht="18" customHeight="1">
      <c r="A14" s="62" t="inlineStr">
        <is>
          <t>RESUMO CALCULADO</t>
        </is>
      </c>
    </row>
    <row r="15" ht="15" customHeight="1">
      <c r="A15" s="63" t="inlineStr">
        <is>
          <t>Custos totais</t>
        </is>
      </c>
      <c r="E15" s="59" t="n"/>
      <c r="F15" s="64">
        <f>SUMIF($A$5:$A$12,"Custo",$F$5:$F$12)</f>
        <v/>
      </c>
      <c r="G15" s="64">
        <f>SUMIF($A$5:$A$12,"Custo",$G$5:$G$12)</f>
        <v/>
      </c>
    </row>
    <row r="16" ht="15" customHeight="1">
      <c r="A16" s="63" t="inlineStr">
        <is>
          <t>Benefícios totais</t>
        </is>
      </c>
      <c r="E16" s="59" t="n"/>
      <c r="F16" s="64">
        <f>SUMIF($A$5:$A$12,"Benefício",$F$5:$F$12)</f>
        <v/>
      </c>
      <c r="G16" s="64">
        <f>SUMIF($A$5:$A$12,"Benefício",$G$5:$G$12)</f>
        <v/>
      </c>
    </row>
    <row r="17" ht="15" customHeight="1">
      <c r="A17" s="63" t="inlineStr">
        <is>
          <t>ROI</t>
        </is>
      </c>
      <c r="E17" s="52" t="n"/>
      <c r="F17" s="65">
        <f>IF(F15=0,0,(F16-F15)/F15)</f>
        <v/>
      </c>
      <c r="G17" s="65">
        <f>IF(G15=0,0,(G16-G15)/G15)</f>
        <v/>
      </c>
    </row>
    <row r="18" ht="15" customHeight="1">
      <c r="A18" s="60" t="inlineStr">
        <is>
          <t>Observação</t>
        </is>
      </c>
      <c r="F18" s="66" t="inlineStr">
        <is>
          <t>Estimado</t>
        </is>
      </c>
      <c r="G18" s="66" t="inlineStr">
        <is>
          <t>Validar após 3–6 meses</t>
        </is>
      </c>
    </row>
  </sheetData>
  <mergeCells count="3">
    <mergeCell ref="A1:I1"/>
    <mergeCell ref="A14:C14"/>
    <mergeCell ref="A2:I2"/>
  </mergeCells>
  <dataValidations count="1">
    <dataValidation sqref="H5:H250" showDropDown="0" showInputMessage="0" showErrorMessage="0" allowBlank="0" type="list">
      <formula1>"Pendente,Em análise,Validado,Rejeitado"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2026-09-03T00:36:26Z</dcterms:created>
  <dcterms:modified xmlns:dcterms="http://purl.org/dc/terms/" xmlns:xsi="http://www.w3.org/2001/XMLSchema-instance" xsi:type="dcterms:W3CDTF">2026-09-03T01:09:27Z</dcterms:modified>
</cp:coreProperties>
</file>