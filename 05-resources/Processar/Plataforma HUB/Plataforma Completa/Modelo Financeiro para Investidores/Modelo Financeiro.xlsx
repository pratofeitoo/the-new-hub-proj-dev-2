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9b12d7995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3b16bebbf854aa1"/>
    <x:sheet xmlns:r="http://schemas.openxmlformats.org/officeDocument/2006/relationships" name="Premissas" sheetId="2" r:id="R412994c95f2247a6"/>
    <x:sheet xmlns:r="http://schemas.openxmlformats.org/officeDocument/2006/relationships" name="CAPEX_OPEX" sheetId="3" r:id="Re5f80293e9be4817"/>
    <x:sheet xmlns:r="http://schemas.openxmlformats.org/officeDocument/2006/relationships" name="Precos" sheetId="4" r:id="Re99a37e3797948ff"/>
    <x:sheet xmlns:r="http://schemas.openxmlformats.org/officeDocument/2006/relationships" name="Projecao_5_Anos" sheetId="5" r:id="R99ed96a037ad4335"/>
    <x:sheet xmlns:r="http://schemas.openxmlformats.org/officeDocument/2006/relationships" name="Unit_Economics" sheetId="6" r:id="Rd8072091a69c44d6"/>
    <x:sheet xmlns:r="http://schemas.openxmlformats.org/officeDocument/2006/relationships" name="Sensibilidade" sheetId="7" r:id="Rc250e140fcce41b1"/>
    <x:sheet xmlns:r="http://schemas.openxmlformats.org/officeDocument/2006/relationships" name="Checks" sheetId="8" r:id="Rafc3be2fbd704daa"/>
    <x:sheet xmlns:r="http://schemas.openxmlformats.org/officeDocument/2006/relationships" name="Fontes" sheetId="9" r:id="R82e511381e3e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R$ #,##0;[Red](R$ #,##0);-"/>
    <x:numFmt numFmtId="201" formatCode="0"/>
    <x:numFmt numFmtId="202" formatCode="0.0"/>
    <x:numFmt numFmtId="203" formatCode="#,##0"/>
    <x:numFmt numFmtId="204" formatCode="0.0%"/>
    <x:numFmt numFmtId="205" formatCode="0.0x"/>
    <x:numFmt numFmtId="206" formatCode="#,##0.00"/>
    <x:numFmt numFmtId="207" formatCode="0.0 &quot;meses&quot;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sz val="12"/>
      <x:color rgb="FF12223B"/>
      <x:name val="Carlito"/>
    </x:font>
    <x:font>
      <x:b/>
      <x:sz val="16"/>
      <x:color rgb="FF12223B"/>
      <x:name val="Carlito"/>
    </x:font>
    <x:font>
      <x:sz val="11"/>
      <x:color rgb="FF12223B"/>
      <x:name val="Carlito"/>
    </x:font>
    <x:font>
      <x:b/>
      <x:sz val="10"/>
      <x:color rgb="FFFFFFFF"/>
      <x:name val="Aptos"/>
    </x:font>
    <x:font>
      <x:i/>
      <x:sz val="10"/>
      <x:color rgb="FF667085"/>
      <x:name val="Aptos"/>
    </x:font>
    <x:font>
      <x:sz val="10"/>
      <x:name val="Aptos"/>
    </x:font>
    <x:font>
      <x:sz val="10"/>
      <x:color rgb="FF12223B"/>
      <x:name val="Aptos"/>
    </x:font>
    <x:font>
      <x:b/>
      <x:sz val="10"/>
      <x:color rgb="FF12223B"/>
      <x:name val="Aptos"/>
    </x:font>
    <x:font>
      <x:sz val="10"/>
      <x:color rgb="FF0000FF"/>
      <x:name val="Aptos"/>
    </x:font>
    <x:font>
      <x:b/>
      <x:sz val="10"/>
      <x:name val="Aptos"/>
    </x:font>
    <x:font>
      <x:b/>
      <x:sz val="18"/>
      <x:color rgb="FFFFFFFF"/>
      <x:name val="Aptos Display"/>
    </x:font>
  </x:fonts>
  <x:fills count="10">
    <x:fill>
      <x:patternFill patternType="none"/>
    </x:fill>
    <x:fill>
      <x:patternFill patternType="gray125"/>
    </x:fill>
    <x:fill>
      <x:patternFill patternType="solid">
        <x:fgColor rgb="FF12223B"/>
      </x:patternFill>
    </x:fill>
    <x:fill>
      <x:patternFill patternType="solid">
        <x:fgColor rgb="FFF6F2E9"/>
      </x:patternFill>
    </x:fill>
    <x:fill>
      <x:patternFill patternType="solid">
        <x:fgColor rgb="FF773FC3"/>
      </x:patternFill>
    </x:fill>
    <x:fill>
      <x:patternFill patternType="solid">
        <x:fgColor rgb="FFFFF2CC"/>
      </x:patternFill>
    </x:fill>
    <x:fill>
      <x:patternFill patternType="solid">
        <x:fgColor rgb="FFEAF7F5"/>
      </x:patternFill>
    </x:fill>
    <x:fill>
      <x:patternFill patternType="solid">
        <x:fgColor rgb="FF00BFAF"/>
      </x:patternFill>
    </x:fill>
    <x:fill>
      <x:patternFill patternType="solid">
        <x:fgColor rgb="FFFFFFFF"/>
      </x:patternFill>
    </x:fill>
    <x:fill>
      <x:patternFill patternType="solid">
        <x:fgColor rgb="FFFF5468"/>
      </x:patternFill>
    </x:fill>
  </x:fills>
  <x:borders count="28">
    <x:border/>
    <x:border>
      <x:left style="thin">
        <x:color rgb="FF773FC3"/>
      </x:left>
      <x:top style="thin">
        <x:color rgb="FF773FC3"/>
      </x:top>
      <x:bottom style="thin">
        <x:color rgb="FF773FC3"/>
      </x:bottom>
    </x:border>
    <x:border>
      <x:top style="thin">
        <x:color rgb="FF773FC3"/>
      </x:top>
      <x:bottom style="thin">
        <x:color rgb="FF773FC3"/>
      </x:bottom>
    </x:border>
    <x:border>
      <x:right style="thin">
        <x:color rgb="FF773FC3"/>
      </x:right>
      <x:top style="thin">
        <x:color rgb="FF773FC3"/>
      </x:top>
      <x:bottom style="thin">
        <x:color rgb="FF773FC3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bottom style="double">
        <x:color rgb="FF00BFAF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00BFAF"/>
      </x:left>
      <x:top style="thin">
        <x:color rgb="FF00BFAF"/>
      </x:top>
    </x:border>
    <x:border>
      <x:right style="thin">
        <x:color rgb="FF00BFAF"/>
      </x:right>
      <x:top style="thin">
        <x:color rgb="FF00BFAF"/>
      </x:top>
    </x:border>
    <x:border>
      <x:left style="thin">
        <x:color rgb="FF00BFAF"/>
      </x:left>
      <x:bottom style="thin">
        <x:color rgb="FF00BFAF"/>
      </x:bottom>
    </x:border>
    <x:border>
      <x:right style="thin">
        <x:color rgb="FF00BFAF"/>
      </x:right>
      <x:bottom style="thin">
        <x:color rgb="FF00BFAF"/>
      </x:bottom>
    </x:border>
    <x:border>
      <x:left style="thin">
        <x:color rgb="FF773FC3"/>
      </x:left>
      <x:top style="thin">
        <x:color rgb="FF773FC3"/>
      </x:top>
    </x:border>
    <x:border>
      <x:right style="thin">
        <x:color rgb="FF773FC3"/>
      </x:right>
      <x:top style="thin">
        <x:color rgb="FF773FC3"/>
      </x:top>
    </x:border>
    <x:border>
      <x:left style="thin">
        <x:color rgb="FF773FC3"/>
      </x:left>
      <x:bottom style="thin">
        <x:color rgb="FF773FC3"/>
      </x:bottom>
    </x:border>
    <x:border>
      <x:right style="thin">
        <x:color rgb="FF773FC3"/>
      </x:right>
      <x:bottom style="thin">
        <x:color rgb="FF773FC3"/>
      </x:bottom>
    </x:border>
    <x:border>
      <x:left style="thin">
        <x:color rgb="FFFF5468"/>
      </x:left>
      <x:top style="thin">
        <x:color rgb="FFFF5468"/>
      </x:top>
    </x:border>
    <x:border>
      <x:right style="thin">
        <x:color rgb="FFFF5468"/>
      </x:right>
      <x:top style="thin">
        <x:color rgb="FFFF5468"/>
      </x:top>
    </x:border>
    <x:border>
      <x:left style="thin">
        <x:color rgb="FFFF5468"/>
      </x:left>
      <x:bottom style="thin">
        <x:color rgb="FFFF5468"/>
      </x:bottom>
    </x:border>
    <x:border>
      <x:right style="thin">
        <x:color rgb="FFFF5468"/>
      </x:right>
      <x:bottom style="thin">
        <x:color rgb="FFFF5468"/>
      </x:bottom>
    </x:border>
  </x:borders>
  <x:cellStyleXfs count="1">
    <x:xf numFmtId="0" fontId="0" fillId="0" borderId="0"/>
  </x:cellStyleXfs>
  <x:cellXfs count="2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1" fontId="4" fillId="5" borderId="5" xfId="0" applyNumberFormat="1" applyFont="1" applyFill="1" applyBorder="1"/>
    <x:xf numFmtId="202" fontId="4" fillId="5" borderId="5" xfId="0" applyNumberFormat="1" applyFont="1" applyFill="1" applyBorder="1"/>
    <x:xf numFmtId="203" fontId="4" fillId="5" borderId="5" xfId="0" applyNumberFormat="1" applyFont="1" applyFill="1" applyBorder="1"/>
    <x:xf numFmtId="204" fontId="4" fillId="5" borderId="5" xfId="0" applyNumberFormat="1" applyFont="1" applyFill="1" applyBorder="1"/>
    <x:xf numFmtId="205" fontId="4" fillId="5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4" fillId="5" borderId="4" xfId="0" applyNumberFormat="1" applyFont="1" applyFill="1" applyBorder="1" applyAlignment="1">
      <x:alignment wrapText="1"/>
    </x:xf>
    <x:xf numFmtId="201" fontId="4" fillId="5" borderId="5" xfId="0" applyNumberFormat="1" applyFont="1" applyFill="1" applyBorder="1" applyAlignment="1">
      <x:alignment wrapText="1"/>
    </x:xf>
    <x:xf numFmtId="200" fontId="4" fillId="5" borderId="5" xfId="0" applyNumberFormat="1" applyFont="1" applyFill="1" applyBorder="1" applyAlignment="1">
      <x:alignment wrapText="1"/>
    </x:xf>
    <x:xf numFmtId="202" fontId="4" fillId="5" borderId="5" xfId="0" applyNumberFormat="1" applyFont="1" applyFill="1" applyBorder="1" applyAlignment="1">
      <x:alignment wrapText="1"/>
    </x:xf>
    <x:xf numFmtId="203" fontId="4" fillId="5" borderId="5" xfId="0" applyNumberFormat="1" applyFont="1" applyFill="1" applyBorder="1" applyAlignment="1">
      <x:alignment wrapText="1"/>
    </x:xf>
    <x:xf numFmtId="204" fontId="4" fillId="5" borderId="5" xfId="0" applyNumberFormat="1" applyFont="1" applyFill="1" applyBorder="1" applyAlignment="1">
      <x:alignment wrapText="1"/>
    </x:xf>
    <x:xf numFmtId="205" fontId="4" fillId="5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6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11" xfId="0" applyNumberFormat="1" applyFont="1" applyFill="1" applyBorder="1"/>
    <x:xf numFmtId="200" fontId="4" fillId="5" borderId="0" xfId="0" applyNumberFormat="1" applyFont="1" applyFill="1" applyBorder="1"/>
    <x:xf numFmtId="200" fontId="4" fillId="5" borderId="13" xfId="0" applyNumberFormat="1" applyFont="1" applyFill="1" applyBorder="1"/>
    <x:xf numFmtId="200" fontId="4" fillId="5" borderId="14" xfId="0" applyNumberFormat="1" applyFont="1" applyFill="1" applyBorder="1"/>
    <x:xf numFmtId="204" fontId="4" fillId="5" borderId="10" xfId="0" applyNumberFormat="1" applyFont="1" applyFill="1" applyBorder="1"/>
    <x:xf numFmtId="204" fontId="4" fillId="5" borderId="12" xfId="0" applyNumberFormat="1" applyFont="1" applyFill="1" applyBorder="1"/>
    <x:xf numFmtId="204" fontId="4" fillId="5" borderId="15" xfId="0" applyNumberFormat="1" applyFont="1" applyFill="1" applyBorder="1"/>
    <x:xf numFmtId="200" fontId="4" fillId="5" borderId="8" xfId="0" applyNumberFormat="1" applyFont="1" applyFill="1" applyBorder="1" applyAlignment="1">
      <x:alignment wrapText="1"/>
    </x:xf>
    <x:xf numFmtId="200" fontId="4" fillId="5" borderId="9" xfId="0" applyNumberFormat="1" applyFont="1" applyFill="1" applyBorder="1" applyAlignment="1">
      <x:alignment wrapText="1"/>
    </x:xf>
    <x:xf numFmtId="204" fontId="4" fillId="5" borderId="10" xfId="0" applyNumberFormat="1" applyFont="1" applyFill="1" applyBorder="1" applyAlignment="1">
      <x:alignment wrapText="1"/>
    </x:xf>
    <x:xf numFmtId="200" fontId="4" fillId="5" borderId="11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4" fontId="4" fillId="5" borderId="12" xfId="0" applyNumberFormat="1" applyFont="1" applyFill="1" applyBorder="1" applyAlignment="1">
      <x:alignment wrapText="1"/>
    </x:xf>
    <x:xf numFmtId="200" fontId="4" fillId="5" borderId="13" xfId="0" applyNumberFormat="1" applyFont="1" applyFill="1" applyBorder="1" applyAlignment="1">
      <x:alignment wrapText="1"/>
    </x:xf>
    <x:xf numFmtId="200" fontId="4" fillId="5" borderId="14" xfId="0" applyNumberFormat="1" applyFont="1" applyFill="1" applyBorder="1" applyAlignment="1">
      <x:alignment wrapText="1"/>
    </x:xf>
    <x:xf numFmtId="204" fontId="4" fillId="5" borderId="15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0" fillId="0" borderId="0" xfId="0" applyNumberFormat="1" applyFont="1" applyFill="1" applyBorder="1"/>
    <x:xf numFmtId="200" fontId="5" fillId="3" borderId="0" xfId="0" applyNumberFormat="1" applyFont="1" applyFill="1" applyBorder="1"/>
    <x:xf numFmtId="204" fontId="5" fillId="3" borderId="0" xfId="0" applyNumberFormat="1" applyFont="1" applyFill="1" applyBorder="1"/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200" fontId="3" fillId="4" borderId="3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206" fontId="0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6" xfId="0" applyNumberFormat="1" applyFont="1" applyFill="1" applyBorder="1"/>
    <x:xf numFmtId="0" fontId="8" fillId="8" borderId="17" xfId="0" applyNumberFormat="1" applyFont="1" applyFill="1" applyBorder="1"/>
    <x:xf numFmtId="0" fontId="8" fillId="8" borderId="18" xfId="0" applyNumberFormat="1" applyFont="1" applyFill="1" applyBorder="1"/>
    <x:xf numFmtId="0" fontId="8" fillId="8" borderId="19" xfId="0" applyNumberFormat="1" applyFont="1" applyFill="1" applyBorder="1"/>
    <x:xf numFmtId="200" fontId="8" fillId="8" borderId="16" xfId="0" applyNumberFormat="1" applyFont="1" applyFill="1" applyBorder="1"/>
    <x:xf numFmtId="200" fontId="8" fillId="8" borderId="17" xfId="0" applyNumberFormat="1" applyFont="1" applyFill="1" applyBorder="1"/>
    <x:xf numFmtId="200" fontId="8" fillId="8" borderId="18" xfId="0" applyNumberFormat="1" applyFont="1" applyFill="1" applyBorder="1"/>
    <x:xf numFmtId="200" fontId="8" fillId="8" borderId="19" xfId="0" applyNumberFormat="1" applyFont="1" applyFill="1" applyBorder="1"/>
    <x:xf numFmtId="200" fontId="8" fillId="8" borderId="16" xfId="0" applyNumberFormat="1" applyFont="1" applyFill="1" applyBorder="1" applyAlignment="1">
      <x:alignment horizontal="center"/>
    </x:xf>
    <x:xf numFmtId="200" fontId="8" fillId="8" borderId="17" xfId="0" applyNumberFormat="1" applyFont="1" applyFill="1" applyBorder="1" applyAlignment="1">
      <x:alignment horizontal="center"/>
    </x:xf>
    <x:xf numFmtId="200" fontId="8" fillId="8" borderId="18" xfId="0" applyNumberFormat="1" applyFont="1" applyFill="1" applyBorder="1" applyAlignment="1">
      <x:alignment horizontal="center"/>
    </x:xf>
    <x:xf numFmtId="200" fontId="8" fillId="8" borderId="19" xfId="0" applyNumberFormat="1" applyFont="1" applyFill="1" applyBorder="1" applyAlignment="1">
      <x:alignment horizontal="center"/>
    </x:xf>
    <x:xf numFmtId="200" fontId="8" fillId="8" borderId="16" xfId="0" applyNumberFormat="1" applyFont="1" applyFill="1" applyBorder="1" applyAlignment="1">
      <x:alignment horizontal="center" vertical="center"/>
    </x:xf>
    <x:xf numFmtId="200" fontId="8" fillId="8" borderId="17" xfId="0" applyNumberFormat="1" applyFont="1" applyFill="1" applyBorder="1" applyAlignment="1">
      <x:alignment horizontal="center" vertical="center"/>
    </x:xf>
    <x:xf numFmtId="200" fontId="8" fillId="8" borderId="18" xfId="0" applyNumberFormat="1" applyFont="1" applyFill="1" applyBorder="1" applyAlignment="1">
      <x:alignment horizontal="center" vertical="center"/>
    </x:xf>
    <x:xf numFmtId="200" fontId="8" fillId="8" borderId="19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8" fillId="8" borderId="20" xfId="0" applyNumberFormat="1" applyFont="1" applyFill="1" applyBorder="1"/>
    <x:xf numFmtId="0" fontId="8" fillId="8" borderId="2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200" fontId="8" fillId="8" borderId="20" xfId="0" applyNumberFormat="1" applyFont="1" applyFill="1" applyBorder="1"/>
    <x:xf numFmtId="200" fontId="8" fillId="8" borderId="21" xfId="0" applyNumberFormat="1" applyFont="1" applyFill="1" applyBorder="1"/>
    <x:xf numFmtId="200" fontId="8" fillId="8" borderId="22" xfId="0" applyNumberFormat="1" applyFont="1" applyFill="1" applyBorder="1"/>
    <x:xf numFmtId="200" fontId="8" fillId="8" borderId="23" xfId="0" applyNumberFormat="1" applyFont="1" applyFill="1" applyBorder="1"/>
    <x:xf numFmtId="200" fontId="8" fillId="8" borderId="20" xfId="0" applyNumberFormat="1" applyFont="1" applyFill="1" applyBorder="1" applyAlignment="1">
      <x:alignment horizontal="center"/>
    </x:xf>
    <x:xf numFmtId="200" fontId="8" fillId="8" borderId="21" xfId="0" applyNumberFormat="1" applyFont="1" applyFill="1" applyBorder="1" applyAlignment="1">
      <x:alignment horizontal="center"/>
    </x:xf>
    <x:xf numFmtId="200" fontId="8" fillId="8" borderId="22" xfId="0" applyNumberFormat="1" applyFont="1" applyFill="1" applyBorder="1" applyAlignment="1">
      <x:alignment horizontal="center"/>
    </x:xf>
    <x:xf numFmtId="200" fontId="8" fillId="8" borderId="23" xfId="0" applyNumberFormat="1" applyFont="1" applyFill="1" applyBorder="1" applyAlignment="1">
      <x:alignment horizontal="center"/>
    </x:xf>
    <x:xf numFmtId="200" fontId="8" fillId="8" borderId="20" xfId="0" applyNumberFormat="1" applyFont="1" applyFill="1" applyBorder="1" applyAlignment="1">
      <x:alignment horizontal="center" vertical="center"/>
    </x:xf>
    <x:xf numFmtId="200" fontId="8" fillId="8" borderId="21" xfId="0" applyNumberFormat="1" applyFont="1" applyFill="1" applyBorder="1" applyAlignment="1">
      <x:alignment horizontal="center" vertical="center"/>
    </x:xf>
    <x:xf numFmtId="200" fontId="8" fillId="8" borderId="22" xfId="0" applyNumberFormat="1" applyFont="1" applyFill="1" applyBorder="1" applyAlignment="1">
      <x:alignment horizontal="center" vertical="center"/>
    </x:xf>
    <x:xf numFmtId="200" fontId="8" fillId="8" borderId="2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6" xfId="0" applyNumberFormat="1" applyFont="1" applyFill="1" applyBorder="1"/>
    <x:xf numFmtId="0" fontId="8" fillId="8" borderId="27" xfId="0" applyNumberFormat="1" applyFont="1" applyFill="1" applyBorder="1"/>
    <x:xf numFmtId="205" fontId="8" fillId="8" borderId="24" xfId="0" applyNumberFormat="1" applyFont="1" applyFill="1" applyBorder="1"/>
    <x:xf numFmtId="205" fontId="8" fillId="8" borderId="25" xfId="0" applyNumberFormat="1" applyFont="1" applyFill="1" applyBorder="1"/>
    <x:xf numFmtId="205" fontId="8" fillId="8" borderId="26" xfId="0" applyNumberFormat="1" applyFont="1" applyFill="1" applyBorder="1"/>
    <x:xf numFmtId="205" fontId="8" fillId="8" borderId="27" xfId="0" applyNumberFormat="1" applyFont="1" applyFill="1" applyBorder="1"/>
    <x:xf numFmtId="205" fontId="8" fillId="8" borderId="24" xfId="0" applyNumberFormat="1" applyFont="1" applyFill="1" applyBorder="1" applyAlignment="1">
      <x:alignment horizontal="center"/>
    </x:xf>
    <x:xf numFmtId="205" fontId="8" fillId="8" borderId="25" xfId="0" applyNumberFormat="1" applyFont="1" applyFill="1" applyBorder="1" applyAlignment="1">
      <x:alignment horizontal="center"/>
    </x:xf>
    <x:xf numFmtId="205" fontId="8" fillId="8" borderId="26" xfId="0" applyNumberFormat="1" applyFont="1" applyFill="1" applyBorder="1" applyAlignment="1">
      <x:alignment horizontal="center"/>
    </x:xf>
    <x:xf numFmtId="205" fontId="8" fillId="8" borderId="27" xfId="0" applyNumberFormat="1" applyFont="1" applyFill="1" applyBorder="1" applyAlignment="1">
      <x:alignment horizontal="center"/>
    </x:xf>
    <x:xf numFmtId="205" fontId="8" fillId="8" borderId="24" xfId="0" applyNumberFormat="1" applyFont="1" applyFill="1" applyBorder="1" applyAlignment="1">
      <x:alignment horizontal="center" vertical="center"/>
    </x:xf>
    <x:xf numFmtId="205" fontId="8" fillId="8" borderId="25" xfId="0" applyNumberFormat="1" applyFont="1" applyFill="1" applyBorder="1" applyAlignment="1">
      <x:alignment horizontal="center" vertical="center"/>
    </x:xf>
    <x:xf numFmtId="205" fontId="8" fillId="8" borderId="26" xfId="0" applyNumberFormat="1" applyFont="1" applyFill="1" applyBorder="1" applyAlignment="1">
      <x:alignment horizontal="center" vertical="center"/>
    </x:xf>
    <x:xf numFmtId="205" fontId="8" fillId="8" borderId="27" xfId="0" applyNumberFormat="1" applyFont="1" applyFill="1" applyBorder="1" applyAlignment="1">
      <x:alignment horizontal="center" vertical="center"/>
    </x:xf>
    <x:xf numFmtId="202" fontId="8" fillId="8" borderId="16" xfId="0" applyNumberFormat="1" applyFont="1" applyFill="1" applyBorder="1"/>
    <x:xf numFmtId="202" fontId="8" fillId="8" borderId="17" xfId="0" applyNumberFormat="1" applyFont="1" applyFill="1" applyBorder="1"/>
    <x:xf numFmtId="202" fontId="8" fillId="8" borderId="18" xfId="0" applyNumberFormat="1" applyFont="1" applyFill="1" applyBorder="1"/>
    <x:xf numFmtId="202" fontId="8" fillId="8" borderId="19" xfId="0" applyNumberFormat="1" applyFont="1" applyFill="1" applyBorder="1"/>
    <x:xf numFmtId="202" fontId="8" fillId="8" borderId="16" xfId="0" applyNumberFormat="1" applyFont="1" applyFill="1" applyBorder="1" applyAlignment="1">
      <x:alignment horizontal="center"/>
    </x:xf>
    <x:xf numFmtId="202" fontId="8" fillId="8" borderId="17" xfId="0" applyNumberFormat="1" applyFont="1" applyFill="1" applyBorder="1" applyAlignment="1">
      <x:alignment horizontal="center"/>
    </x:xf>
    <x:xf numFmtId="202" fontId="8" fillId="8" borderId="18" xfId="0" applyNumberFormat="1" applyFont="1" applyFill="1" applyBorder="1" applyAlignment="1">
      <x:alignment horizontal="center"/>
    </x:xf>
    <x:xf numFmtId="202" fontId="8" fillId="8" borderId="19" xfId="0" applyNumberFormat="1" applyFont="1" applyFill="1" applyBorder="1" applyAlignment="1">
      <x:alignment horizontal="center"/>
    </x:xf>
    <x:xf numFmtId="202" fontId="8" fillId="8" borderId="16" xfId="0" applyNumberFormat="1" applyFont="1" applyFill="1" applyBorder="1" applyAlignment="1">
      <x:alignment horizontal="center" vertical="center"/>
    </x:xf>
    <x:xf numFmtId="202" fontId="8" fillId="8" borderId="17" xfId="0" applyNumberFormat="1" applyFont="1" applyFill="1" applyBorder="1" applyAlignment="1">
      <x:alignment horizontal="center" vertical="center"/>
    </x:xf>
    <x:xf numFmtId="202" fontId="8" fillId="8" borderId="18" xfId="0" applyNumberFormat="1" applyFont="1" applyFill="1" applyBorder="1" applyAlignment="1">
      <x:alignment horizontal="center" vertical="center"/>
    </x:xf>
    <x:xf numFmtId="202" fontId="8" fillId="8" borderId="19" xfId="0" applyNumberFormat="1" applyFont="1" applyFill="1" applyBorder="1" applyAlignment="1">
      <x:alignment horizontal="center" vertical="center"/>
    </x:xf>
    <x:xf numFmtId="207" fontId="8" fillId="8" borderId="20" xfId="0" applyNumberFormat="1" applyFont="1" applyFill="1" applyBorder="1"/>
    <x:xf numFmtId="207" fontId="8" fillId="8" borderId="21" xfId="0" applyNumberFormat="1" applyFont="1" applyFill="1" applyBorder="1"/>
    <x:xf numFmtId="207" fontId="8" fillId="8" borderId="22" xfId="0" applyNumberFormat="1" applyFont="1" applyFill="1" applyBorder="1"/>
    <x:xf numFmtId="207" fontId="8" fillId="8" borderId="23" xfId="0" applyNumberFormat="1" applyFont="1" applyFill="1" applyBorder="1"/>
    <x:xf numFmtId="207" fontId="8" fillId="8" borderId="20" xfId="0" applyNumberFormat="1" applyFont="1" applyFill="1" applyBorder="1" applyAlignment="1">
      <x:alignment horizontal="center"/>
    </x:xf>
    <x:xf numFmtId="207" fontId="8" fillId="8" borderId="21" xfId="0" applyNumberFormat="1" applyFont="1" applyFill="1" applyBorder="1" applyAlignment="1">
      <x:alignment horizontal="center"/>
    </x:xf>
    <x:xf numFmtId="207" fontId="8" fillId="8" borderId="22" xfId="0" applyNumberFormat="1" applyFont="1" applyFill="1" applyBorder="1" applyAlignment="1">
      <x:alignment horizontal="center"/>
    </x:xf>
    <x:xf numFmtId="207" fontId="8" fillId="8" borderId="23" xfId="0" applyNumberFormat="1" applyFont="1" applyFill="1" applyBorder="1" applyAlignment="1">
      <x:alignment horizontal="center"/>
    </x:xf>
    <x:xf numFmtId="207" fontId="8" fillId="8" borderId="20" xfId="0" applyNumberFormat="1" applyFont="1" applyFill="1" applyBorder="1" applyAlignment="1">
      <x:alignment horizontal="center" vertical="center"/>
    </x:xf>
    <x:xf numFmtId="207" fontId="8" fillId="8" borderId="21" xfId="0" applyNumberFormat="1" applyFont="1" applyFill="1" applyBorder="1" applyAlignment="1">
      <x:alignment horizontal="center" vertical="center"/>
    </x:xf>
    <x:xf numFmtId="207" fontId="8" fillId="8" borderId="22" xfId="0" applyNumberFormat="1" applyFont="1" applyFill="1" applyBorder="1" applyAlignment="1">
      <x:alignment horizontal="center" vertical="center"/>
    </x:xf>
    <x:xf numFmtId="207" fontId="8" fillId="8" borderId="23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/>
    </x:xf>
    <x:xf numFmtId="200" fontId="14" fillId="8" borderId="16" xfId="0" applyNumberFormat="1" applyFont="1" applyFill="1" applyBorder="1" applyAlignment="1">
      <x:alignment horizontal="center" vertical="center"/>
    </x:xf>
    <x:xf numFmtId="200" fontId="14" fillId="8" borderId="17" xfId="0" applyNumberFormat="1" applyFont="1" applyFill="1" applyBorder="1" applyAlignment="1">
      <x:alignment horizontal="center" vertical="center"/>
    </x:xf>
    <x:xf numFmtId="200" fontId="14" fillId="8" borderId="20" xfId="0" applyNumberFormat="1" applyFont="1" applyFill="1" applyBorder="1" applyAlignment="1">
      <x:alignment horizontal="center" vertical="center"/>
    </x:xf>
    <x:xf numFmtId="200" fontId="14" fillId="8" borderId="21" xfId="0" applyNumberFormat="1" applyFont="1" applyFill="1" applyBorder="1" applyAlignment="1">
      <x:alignment horizontal="center" vertical="center"/>
    </x:xf>
    <x:xf numFmtId="205" fontId="14" fillId="8" borderId="24" xfId="0" applyNumberFormat="1" applyFont="1" applyFill="1" applyBorder="1" applyAlignment="1">
      <x:alignment horizontal="center" vertical="center"/>
    </x:xf>
    <x:xf numFmtId="205" fontId="14" fillId="8" borderId="25" xfId="0" applyNumberFormat="1" applyFont="1" applyFill="1" applyBorder="1" applyAlignment="1">
      <x:alignment horizontal="center" vertical="center"/>
    </x:xf>
    <x:xf numFmtId="200" fontId="14" fillId="8" borderId="18" xfId="0" applyNumberFormat="1" applyFont="1" applyFill="1" applyBorder="1" applyAlignment="1">
      <x:alignment horizontal="center" vertical="center"/>
    </x:xf>
    <x:xf numFmtId="200" fontId="14" fillId="8" borderId="19" xfId="0" applyNumberFormat="1" applyFont="1" applyFill="1" applyBorder="1" applyAlignment="1">
      <x:alignment horizontal="center" vertical="center"/>
    </x:xf>
    <x:xf numFmtId="200" fontId="14" fillId="8" borderId="22" xfId="0" applyNumberFormat="1" applyFont="1" applyFill="1" applyBorder="1" applyAlignment="1">
      <x:alignment horizontal="center" vertical="center"/>
    </x:xf>
    <x:xf numFmtId="200" fontId="14" fillId="8" borderId="23" xfId="0" applyNumberFormat="1" applyFont="1" applyFill="1" applyBorder="1" applyAlignment="1">
      <x:alignment horizontal="center" vertical="center"/>
    </x:xf>
    <x:xf numFmtId="205" fontId="14" fillId="8" borderId="26" xfId="0" applyNumberFormat="1" applyFont="1" applyFill="1" applyBorder="1" applyAlignment="1">
      <x:alignment horizontal="center" vertical="center"/>
    </x:xf>
    <x:xf numFmtId="205" fontId="14" fillId="8" borderId="27" xfId="0" applyNumberFormat="1" applyFont="1" applyFill="1" applyBorder="1" applyAlignment="1">
      <x:alignment horizontal="center" vertical="center"/>
    </x:xf>
    <x:xf numFmtId="202" fontId="14" fillId="8" borderId="16" xfId="0" applyNumberFormat="1" applyFont="1" applyFill="1" applyBorder="1" applyAlignment="1">
      <x:alignment horizontal="center" vertical="center"/>
    </x:xf>
    <x:xf numFmtId="202" fontId="14" fillId="8" borderId="17" xfId="0" applyNumberFormat="1" applyFont="1" applyFill="1" applyBorder="1" applyAlignment="1">
      <x:alignment horizontal="center" vertical="center"/>
    </x:xf>
    <x:xf numFmtId="207" fontId="14" fillId="8" borderId="20" xfId="0" applyNumberFormat="1" applyFont="1" applyFill="1" applyBorder="1" applyAlignment="1">
      <x:alignment horizontal="center" vertical="center"/>
    </x:xf>
    <x:xf numFmtId="207" fontId="14" fillId="8" borderId="21" xfId="0" applyNumberFormat="1" applyFont="1" applyFill="1" applyBorder="1" applyAlignment="1">
      <x:alignment horizontal="center" vertical="center"/>
    </x:xf>
    <x:xf numFmtId="202" fontId="14" fillId="8" borderId="18" xfId="0" applyNumberFormat="1" applyFont="1" applyFill="1" applyBorder="1" applyAlignment="1">
      <x:alignment horizontal="center" vertical="center"/>
    </x:xf>
    <x:xf numFmtId="202" fontId="14" fillId="8" borderId="19" xfId="0" applyNumberFormat="1" applyFont="1" applyFill="1" applyBorder="1" applyAlignment="1">
      <x:alignment horizontal="center" vertical="center"/>
    </x:xf>
    <x:xf numFmtId="207" fontId="14" fillId="8" borderId="22" xfId="0" applyNumberFormat="1" applyFont="1" applyFill="1" applyBorder="1" applyAlignment="1">
      <x:alignment horizontal="center" vertical="center"/>
    </x:xf>
    <x:xf numFmtId="207" fontId="14" fillId="8" borderId="23" xfId="0" applyNumberFormat="1" applyFont="1" applyFill="1" applyBorder="1" applyAlignment="1">
      <x:alignment horizontal="center" vertical="center"/>
    </x:xf>
    <x:xf numFmtId="0" fontId="10" fillId="4" borderId="1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wrapText="1"/>
    </x:xf>
    <x:xf numFmtId="0" fontId="10" fillId="4" borderId="3" xfId="0" applyNumberFormat="1" applyFont="1" applyFill="1" applyBorder="1" applyAlignment="1">
      <x:alignment wrapText="1"/>
    </x:xf>
    <x:xf numFmtId="200" fontId="12" fillId="0" borderId="0" xfId="0" applyNumberFormat="1" applyFont="1" applyFill="1" applyBorder="1"/>
    <x:xf numFmtId="203" fontId="12" fillId="0" borderId="0" xfId="0" applyNumberFormat="1" applyFont="1" applyFill="1" applyBorder="1"/>
    <x:xf numFmtId="0" fontId="13" fillId="6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200" fontId="15" fillId="5" borderId="4" xfId="0" applyNumberFormat="1" applyFont="1" applyFill="1" applyBorder="1" applyAlignment="1">
      <x:alignment wrapText="1"/>
    </x:xf>
    <x:xf numFmtId="201" fontId="15" fillId="5" borderId="5" xfId="0" applyNumberFormat="1" applyFont="1" applyFill="1" applyBorder="1" applyAlignment="1">
      <x:alignment wrapText="1"/>
    </x:xf>
    <x:xf numFmtId="200" fontId="15" fillId="5" borderId="5" xfId="0" applyNumberFormat="1" applyFont="1" applyFill="1" applyBorder="1" applyAlignment="1">
      <x:alignment wrapText="1"/>
    </x:xf>
    <x:xf numFmtId="202" fontId="15" fillId="5" borderId="5" xfId="0" applyNumberFormat="1" applyFont="1" applyFill="1" applyBorder="1" applyAlignment="1">
      <x:alignment wrapText="1"/>
    </x:xf>
    <x:xf numFmtId="203" fontId="15" fillId="5" borderId="5" xfId="0" applyNumberFormat="1" applyFont="1" applyFill="1" applyBorder="1" applyAlignment="1">
      <x:alignment wrapText="1"/>
    </x:xf>
    <x:xf numFmtId="204" fontId="15" fillId="5" borderId="5" xfId="0" applyNumberFormat="1" applyFont="1" applyFill="1" applyBorder="1" applyAlignment="1">
      <x:alignment wrapText="1"/>
    </x:xf>
    <x:xf numFmtId="205" fontId="15" fillId="5" borderId="6" xfId="0" applyNumberFormat="1" applyFont="1" applyFill="1" applyBorder="1" applyAlignment="1">
      <x:alignment wrapText="1"/>
    </x:xf>
    <x:xf numFmtId="204" fontId="12" fillId="0" borderId="0" xfId="0" applyNumberFormat="1" applyFont="1" applyFill="1" applyBorder="1"/>
    <x:xf numFmtId="0" fontId="16" fillId="6" borderId="7" xfId="0" applyNumberFormat="1" applyFont="1" applyFill="1" applyBorder="1"/>
    <x:xf numFmtId="200" fontId="16" fillId="6" borderId="7" xfId="0" applyNumberFormat="1" applyFont="1" applyFill="1" applyBorder="1"/>
    <x:xf numFmtId="200" fontId="15" fillId="5" borderId="8" xfId="0" applyNumberFormat="1" applyFont="1" applyFill="1" applyBorder="1" applyAlignment="1">
      <x:alignment wrapText="1"/>
    </x:xf>
    <x:xf numFmtId="200" fontId="15" fillId="5" borderId="9" xfId="0" applyNumberFormat="1" applyFont="1" applyFill="1" applyBorder="1" applyAlignment="1">
      <x:alignment wrapText="1"/>
    </x:xf>
    <x:xf numFmtId="204" fontId="15" fillId="5" borderId="10" xfId="0" applyNumberFormat="1" applyFont="1" applyFill="1" applyBorder="1" applyAlignment="1">
      <x:alignment wrapText="1"/>
    </x:xf>
    <x:xf numFmtId="200" fontId="15" fillId="5" borderId="11" xfId="0" applyNumberFormat="1" applyFont="1" applyFill="1" applyBorder="1" applyAlignment="1">
      <x:alignment wrapText="1"/>
    </x:xf>
    <x:xf numFmtId="200" fontId="15" fillId="5" borderId="0" xfId="0" applyNumberFormat="1" applyFont="1" applyFill="1" applyBorder="1" applyAlignment="1">
      <x:alignment wrapText="1"/>
    </x:xf>
    <x:xf numFmtId="204" fontId="15" fillId="5" borderId="12" xfId="0" applyNumberFormat="1" applyFont="1" applyFill="1" applyBorder="1" applyAlignment="1">
      <x:alignment wrapText="1"/>
    </x:xf>
    <x:xf numFmtId="200" fontId="15" fillId="5" borderId="13" xfId="0" applyNumberFormat="1" applyFont="1" applyFill="1" applyBorder="1" applyAlignment="1">
      <x:alignment wrapText="1"/>
    </x:xf>
    <x:xf numFmtId="200" fontId="15" fillId="5" borderId="14" xfId="0" applyNumberFormat="1" applyFont="1" applyFill="1" applyBorder="1" applyAlignment="1">
      <x:alignment wrapText="1"/>
    </x:xf>
    <x:xf numFmtId="204" fontId="15" fillId="5" borderId="15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204" fontId="12" fillId="0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/>
    <x:xf numFmtId="200" fontId="16" fillId="3" borderId="0" xfId="0" applyNumberFormat="1" applyFont="1" applyFill="1" applyBorder="1"/>
    <x:xf numFmtId="204" fontId="16" fillId="3" borderId="0" xfId="0" applyNumberFormat="1" applyFont="1" applyFill="1" applyBorder="1"/>
    <x:xf numFmtId="202" fontId="12" fillId="0" borderId="0" xfId="0" applyNumberFormat="1" applyFont="1" applyFill="1" applyBorder="1" applyAlignment="1">
      <x:alignment wrapText="1"/>
    </x:xf>
    <x:xf numFmtId="205" fontId="12" fillId="0" borderId="0" xfId="0" applyNumberFormat="1" applyFont="1" applyFill="1" applyBorder="1" applyAlignment="1">
      <x:alignment wrapText="1"/>
    </x:xf>
    <x:xf numFmtId="200" fontId="10" fillId="4" borderId="2" xfId="0" applyNumberFormat="1" applyFont="1" applyFill="1" applyBorder="1" applyAlignment="1">
      <x:alignment wrapText="1"/>
    </x:xf>
    <x:xf numFmtId="200" fontId="10" fillId="4" borderId="3" xfId="0" applyNumberFormat="1" applyFont="1" applyFill="1" applyBorder="1" applyAlignment="1">
      <x:alignment wrapText="1"/>
    </x:xf>
    <x:xf numFmtId="206" fontId="12" fillId="0" borderId="0" xfId="0" applyNumberFormat="1" applyFont="1" applyFill="1" applyBorder="1"/>
    <x:xf numFmtId="0" fontId="17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15208111e42f9" /><Relationship Type="http://schemas.openxmlformats.org/officeDocument/2006/relationships/theme" Target="/xl/theme/theme1.xml" Id="R0e6b2549503f4a50" /><Relationship Type="http://schemas.openxmlformats.org/officeDocument/2006/relationships/sharedStrings" Target="/xl/sharedStrings.xml" Id="Rf74dce980c15419a" /><Relationship Type="http://schemas.openxmlformats.org/officeDocument/2006/relationships/worksheet" Target="/xl/worksheets/sheet1.xml" Id="R53b16bebbf854aa1" /><Relationship Type="http://schemas.openxmlformats.org/officeDocument/2006/relationships/worksheet" Target="/xl/worksheets/sheet2.xml" Id="R412994c95f2247a6" /><Relationship Type="http://schemas.openxmlformats.org/officeDocument/2006/relationships/worksheet" Target="/xl/worksheets/sheet3.xml" Id="Re5f80293e9be4817" /><Relationship Type="http://schemas.openxmlformats.org/officeDocument/2006/relationships/worksheet" Target="/xl/worksheets/sheet4.xml" Id="Re99a37e3797948ff" /><Relationship Type="http://schemas.openxmlformats.org/officeDocument/2006/relationships/worksheet" Target="/xl/worksheets/sheet5.xml" Id="R99ed96a037ad4335" /><Relationship Type="http://schemas.openxmlformats.org/officeDocument/2006/relationships/worksheet" Target="/xl/worksheets/sheet6.xml" Id="Rd8072091a69c44d6" /><Relationship Type="http://schemas.openxmlformats.org/officeDocument/2006/relationships/worksheet" Target="/xl/worksheets/sheet7.xml" Id="Rc250e140fcce41b1" /><Relationship Type="http://schemas.openxmlformats.org/officeDocument/2006/relationships/worksheet" Target="/xl/worksheets/sheet8.xml" Id="Rafc3be2fbd704daa" /><Relationship Type="http://schemas.openxmlformats.org/officeDocument/2006/relationships/worksheet" Target="/xl/worksheets/sheet9.xml" Id="R82e511381e3e4c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234" t="str">
        <x:v>HUB | Modelo financeiro para investidores</x:v>
      </x:c>
      <x:c r="B1" s="234"/>
      <x:c r="C1" s="234"/>
      <x:c r="D1" s="234"/>
      <x:c r="E1" s="234"/>
      <x:c r="F1" s="234"/>
      <x:c r="G1" s="234"/>
      <x:c r="H1" s="234"/>
    </x:row>
    <x:row r="2" ht="24" customHeight="1">
      <x:c r="A2" s="171" t="str">
        <x:v>Versão 1.0 • 20/08/2026 • Cenário-base editável • Valores em R$</x:v>
      </x:c>
      <x:c r="B2" s="171"/>
      <x:c r="C2" s="171"/>
      <x:c r="D2" s="171"/>
      <x:c r="E2" s="171"/>
      <x:c r="F2" s="171"/>
      <x:c r="G2" s="171"/>
      <x:c r="H2" s="171"/>
    </x:row>
    <x:row r="3">
      <x:c r="A3" s="172"/>
      <x:c r="B3" s="172"/>
      <x:c r="C3" s="172"/>
      <x:c r="D3" s="172"/>
      <x:c r="E3" s="172"/>
      <x:c r="F3" s="172"/>
      <x:c r="G3" s="172"/>
      <x:c r="H3" s="172"/>
    </x:row>
    <x:row r="4" ht="22" customHeight="1">
      <x:c r="A4" s="170" t="str">
        <x:v>Tese financeira</x:v>
      </x:c>
      <x:c r="B4" s="170"/>
      <x:c r="C4" s="170"/>
      <x:c r="D4" s="170"/>
      <x:c r="E4" s="170"/>
      <x:c r="F4" s="170"/>
      <x:c r="G4" s="170"/>
      <x:c r="H4" s="170"/>
    </x:row>
    <x:row r="5">
      <x:c r="A5" s="173" t="str">
        <x:v>Receita híbrida e recorrente, com precificação baseada em custo, capacidade de pagamento e valor gerado ou protegido para empresas. O modelo serve para testar hipóteses — não representa previsão garantida.</x:v>
      </x:c>
      <x:c r="B5" s="173"/>
      <x:c r="C5" s="173"/>
      <x:c r="D5" s="173"/>
      <x:c r="E5" s="173"/>
      <x:c r="F5" s="173"/>
      <x:c r="G5" s="173"/>
      <x:c r="H5" s="173"/>
    </x:row>
    <x:row r="6">
      <x:c r="A6" s="173"/>
      <x:c r="B6" s="173"/>
      <x:c r="C6" s="173"/>
      <x:c r="D6" s="173"/>
      <x:c r="E6" s="173"/>
      <x:c r="F6" s="173"/>
      <x:c r="G6" s="173"/>
      <x:c r="H6" s="173"/>
    </x:row>
    <x:row r="7">
      <x:c r="A7" s="172"/>
      <x:c r="B7" s="172"/>
      <x:c r="C7" s="172"/>
      <x:c r="D7" s="172"/>
      <x:c r="E7" s="172"/>
      <x:c r="F7" s="172"/>
      <x:c r="G7" s="172"/>
      <x:c r="H7" s="172"/>
    </x:row>
    <x:row r="8">
      <x:c r="A8" s="172"/>
      <x:c r="B8" s="174" t="str">
        <x:v>ARR Ano 5</x:v>
      </x:c>
      <x:c r="C8" s="174"/>
      <x:c r="D8" s="175" t="str">
        <x:v>EBITDA Ano 5</x:v>
      </x:c>
      <x:c r="E8" s="175"/>
      <x:c r="F8" s="176" t="str">
        <x:v>LTV / CAC</x:v>
      </x:c>
      <x:c r="G8" s="176"/>
      <x:c r="H8" s="172"/>
    </x:row>
    <x:row r="9">
      <x:c r="A9" s="172"/>
      <x:c r="B9" s="177" t="n">
        <x:f>'Unit_Economics'!$B$13</x:f>
        <x:v>22935014.93969281</x:v>
      </x:c>
      <x:c r="C9" s="178"/>
      <x:c r="D9" s="179" t="n">
        <x:f>'Projecao_5_Anos'!$F$16</x:f>
        <x:v>19998602.93969281</x:v>
      </x:c>
      <x:c r="E9" s="180"/>
      <x:c r="F9" s="181" t="n">
        <x:f>'Unit_Economics'!$B$11</x:f>
        <x:v>51.642857142857146</x:v>
      </x:c>
      <x:c r="G9" s="182"/>
      <x:c r="H9" s="172"/>
    </x:row>
    <x:row r="10">
      <x:c r="A10" s="172"/>
      <x:c r="B10" s="183"/>
      <x:c r="C10" s="184"/>
      <x:c r="D10" s="185"/>
      <x:c r="E10" s="186"/>
      <x:c r="F10" s="187"/>
      <x:c r="G10" s="188"/>
      <x:c r="H10" s="172"/>
    </x:row>
    <x:row r="11">
      <x:c r="A11" s="172"/>
      <x:c r="B11" s="172"/>
      <x:c r="C11" s="172"/>
      <x:c r="D11" s="172"/>
      <x:c r="E11" s="172"/>
      <x:c r="F11" s="172"/>
      <x:c r="G11" s="172"/>
      <x:c r="H11" s="172"/>
    </x:row>
    <x:row r="12">
      <x:c r="A12" s="172"/>
      <x:c r="B12" s="174" t="str">
        <x:v>Break-even empresas</x:v>
      </x:c>
      <x:c r="C12" s="174"/>
      <x:c r="D12" s="175" t="str">
        <x:v>Payback CAC</x:v>
      </x:c>
      <x:c r="E12" s="175"/>
      <x:c r="F12" s="176" t="str">
        <x:v>MOIC bruto</x:v>
      </x:c>
      <x:c r="G12" s="176"/>
      <x:c r="H12" s="172"/>
    </x:row>
    <x:row r="13">
      <x:c r="A13" s="172"/>
      <x:c r="B13" s="189" t="n">
        <x:f>'Unit_Economics'!$B$12</x:f>
        <x:v>15.352697095435685</x:v>
      </x:c>
      <x:c r="C13" s="190"/>
      <x:c r="D13" s="191" t="n">
        <x:f>'Unit_Economics'!$B$8</x:f>
        <x:v>2.323651452282158</x:v>
      </x:c>
      <x:c r="E13" s="192"/>
      <x:c r="F13" s="181" t="n">
        <x:f>'Unit_Economics'!$B$17</x:f>
        <x:v>9.174005975877124</x:v>
      </x:c>
      <x:c r="G13" s="182"/>
      <x:c r="H13" s="172"/>
    </x:row>
    <x:row r="14">
      <x:c r="A14" s="172"/>
      <x:c r="B14" s="193"/>
      <x:c r="C14" s="194"/>
      <x:c r="D14" s="195"/>
      <x:c r="E14" s="196"/>
      <x:c r="F14" s="187"/>
      <x:c r="G14" s="188"/>
      <x:c r="H14" s="172"/>
    </x:row>
    <x:row r="15">
      <x:c r="A15" s="172"/>
      <x:c r="B15" s="172"/>
      <x:c r="C15" s="172"/>
      <x:c r="D15" s="172"/>
      <x:c r="E15" s="172"/>
      <x:c r="F15" s="172"/>
      <x:c r="G15" s="172"/>
      <x:c r="H15" s="172"/>
    </x:row>
    <x:row r="16">
      <x:c r="A16" s="172"/>
      <x:c r="B16" s="172"/>
      <x:c r="C16" s="172"/>
      <x:c r="D16" s="172"/>
      <x:c r="E16" s="172"/>
      <x:c r="F16" s="172"/>
      <x:c r="G16" s="172"/>
      <x:c r="H16" s="172"/>
    </x:row>
    <x:row r="17" ht="22" customHeight="1">
      <x:c r="A17" s="170" t="str">
        <x:v>Trajetória projetada</x:v>
      </x:c>
      <x:c r="B17" s="170"/>
      <x:c r="C17" s="170"/>
      <x:c r="D17" s="170"/>
      <x:c r="E17" s="170"/>
      <x:c r="F17" s="170"/>
      <x:c r="G17" s="172"/>
      <x:c r="H17" s="172"/>
    </x:row>
    <x:row r="18" ht="22" customHeight="1">
      <x:c r="A18" s="197" t="str">
        <x:v>Indicador</x:v>
      </x:c>
      <x:c r="B18" s="198" t="str">
        <x:v>Ano 1</x:v>
      </x:c>
      <x:c r="C18" s="198" t="str">
        <x:v>Ano 2</x:v>
      </x:c>
      <x:c r="D18" s="198" t="str">
        <x:v>Ano 3</x:v>
      </x:c>
      <x:c r="E18" s="198" t="str">
        <x:v>Ano 4</x:v>
      </x:c>
      <x:c r="F18" s="199" t="str">
        <x:v>Ano 5</x:v>
      </x:c>
      <x:c r="G18" s="172"/>
      <x:c r="H18" s="172"/>
    </x:row>
    <x:row r="19">
      <x:c r="A19" s="172" t="str">
        <x:v>Receita total</x:v>
      </x:c>
      <x:c r="B19" s="200" t="n">
        <x:f>'Projecao_5_Anos'!B10</x:f>
        <x:v>3715200</x:v>
      </x:c>
      <x:c r="C19" s="200" t="n">
        <x:f>'Projecao_5_Anos'!C10</x:f>
        <x:v>7737984</x:v>
      </x:c>
      <x:c r="D19" s="200" t="n">
        <x:f>'Projecao_5_Anos'!D10</x:f>
        <x:v>14112040.32</x:v>
      </x:c>
      <x:c r="E19" s="200" t="n">
        <x:f>'Projecao_5_Anos'!E10</x:f>
        <x:v>22075264.1088</x:v>
      </x:c>
      <x:c r="F19" s="200" t="n">
        <x:f>'Projecao_5_Anos'!F10</x:f>
        <x:v>31099814.93969281</x:v>
      </x:c>
      <x:c r="G19" s="172"/>
      <x:c r="H19" s="172"/>
    </x:row>
    <x:row r="20">
      <x:c r="A20" s="172" t="str">
        <x:v>EBITDA</x:v>
      </x:c>
      <x:c r="B20" s="200" t="n">
        <x:f>'Projecao_5_Anos'!B16</x:f>
        <x:v>578400</x:v>
      </x:c>
      <x:c r="C20" s="200" t="n">
        <x:f>'Projecao_5_Anos'!C16</x:f>
        <x:v>3240384</x:v>
      </x:c>
      <x:c r="D20" s="200" t="n">
        <x:f>'Projecao_5_Anos'!D16</x:f>
        <x:v>7706440.32</x:v>
      </x:c>
      <x:c r="E20" s="200" t="n">
        <x:f>'Projecao_5_Anos'!E16</x:f>
        <x:v>13425904.108800001</x:v>
      </x:c>
      <x:c r="F20" s="200" t="n">
        <x:f>'Projecao_5_Anos'!F16</x:f>
        <x:v>19998602.93969281</x:v>
      </x:c>
      <x:c r="G20" s="172"/>
      <x:c r="H20" s="172"/>
    </x:row>
    <x:row r="21">
      <x:c r="A21" s="172" t="str">
        <x:v>Empresas ativas</x:v>
      </x:c>
      <x:c r="B21" s="201" t="n">
        <x:f>'Projecao_5_Anos'!B5</x:f>
        <x:v>24</x:v>
      </x:c>
      <x:c r="C21" s="201" t="n">
        <x:f>'Projecao_5_Anos'!C5</x:f>
        <x:v>48</x:v>
      </x:c>
      <x:c r="D21" s="201" t="n">
        <x:f>'Projecao_5_Anos'!D5</x:f>
        <x:v>84</x:v>
      </x:c>
      <x:c r="E21" s="201" t="n">
        <x:f>'Projecao_5_Anos'!E5</x:f>
        <x:v>126</x:v>
      </x:c>
      <x:c r="F21" s="201" t="n">
        <x:f>'Projecao_5_Anos'!F5</x:f>
        <x:v>170.10000000000002</x:v>
      </x:c>
      <x:c r="G21" s="172"/>
      <x:c r="H21" s="172"/>
    </x:row>
    <x:row r="22">
      <x:c r="A22" s="172"/>
      <x:c r="B22" s="172"/>
      <x:c r="C22" s="172"/>
      <x:c r="D22" s="172"/>
      <x:c r="E22" s="172"/>
      <x:c r="F22" s="172"/>
      <x:c r="G22" s="172"/>
      <x:c r="H22" s="172"/>
    </x:row>
    <x:row r="23">
      <x:c r="A23" s="172"/>
      <x:c r="B23" s="172"/>
      <x:c r="C23" s="172"/>
      <x:c r="D23" s="172"/>
      <x:c r="E23" s="172"/>
      <x:c r="F23" s="172"/>
      <x:c r="G23" s="172"/>
      <x:c r="H23" s="172"/>
    </x:row>
    <x:row r="24" ht="22" customHeight="1">
      <x:c r="A24" s="170" t="str">
        <x:v>Como usar</x:v>
      </x:c>
      <x:c r="B24" s="170"/>
      <x:c r="C24" s="170"/>
      <x:c r="D24" s="170"/>
      <x:c r="E24" s="170"/>
      <x:c r="F24" s="170"/>
      <x:c r="G24" s="170"/>
      <x:c r="H24" s="170"/>
    </x:row>
    <x:row r="25">
      <x:c r="A25" s="202" t="str">
        <x:v>1) Edite somente as células amarelas em Premissas e Preços.  2) Revise Projeção, Unit Economics e Sensibilidade.  3) Confirme que Checks mostra PASS.  4) Substitua as hipóteses ilustrativas por dados de propostas, folha, cloud e pilotos antes de apresentar números como compromisso.</x:v>
      </x:c>
      <x:c r="B25" s="202"/>
      <x:c r="C25" s="202"/>
      <x:c r="D25" s="202"/>
      <x:c r="E25" s="202"/>
      <x:c r="F25" s="202"/>
      <x:c r="G25" s="202"/>
      <x:c r="H25" s="202"/>
    </x:row>
    <x:row r="26">
      <x:c r="A26" s="202"/>
      <x:c r="B26" s="202"/>
      <x:c r="C26" s="202"/>
      <x:c r="D26" s="202"/>
      <x:c r="E26" s="202"/>
      <x:c r="F26" s="202"/>
      <x:c r="G26" s="202"/>
      <x:c r="H26" s="202"/>
    </x:row>
    <x:row r="27">
      <x:c r="A27" s="202"/>
      <x:c r="B27" s="202"/>
      <x:c r="C27" s="202"/>
      <x:c r="D27" s="202"/>
      <x:c r="E27" s="202"/>
      <x:c r="F27" s="202"/>
      <x:c r="G27" s="202"/>
      <x:c r="H27" s="202"/>
    </x:row>
    <x:row r="28">
      <x:c r="A28" s="202"/>
      <x:c r="B28" s="202"/>
      <x:c r="C28" s="202"/>
      <x:c r="D28" s="202"/>
      <x:c r="E28" s="202"/>
      <x:c r="F28" s="202"/>
      <x:c r="G28" s="202"/>
      <x:c r="H28" s="202"/>
    </x:row>
  </x:sheetData>
  <x:mergeCells>
    <x:mergeCell ref="A1:H1"/>
    <x:mergeCell ref="A2:H2"/>
    <x:mergeCell ref="A4:H4"/>
    <x:mergeCell ref="A5:H6"/>
    <x:mergeCell ref="B8:C8"/>
    <x:mergeCell ref="B9:C10"/>
    <x:mergeCell ref="D8:E8"/>
    <x:mergeCell ref="D9:E10"/>
    <x:mergeCell ref="F8:G8"/>
    <x:mergeCell ref="F9:G10"/>
    <x:mergeCell ref="B12:C12"/>
    <x:mergeCell ref="B13:C14"/>
    <x:mergeCell ref="D12:E12"/>
    <x:mergeCell ref="D13:E14"/>
    <x:mergeCell ref="F12:G12"/>
    <x:mergeCell ref="F13:G14"/>
    <x:mergeCell ref="A17:F17"/>
    <x:mergeCell ref="A24:H24"/>
    <x:mergeCell ref="A25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4" hidden="0" customWidth="1"/>
    <x:col min="4" max="4" width="52" hidden="0" customWidth="1"/>
  </x:cols>
  <x:sheetData>
    <x:row r="1" ht="30" customHeight="1">
      <x:c r="A1" s="234" t="str">
        <x:v>HUB | Premissas do modelo</x:v>
      </x:c>
      <x:c r="B1" s="234"/>
      <x:c r="C1" s="234"/>
      <x:c r="D1" s="234"/>
      <x:c r="E1" s="234"/>
      <x:c r="F1" s="234"/>
      <x:c r="G1" s="234"/>
      <x:c r="H1" s="234"/>
    </x:row>
    <x:row r="2" ht="24" customHeight="1">
      <x:c r="A2" s="171" t="str">
        <x:v>Células amarelas são editáveis. Valores ilustrativos para discussão com investidores; valide com fornecedores e clientes.</x:v>
      </x:c>
      <x:c r="B2" s="171"/>
      <x:c r="C2" s="171"/>
      <x:c r="D2" s="171"/>
      <x:c r="E2" s="171"/>
      <x:c r="F2" s="171"/>
      <x:c r="G2" s="171"/>
      <x:c r="H2" s="171"/>
    </x:row>
    <x:row r="3">
      <x:c r="A3" s="172"/>
      <x:c r="B3" s="172"/>
      <x:c r="C3" s="172"/>
      <x:c r="D3" s="172"/>
      <x:c r="E3" s="172"/>
      <x:c r="F3" s="172"/>
      <x:c r="G3" s="172"/>
      <x:c r="H3" s="172"/>
    </x:row>
    <x:row r="4" ht="22" customHeight="1">
      <x:c r="A4" s="170" t="str">
        <x:v>Cenário-base</x:v>
      </x:c>
      <x:c r="B4" s="170"/>
      <x:c r="C4" s="170"/>
      <x:c r="D4" s="170"/>
      <x:c r="E4" s="170"/>
      <x:c r="F4" s="170"/>
      <x:c r="G4" s="170"/>
      <x:c r="H4" s="170"/>
    </x:row>
    <x:row r="5" ht="22" customHeight="1">
      <x:c r="A5" s="197" t="str">
        <x:v>Premissa</x:v>
      </x:c>
      <x:c r="B5" s="198" t="str">
        <x:v>Valor</x:v>
      </x:c>
      <x:c r="C5" s="198" t="str">
        <x:v>Unidade</x:v>
      </x:c>
      <x:c r="D5" s="199" t="str">
        <x:v>Racional</x:v>
      </x:c>
      <x:c r="E5" s="172"/>
      <x:c r="F5" s="172"/>
      <x:c r="G5" s="172"/>
      <x:c r="H5" s="172"/>
    </x:row>
    <x:row r="6">
      <x:c r="A6" s="203" t="str">
        <x:v>Investimento inicial em produto</x:v>
      </x:c>
      <x:c r="B6" s="204" t="n">
        <x:v>1200000</x:v>
      </x:c>
      <x:c r="C6" s="203" t="str">
        <x:v>R$</x:v>
      </x:c>
      <x:c r="D6" s="203" t="str">
        <x:v>MVP, dados, UX, segurança e integrações</x:v>
      </x:c>
      <x:c r="E6" s="172"/>
      <x:c r="F6" s="172"/>
      <x:c r="G6" s="172"/>
      <x:c r="H6" s="172"/>
    </x:row>
    <x:row r="7">
      <x:c r="A7" s="203" t="str">
        <x:v>Vida útil econômica do software</x:v>
      </x:c>
      <x:c r="B7" s="205" t="n">
        <x:v>5</x:v>
      </x:c>
      <x:c r="C7" s="203" t="str">
        <x:v>anos</x:v>
      </x:c>
      <x:c r="D7" s="203" t="str">
        <x:v>Amortização linear gerencial</x:v>
      </x:c>
      <x:c r="E7" s="172"/>
      <x:c r="F7" s="172"/>
      <x:c r="G7" s="172"/>
      <x:c r="H7" s="172"/>
    </x:row>
    <x:row r="8">
      <x:c r="A8" s="203" t="str">
        <x:v>OPEX fixo mensal inicial</x:v>
      </x:c>
      <x:c r="B8" s="206" t="n">
        <x:v>185000</x:v>
      </x:c>
      <x:c r="C8" s="203" t="str">
        <x:v>R$/mês</x:v>
      </x:c>
      <x:c r="D8" s="203" t="str">
        <x:v>Produto, tecnologia, comercial, CS e administração</x:v>
      </x:c>
      <x:c r="E8" s="172"/>
      <x:c r="F8" s="172"/>
      <x:c r="G8" s="172"/>
      <x:c r="H8" s="172"/>
    </x:row>
    <x:row r="9">
      <x:c r="A9" s="203" t="str">
        <x:v>Custo variável por empresa</x:v>
      </x:c>
      <x:c r="B9" s="206" t="n">
        <x:v>850</x:v>
      </x:c>
      <x:c r="C9" s="203" t="str">
        <x:v>R$/mês</x:v>
      </x:c>
      <x:c r="D9" s="203" t="str">
        <x:v>Infraestrutura, suporte, dados e processamento</x:v>
      </x:c>
      <x:c r="E9" s="172"/>
      <x:c r="F9" s="172"/>
      <x:c r="G9" s="172"/>
      <x:c r="H9" s="172"/>
    </x:row>
    <x:row r="10">
      <x:c r="A10" s="203" t="str">
        <x:v>Fee médio mensal por empresa</x:v>
      </x:c>
      <x:c r="B10" s="206" t="n">
        <x:v>8900</x:v>
      </x:c>
      <x:c r="C10" s="203" t="str">
        <x:v>R$/mês</x:v>
      </x:c>
      <x:c r="D10" s="203" t="str">
        <x:v>Mix entre planos Start, Growth e Enterprise</x:v>
      </x:c>
      <x:c r="E10" s="172"/>
      <x:c r="F10" s="172"/>
      <x:c r="G10" s="172"/>
      <x:c r="H10" s="172"/>
    </x:row>
    <x:row r="11">
      <x:c r="A11" s="203" t="str">
        <x:v>Receita média por evento/projeto</x:v>
      </x:c>
      <x:c r="B11" s="206" t="n">
        <x:v>18000</x:v>
      </x:c>
      <x:c r="C11" s="203" t="str">
        <x:v>R$/evento</x:v>
      </x:c>
      <x:c r="D11" s="203" t="str">
        <x:v>Licença adicional de projeto/evento</x:v>
      </x:c>
      <x:c r="E11" s="172"/>
      <x:c r="F11" s="172"/>
      <x:c r="G11" s="172"/>
      <x:c r="H11" s="172"/>
    </x:row>
    <x:row r="12">
      <x:c r="A12" s="203" t="str">
        <x:v>Eventos por empresa/ano</x:v>
      </x:c>
      <x:c r="B12" s="207" t="n">
        <x:v>2</x:v>
      </x:c>
      <x:c r="C12" s="203" t="str">
        <x:v>eventos</x:v>
      </x:c>
      <x:c r="D12" s="203" t="str">
        <x:v>Média da carteira</x:v>
      </x:c>
      <x:c r="E12" s="172"/>
      <x:c r="F12" s="172"/>
      <x:c r="G12" s="172"/>
      <x:c r="H12" s="172"/>
    </x:row>
    <x:row r="13">
      <x:c r="A13" s="203" t="str">
        <x:v>Success fee médio anual por empresa</x:v>
      </x:c>
      <x:c r="B13" s="206" t="n">
        <x:v>12000</x:v>
      </x:c>
      <x:c r="C13" s="203" t="str">
        <x:v>R$/ano</x:v>
      </x:c>
      <x:c r="D13" s="203" t="str">
        <x:v>Receita contingente sobre negócios convertidos</x:v>
      </x:c>
      <x:c r="E13" s="172"/>
      <x:c r="F13" s="172"/>
      <x:c r="G13" s="172"/>
      <x:c r="H13" s="172"/>
    </x:row>
    <x:row r="14">
      <x:c r="A14" s="203" t="str">
        <x:v>Empresas no Ano 1</x:v>
      </x:c>
      <x:c r="B14" s="208" t="n">
        <x:v>24</x:v>
      </x:c>
      <x:c r="C14" s="203" t="str">
        <x:v>empresas</x:v>
      </x:c>
      <x:c r="D14" s="203" t="str">
        <x:v>Carteira média ativa</x:v>
      </x:c>
      <x:c r="E14" s="172"/>
      <x:c r="F14" s="172"/>
      <x:c r="G14" s="172"/>
      <x:c r="H14" s="172"/>
    </x:row>
    <x:row r="15">
      <x:c r="A15" s="203" t="str">
        <x:v>Crescimento de empresas A2</x:v>
      </x:c>
      <x:c r="B15" s="209" t="n">
        <x:v>1</x:v>
      </x:c>
      <x:c r="C15" s="203" t="str">
        <x:v>%</x:v>
      </x:c>
      <x:c r="D15" s="203" t="str">
        <x:v>Escala comercial</x:v>
      </x:c>
      <x:c r="E15" s="172"/>
      <x:c r="F15" s="172"/>
      <x:c r="G15" s="172"/>
      <x:c r="H15" s="172"/>
    </x:row>
    <x:row r="16">
      <x:c r="A16" s="203" t="str">
        <x:v>Crescimento de empresas A3</x:v>
      </x:c>
      <x:c r="B16" s="209" t="n">
        <x:v>0.75</x:v>
      </x:c>
      <x:c r="C16" s="203" t="str">
        <x:v>%</x:v>
      </x:c>
      <x:c r="D16" s="203" t="str">
        <x:v>Escala comercial</x:v>
      </x:c>
      <x:c r="E16" s="172"/>
      <x:c r="F16" s="172"/>
      <x:c r="G16" s="172"/>
      <x:c r="H16" s="172"/>
    </x:row>
    <x:row r="17">
      <x:c r="A17" s="203" t="str">
        <x:v>Crescimento de empresas A4</x:v>
      </x:c>
      <x:c r="B17" s="209" t="n">
        <x:v>0.5</x:v>
      </x:c>
      <x:c r="C17" s="203" t="str">
        <x:v>%</x:v>
      </x:c>
      <x:c r="D17" s="203" t="str">
        <x:v>Escala comercial</x:v>
      </x:c>
      <x:c r="E17" s="172"/>
      <x:c r="F17" s="172"/>
      <x:c r="G17" s="172"/>
      <x:c r="H17" s="172"/>
    </x:row>
    <x:row r="18">
      <x:c r="A18" s="203" t="str">
        <x:v>Crescimento de empresas A5</x:v>
      </x:c>
      <x:c r="B18" s="209" t="n">
        <x:v>0.35</x:v>
      </x:c>
      <x:c r="C18" s="203" t="str">
        <x:v>%</x:v>
      </x:c>
      <x:c r="D18" s="203" t="str">
        <x:v>Escala comercial</x:v>
      </x:c>
      <x:c r="E18" s="172"/>
      <x:c r="F18" s="172"/>
      <x:c r="G18" s="172"/>
      <x:c r="H18" s="172"/>
    </x:row>
    <x:row r="19">
      <x:c r="A19" s="203" t="str">
        <x:v>Inflação de preços</x:v>
      </x:c>
      <x:c r="B19" s="209" t="n">
        <x:v>0.06</x:v>
      </x:c>
      <x:c r="C19" s="203" t="str">
        <x:v>% a.a.</x:v>
      </x:c>
      <x:c r="D19" s="203" t="str">
        <x:v>Reajuste contratual</x:v>
      </x:c>
      <x:c r="E19" s="172"/>
      <x:c r="F19" s="172"/>
      <x:c r="G19" s="172"/>
      <x:c r="H19" s="172"/>
    </x:row>
    <x:row r="20">
      <x:c r="A20" s="203" t="str">
        <x:v>Crescimento do OPEX fixo</x:v>
      </x:c>
      <x:c r="B20" s="209" t="n">
        <x:v>0.2</x:v>
      </x:c>
      <x:c r="C20" s="203" t="str">
        <x:v>% a.a.</x:v>
      </x:c>
      <x:c r="D20" s="203" t="str">
        <x:v>Equipe e estrutura</x:v>
      </x:c>
      <x:c r="E20" s="172"/>
      <x:c r="F20" s="172"/>
      <x:c r="G20" s="172"/>
      <x:c r="H20" s="172"/>
    </x:row>
    <x:row r="21">
      <x:c r="A21" s="203" t="str">
        <x:v>CAC por nova empresa</x:v>
      </x:c>
      <x:c r="B21" s="206" t="n">
        <x:v>28000</x:v>
      </x:c>
      <x:c r="C21" s="203" t="str">
        <x:v>R$</x:v>
      </x:c>
      <x:c r="D21" s="203" t="str">
        <x:v>Marketing, vendas e implantação</x:v>
      </x:c>
      <x:c r="E21" s="172"/>
      <x:c r="F21" s="172"/>
      <x:c r="G21" s="172"/>
      <x:c r="H21" s="172"/>
    </x:row>
    <x:row r="22">
      <x:c r="A22" s="203" t="str">
        <x:v>Margem de contribuição alvo</x:v>
      </x:c>
      <x:c r="B22" s="209" t="n">
        <x:v>0.75</x:v>
      </x:c>
      <x:c r="C22" s="203" t="str">
        <x:v>%</x:v>
      </x:c>
      <x:c r="D22" s="203" t="str">
        <x:v>Receita menos custos variáveis</x:v>
      </x:c>
      <x:c r="E22" s="172"/>
      <x:c r="F22" s="172"/>
      <x:c r="G22" s="172"/>
      <x:c r="H22" s="172"/>
    </x:row>
    <x:row r="23">
      <x:c r="A23" s="203" t="str">
        <x:v>Churn anual</x:v>
      </x:c>
      <x:c r="B23" s="209" t="n">
        <x:v>0.1</x:v>
      </x:c>
      <x:c r="C23" s="203" t="str">
        <x:v>%</x:v>
      </x:c>
      <x:c r="D23" s="203" t="str">
        <x:v>Cancelamento de clientes</x:v>
      </x:c>
      <x:c r="E23" s="172"/>
      <x:c r="F23" s="172"/>
      <x:c r="G23" s="172"/>
      <x:c r="H23" s="172"/>
    </x:row>
    <x:row r="24">
      <x:c r="A24" s="203" t="str">
        <x:v>Taxa de desconto</x:v>
      </x:c>
      <x:c r="B24" s="209" t="n">
        <x:v>0.2</x:v>
      </x:c>
      <x:c r="C24" s="203" t="str">
        <x:v>% a.a.</x:v>
      </x:c>
      <x:c r="D24" s="203" t="str">
        <x:v>Risco de startup</x:v>
      </x:c>
      <x:c r="E24" s="172"/>
      <x:c r="F24" s="172"/>
      <x:c r="G24" s="172"/>
      <x:c r="H24" s="172"/>
    </x:row>
    <x:row r="25">
      <x:c r="A25" s="203" t="str">
        <x:v>Investimento do investidor</x:v>
      </x:c>
      <x:c r="B25" s="206" t="n">
        <x:v>2500000</x:v>
      </x:c>
      <x:c r="C25" s="203" t="str">
        <x:v>R$</x:v>
      </x:c>
      <x:c r="D25" s="203" t="str">
        <x:v>Rodada ilustrativa</x:v>
      </x:c>
      <x:c r="E25" s="172"/>
      <x:c r="F25" s="172"/>
      <x:c r="G25" s="172"/>
      <x:c r="H25" s="172"/>
    </x:row>
    <x:row r="26">
      <x:c r="A26" s="203" t="str">
        <x:v>Participação do investidor</x:v>
      </x:c>
      <x:c r="B26" s="209" t="n">
        <x:v>0.2</x:v>
      </x:c>
      <x:c r="C26" s="203" t="str">
        <x:v>%</x:v>
      </x:c>
      <x:c r="D26" s="203" t="str">
        <x:v>Equity ilustrativo</x:v>
      </x:c>
      <x:c r="E26" s="172"/>
      <x:c r="F26" s="172"/>
      <x:c r="G26" s="172"/>
      <x:c r="H26" s="172"/>
    </x:row>
    <x:row r="27">
      <x:c r="A27" s="203" t="str">
        <x:v>Múltiplo de saída sobre ARR</x:v>
      </x:c>
      <x:c r="B27" s="210" t="n">
        <x:v>5</x:v>
      </x:c>
      <x:c r="C27" s="203" t="str">
        <x:v>x ARR</x:v>
      </x:c>
      <x:c r="D27" s="203" t="str">
        <x:v>Referência de cenário, não promessa</x:v>
      </x:c>
      <x:c r="E27" s="172"/>
      <x:c r="F27" s="172"/>
      <x:c r="G27" s="172"/>
      <x:c r="H27" s="172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234" t="str">
        <x:v>HUB | Custos, vida útil e amortização</x:v>
      </x:c>
      <x:c r="B1" s="234"/>
      <x:c r="C1" s="234"/>
      <x:c r="D1" s="234"/>
      <x:c r="E1" s="234"/>
      <x:c r="F1" s="234"/>
      <x:c r="G1" s="234"/>
      <x:c r="H1" s="234"/>
    </x:row>
    <x:row r="2" ht="24" customHeight="1">
      <x:c r="A2" s="171" t="str">
        <x:v>Estrutura de custo modular para testar o investimento necessário e a sustentabilidade operacional.</x:v>
      </x:c>
      <x:c r="B2" s="171"/>
      <x:c r="C2" s="171"/>
      <x:c r="D2" s="171"/>
      <x:c r="E2" s="171"/>
      <x:c r="F2" s="171"/>
      <x:c r="G2" s="171"/>
      <x:c r="H2" s="171"/>
    </x:row>
    <x:row r="3">
      <x:c r="A3" s="172"/>
      <x:c r="B3" s="172"/>
      <x:c r="C3" s="172"/>
      <x:c r="D3" s="172"/>
      <x:c r="E3" s="172"/>
      <x:c r="F3" s="172"/>
      <x:c r="G3" s="172"/>
      <x:c r="H3" s="172"/>
    </x:row>
    <x:row r="4" ht="22" customHeight="1">
      <x:c r="A4" s="170" t="str">
        <x:v>CAPEX de desenvolvimento</x:v>
      </x:c>
      <x:c r="B4" s="170"/>
      <x:c r="C4" s="170"/>
      <x:c r="D4" s="170"/>
      <x:c r="E4" s="170"/>
      <x:c r="F4" s="170"/>
      <x:c r="G4" s="170"/>
      <x:c r="H4" s="170"/>
    </x:row>
    <x:row r="5" ht="22" customHeight="1">
      <x:c r="A5" s="197" t="str">
        <x:v>Componente</x:v>
      </x:c>
      <x:c r="B5" s="198" t="str">
        <x:v>% do CAPEX</x:v>
      </x:c>
      <x:c r="C5" s="198" t="str">
        <x:v>Valor</x:v>
      </x:c>
      <x:c r="D5" s="199" t="str">
        <x:v>Vida útil (anos)</x:v>
      </x:c>
      <x:c r="E5" s="172"/>
      <x:c r="F5" s="172"/>
      <x:c r="G5" s="172"/>
      <x:c r="H5" s="172"/>
    </x:row>
    <x:row r="6">
      <x:c r="A6" s="172" t="str">
        <x:v>Produto, UX e arquitetura</x:v>
      </x:c>
      <x:c r="B6" s="211" t="n">
        <x:v>0.18</x:v>
      </x:c>
      <x:c r="C6" s="200" t="n">
        <x:f>'Premissas'!$B$6*B6</x:f>
        <x:v>216000</x:v>
      </x:c>
      <x:c r="D6" s="172" t="n">
        <x:f>'Premissas'!$B$7</x:f>
        <x:v>5</x:v>
      </x:c>
      <x:c r="E6" s="172"/>
      <x:c r="F6" s="172"/>
      <x:c r="G6" s="172"/>
      <x:c r="H6" s="172"/>
    </x:row>
    <x:row r="7">
      <x:c r="A7" s="172" t="str">
        <x:v>Desenvolvimento core</x:v>
      </x:c>
      <x:c r="B7" s="211" t="n">
        <x:v>0.32</x:v>
      </x:c>
      <x:c r="C7" s="200" t="n">
        <x:f>'Premissas'!$B$6*B7</x:f>
        <x:v>384000</x:v>
      </x:c>
      <x:c r="D7" s="172" t="n">
        <x:f>'Premissas'!$B$7</x:f>
        <x:v>5</x:v>
      </x:c>
      <x:c r="E7" s="172"/>
      <x:c r="F7" s="172"/>
      <x:c r="G7" s="172"/>
      <x:c r="H7" s="172"/>
    </x:row>
    <x:row r="8">
      <x:c r="A8" s="172" t="str">
        <x:v>Dados, IA e matching</x:v>
      </x:c>
      <x:c r="B8" s="211" t="n">
        <x:v>0.2</x:v>
      </x:c>
      <x:c r="C8" s="200" t="n">
        <x:f>'Premissas'!$B$6*B8</x:f>
        <x:v>240000</x:v>
      </x:c>
      <x:c r="D8" s="172" t="n">
        <x:f>'Premissas'!$B$7</x:f>
        <x:v>5</x:v>
      </x:c>
      <x:c r="E8" s="172"/>
      <x:c r="F8" s="172"/>
      <x:c r="G8" s="172"/>
      <x:c r="H8" s="172"/>
    </x:row>
    <x:row r="9">
      <x:c r="A9" s="172" t="str">
        <x:v>Segurança e LGPD</x:v>
      </x:c>
      <x:c r="B9" s="211" t="n">
        <x:v>0.1</x:v>
      </x:c>
      <x:c r="C9" s="200" t="n">
        <x:f>'Premissas'!$B$6*B9</x:f>
        <x:v>120000</x:v>
      </x:c>
      <x:c r="D9" s="172" t="n">
        <x:f>'Premissas'!$B$7</x:f>
        <x:v>5</x:v>
      </x:c>
      <x:c r="E9" s="172"/>
      <x:c r="F9" s="172"/>
      <x:c r="G9" s="172"/>
      <x:c r="H9" s="172"/>
    </x:row>
    <x:row r="10">
      <x:c r="A10" s="172" t="str">
        <x:v>Integrações e APIs</x:v>
      </x:c>
      <x:c r="B10" s="211" t="n">
        <x:v>0.1</x:v>
      </x:c>
      <x:c r="C10" s="200" t="n">
        <x:f>'Premissas'!$B$6*B10</x:f>
        <x:v>120000</x:v>
      </x:c>
      <x:c r="D10" s="172" t="n">
        <x:f>'Premissas'!$B$7</x:f>
        <x:v>5</x:v>
      </x:c>
      <x:c r="E10" s="172"/>
      <x:c r="F10" s="172"/>
      <x:c r="G10" s="172"/>
      <x:c r="H10" s="172"/>
    </x:row>
    <x:row r="11">
      <x:c r="A11" s="172" t="str">
        <x:v>Testes, implantação e contingência</x:v>
      </x:c>
      <x:c r="B11" s="211" t="n">
        <x:v>0.1</x:v>
      </x:c>
      <x:c r="C11" s="200" t="n">
        <x:f>'Premissas'!$B$6*B11</x:f>
        <x:v>120000</x:v>
      </x:c>
      <x:c r="D11" s="172" t="n">
        <x:f>'Premissas'!$B$7</x:f>
        <x:v>5</x:v>
      </x:c>
      <x:c r="E11" s="172"/>
      <x:c r="F11" s="172"/>
      <x:c r="G11" s="172"/>
      <x:c r="H11" s="172"/>
    </x:row>
    <x:row r="12">
      <x:c r="A12" s="212" t="str">
        <x:v>Total CAPEX</x:v>
      </x:c>
      <x:c r="B12" s="212"/>
      <x:c r="C12" s="213" t="n">
        <x:f>SUM(C6:C11)</x:f>
        <x:v>1200000</x:v>
      </x:c>
      <x:c r="D12" s="212"/>
      <x:c r="E12" s="172"/>
      <x:c r="F12" s="172"/>
      <x:c r="G12" s="172"/>
      <x:c r="H12" s="172"/>
    </x:row>
    <x:row r="13">
      <x:c r="A13" s="172"/>
      <x:c r="B13" s="172"/>
      <x:c r="C13" s="172"/>
      <x:c r="D13" s="172"/>
      <x:c r="E13" s="172"/>
      <x:c r="F13" s="172"/>
      <x:c r="G13" s="172"/>
      <x:c r="H13" s="172"/>
    </x:row>
    <x:row r="14">
      <x:c r="A14" s="172"/>
      <x:c r="B14" s="172"/>
      <x:c r="C14" s="172"/>
      <x:c r="D14" s="172"/>
      <x:c r="E14" s="172"/>
      <x:c r="F14" s="172"/>
      <x:c r="G14" s="172"/>
      <x:c r="H14" s="172"/>
    </x:row>
    <x:row r="15" ht="22" customHeight="1">
      <x:c r="A15" s="170" t="str">
        <x:v>OPEX mensal inicial</x:v>
      </x:c>
      <x:c r="B15" s="170"/>
      <x:c r="C15" s="170"/>
      <x:c r="D15" s="170"/>
      <x:c r="E15" s="170"/>
      <x:c r="F15" s="170"/>
      <x:c r="G15" s="170"/>
      <x:c r="H15" s="170"/>
    </x:row>
    <x:row r="16" ht="22" customHeight="1">
      <x:c r="A16" s="197" t="str">
        <x:v>Componente</x:v>
      </x:c>
      <x:c r="B16" s="198" t="str">
        <x:v>% do OPEX fixo</x:v>
      </x:c>
      <x:c r="C16" s="199" t="str">
        <x:v>Valor mensal</x:v>
      </x:c>
      <x:c r="D16" s="172"/>
      <x:c r="E16" s="172"/>
      <x:c r="F16" s="172"/>
      <x:c r="G16" s="172"/>
      <x:c r="H16" s="172"/>
    </x:row>
    <x:row r="17">
      <x:c r="A17" s="172" t="str">
        <x:v>Produto e tecnologia</x:v>
      </x:c>
      <x:c r="B17" s="211" t="n">
        <x:v>0.43</x:v>
      </x:c>
      <x:c r="C17" s="200" t="n">
        <x:f>'Premissas'!$B$8*B17</x:f>
        <x:v>79550</x:v>
      </x:c>
      <x:c r="D17" s="172"/>
      <x:c r="E17" s="172"/>
      <x:c r="F17" s="172"/>
      <x:c r="G17" s="172"/>
      <x:c r="H17" s="172"/>
    </x:row>
    <x:row r="18">
      <x:c r="A18" s="172" t="str">
        <x:v>Dados e infraestrutura</x:v>
      </x:c>
      <x:c r="B18" s="211" t="n">
        <x:v>0.14</x:v>
      </x:c>
      <x:c r="C18" s="200" t="n">
        <x:f>'Premissas'!$B$8*B18</x:f>
        <x:v>25900.000000000004</x:v>
      </x:c>
      <x:c r="D18" s="172"/>
      <x:c r="E18" s="172"/>
      <x:c r="F18" s="172"/>
      <x:c r="G18" s="172"/>
      <x:c r="H18" s="172"/>
    </x:row>
    <x:row r="19">
      <x:c r="A19" s="172" t="str">
        <x:v>Comercial e marketing</x:v>
      </x:c>
      <x:c r="B19" s="211" t="n">
        <x:v>0.19</x:v>
      </x:c>
      <x:c r="C19" s="200" t="n">
        <x:f>'Premissas'!$B$8*B19</x:f>
        <x:v>35150</x:v>
      </x:c>
      <x:c r="D19" s="172"/>
      <x:c r="E19" s="172"/>
      <x:c r="F19" s="172"/>
      <x:c r="G19" s="172"/>
      <x:c r="H19" s="172"/>
    </x:row>
    <x:row r="20">
      <x:c r="A20" s="172" t="str">
        <x:v>Customer Success e operações</x:v>
      </x:c>
      <x:c r="B20" s="211" t="n">
        <x:v>0.14</x:v>
      </x:c>
      <x:c r="C20" s="200" t="n">
        <x:f>'Premissas'!$B$8*B20</x:f>
        <x:v>25900.000000000004</x:v>
      </x:c>
      <x:c r="D20" s="172"/>
      <x:c r="E20" s="172"/>
      <x:c r="F20" s="172"/>
      <x:c r="G20" s="172"/>
      <x:c r="H20" s="172"/>
    </x:row>
    <x:row r="21">
      <x:c r="A21" s="172" t="str">
        <x:v>Administrativo, jurídico e contábil</x:v>
      </x:c>
      <x:c r="B21" s="211" t="n">
        <x:v>0.1</x:v>
      </x:c>
      <x:c r="C21" s="200" t="n">
        <x:f>'Premissas'!$B$8*B21</x:f>
        <x:v>18500</x:v>
      </x:c>
      <x:c r="D21" s="172"/>
      <x:c r="E21" s="172"/>
      <x:c r="F21" s="172"/>
      <x:c r="G21" s="172"/>
      <x:c r="H21" s="172"/>
    </x:row>
    <x:row r="22">
      <x:c r="A22" s="212" t="str">
        <x:v>Total OPEX fixo mensal</x:v>
      </x:c>
      <x:c r="B22" s="212"/>
      <x:c r="C22" s="213" t="n">
        <x:f>SUM(C17:C21)</x:f>
        <x:v>185000</x:v>
      </x:c>
      <x:c r="D22" s="172"/>
      <x:c r="E22" s="172"/>
      <x:c r="F22" s="172"/>
      <x:c r="G22" s="172"/>
      <x:c r="H22" s="172"/>
    </x:row>
    <x:row r="23">
      <x:c r="A23" s="172"/>
      <x:c r="B23" s="172"/>
      <x:c r="C23" s="172"/>
      <x:c r="D23" s="172"/>
      <x:c r="E23" s="172"/>
      <x:c r="F23" s="172"/>
      <x:c r="G23" s="172"/>
      <x:c r="H23" s="172"/>
    </x:row>
    <x:row r="24">
      <x:c r="A24" s="172"/>
      <x:c r="B24" s="172"/>
      <x:c r="C24" s="172"/>
      <x:c r="D24" s="172"/>
      <x:c r="E24" s="172"/>
      <x:c r="F24" s="172"/>
      <x:c r="G24" s="172"/>
      <x:c r="H24" s="172"/>
    </x:row>
    <x:row r="25" ht="22" customHeight="1">
      <x:c r="A25" s="170" t="str">
        <x:v>Amortização do software</x:v>
      </x:c>
      <x:c r="B25" s="170"/>
      <x:c r="C25" s="170"/>
      <x:c r="D25" s="170"/>
      <x:c r="E25" s="170"/>
      <x:c r="F25" s="170"/>
      <x:c r="G25" s="170"/>
      <x:c r="H25" s="170"/>
    </x:row>
    <x:row r="26" ht="22" customHeight="1">
      <x:c r="A26" s="197" t="str">
        <x:v>Ano</x:v>
      </x:c>
      <x:c r="B26" s="198" t="str">
        <x:v>Saldo inicial</x:v>
      </x:c>
      <x:c r="C26" s="199" t="str">
        <x:v>Amortização anual</x:v>
      </x:c>
      <x:c r="D26" s="172"/>
      <x:c r="E26" s="172"/>
      <x:c r="F26" s="172"/>
      <x:c r="G26" s="172"/>
      <x:c r="H26" s="172"/>
    </x:row>
    <x:row r="27">
      <x:c r="A27" s="172" t="n">
        <x:v>1</x:v>
      </x:c>
      <x:c r="B27" s="200" t="n">
        <x:f>'Premissas'!$B$6</x:f>
        <x:v>1200000</x:v>
      </x:c>
      <x:c r="C27" s="200" t="n">
        <x:f>'Premissas'!$B$6/'Premissas'!$B$7</x:f>
        <x:v>240000</x:v>
      </x:c>
      <x:c r="D27" s="172"/>
      <x:c r="E27" s="172"/>
      <x:c r="F27" s="172"/>
      <x:c r="G27" s="172"/>
      <x:c r="H27" s="172"/>
    </x:row>
    <x:row r="28">
      <x:c r="A28" s="172" t="n">
        <x:v>2</x:v>
      </x:c>
      <x:c r="B28" s="200" t="n">
        <x:f>MAX(0,B27-C27)</x:f>
        <x:v>960000</x:v>
      </x:c>
      <x:c r="C28" s="200" t="n">
        <x:f>'Premissas'!$B$6/'Premissas'!$B$7</x:f>
        <x:v>240000</x:v>
      </x:c>
      <x:c r="D28" s="172"/>
      <x:c r="E28" s="172"/>
      <x:c r="F28" s="172"/>
      <x:c r="G28" s="172"/>
      <x:c r="H28" s="172"/>
    </x:row>
    <x:row r="29">
      <x:c r="A29" s="172" t="n">
        <x:v>3</x:v>
      </x:c>
      <x:c r="B29" s="200" t="n">
        <x:f>MAX(0,B28-C28)</x:f>
        <x:v>720000</x:v>
      </x:c>
      <x:c r="C29" s="200" t="n">
        <x:f>'Premissas'!$B$6/'Premissas'!$B$7</x:f>
        <x:v>240000</x:v>
      </x:c>
      <x:c r="D29" s="172"/>
      <x:c r="E29" s="172"/>
      <x:c r="F29" s="172"/>
      <x:c r="G29" s="172"/>
      <x:c r="H29" s="172"/>
    </x:row>
    <x:row r="30">
      <x:c r="A30" s="172" t="n">
        <x:v>4</x:v>
      </x:c>
      <x:c r="B30" s="200" t="n">
        <x:f>MAX(0,B29-C29)</x:f>
        <x:v>480000</x:v>
      </x:c>
      <x:c r="C30" s="200" t="n">
        <x:f>'Premissas'!$B$6/'Premissas'!$B$7</x:f>
        <x:v>240000</x:v>
      </x:c>
      <x:c r="D30" s="172"/>
      <x:c r="E30" s="172"/>
      <x:c r="F30" s="172"/>
      <x:c r="G30" s="172"/>
      <x:c r="H30" s="172"/>
    </x:row>
    <x:row r="31">
      <x:c r="A31" s="172" t="n">
        <x:v>5</x:v>
      </x:c>
      <x:c r="B31" s="200" t="n">
        <x:f>MAX(0,B30-C30)</x:f>
        <x:v>240000</x:v>
      </x:c>
      <x:c r="C31" s="200" t="n">
        <x:f>'Premissas'!$B$6/'Premissas'!$B$7</x:f>
        <x:v>240000</x:v>
      </x:c>
      <x:c r="D31" s="172"/>
      <x:c r="E31" s="172"/>
      <x:c r="F31" s="172"/>
      <x:c r="G31" s="172"/>
      <x:c r="H31" s="172"/>
    </x:row>
  </x:sheetData>
  <x:mergeCells>
    <x:mergeCell ref="A1:H1"/>
    <x:mergeCell ref="A2:H2"/>
    <x:mergeCell ref="A4:H4"/>
    <x:mergeCell ref="A12:B12"/>
    <x:mergeCell ref="A15:H15"/>
    <x:mergeCell ref="A22:B22"/>
    <x:mergeCell ref="A25:H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29" hidden="0" customWidth="1"/>
    <x:col min="8" max="8" width="18" hidden="0" customWidth="1"/>
  </x:cols>
  <x:sheetData>
    <x:row r="1" ht="30" customHeight="1">
      <x:c r="A1" s="234" t="str">
        <x:v>HUB | Precificação e capacidade de pagamento</x:v>
      </x:c>
      <x:c r="B1" s="234"/>
      <x:c r="C1" s="234"/>
      <x:c r="D1" s="234"/>
      <x:c r="E1" s="234"/>
      <x:c r="F1" s="234"/>
      <x:c r="G1" s="234"/>
      <x:c r="H1" s="234"/>
    </x:row>
    <x:row r="2" ht="24" customHeight="1">
      <x:c r="A2" s="171" t="str">
        <x:v>Preço combina custo de servir, escopo e parcela do valor econômico gerado ou protegido.</x:v>
      </x:c>
      <x:c r="B2" s="171"/>
      <x:c r="C2" s="171"/>
      <x:c r="D2" s="171"/>
      <x:c r="E2" s="171"/>
      <x:c r="F2" s="171"/>
      <x:c r="G2" s="171"/>
      <x:c r="H2" s="171"/>
    </x:row>
    <x:row r="3">
      <x:c r="A3" s="172"/>
      <x:c r="B3" s="172"/>
      <x:c r="C3" s="172"/>
      <x:c r="D3" s="172"/>
      <x:c r="E3" s="172"/>
      <x:c r="F3" s="172"/>
      <x:c r="G3" s="172"/>
      <x:c r="H3" s="172"/>
    </x:row>
    <x:row r="4" ht="22" customHeight="1">
      <x:c r="A4" s="170" t="str">
        <x:v>Pacotes comerciais</x:v>
      </x:c>
      <x:c r="B4" s="170"/>
      <x:c r="C4" s="170"/>
      <x:c r="D4" s="170"/>
      <x:c r="E4" s="170"/>
      <x:c r="F4" s="170"/>
      <x:c r="G4" s="170"/>
      <x:c r="H4" s="170"/>
    </x:row>
    <x:row r="5" ht="22" customHeight="1">
      <x:c r="A5" s="197" t="str">
        <x:v>Plano</x:v>
      </x:c>
      <x:c r="B5" s="198" t="str">
        <x:v>Fee mensal</x:v>
      </x:c>
      <x:c r="C5" s="198" t="str">
        <x:v>Implantação</x:v>
      </x:c>
      <x:c r="D5" s="198" t="str">
        <x:v>Evento/projeto</x:v>
      </x:c>
      <x:c r="E5" s="198" t="str">
        <x:v>Success fee</x:v>
      </x:c>
      <x:c r="F5" s="198" t="str">
        <x:v>Público típico</x:v>
      </x:c>
      <x:c r="G5" s="199" t="str">
        <x:v>Âncora de valor</x:v>
      </x:c>
      <x:c r="H5" s="203"/>
    </x:row>
    <x:row r="6">
      <x:c r="A6" s="203" t="str">
        <x:v>Start</x:v>
      </x:c>
      <x:c r="B6" s="214" t="n">
        <x:v>4900</x:v>
      </x:c>
      <x:c r="C6" s="215" t="n">
        <x:v>15000</x:v>
      </x:c>
      <x:c r="D6" s="215" t="n">
        <x:v>9000</x:v>
      </x:c>
      <x:c r="E6" s="216" t="n">
        <x:v>0.02</x:v>
      </x:c>
      <x:c r="F6" s="203" t="str">
        <x:v>Empresa pequena / piloto</x:v>
      </x:c>
      <x:c r="G6" s="203" t="str">
        <x:v>1 frente + painel essencial</x:v>
      </x:c>
      <x:c r="H6" s="203"/>
    </x:row>
    <x:row r="7">
      <x:c r="A7" s="203" t="str">
        <x:v>Growth</x:v>
      </x:c>
      <x:c r="B7" s="217" t="n">
        <x:v>9900</x:v>
      </x:c>
      <x:c r="C7" s="218" t="n">
        <x:v>30000</x:v>
      </x:c>
      <x:c r="D7" s="218" t="n">
        <x:v>18000</x:v>
      </x:c>
      <x:c r="E7" s="219" t="n">
        <x:v>0.03</x:v>
      </x:c>
      <x:c r="F7" s="203" t="str">
        <x:v>Média empresa / portfólio</x:v>
      </x:c>
      <x:c r="G7" s="203" t="str">
        <x:v>Múltiplas frentes + inteligência</x:v>
      </x:c>
      <x:c r="H7" s="203"/>
    </x:row>
    <x:row r="8">
      <x:c r="A8" s="203" t="str">
        <x:v>Enterprise</x:v>
      </x:c>
      <x:c r="B8" s="220" t="n">
        <x:v>24900</x:v>
      </x:c>
      <x:c r="C8" s="221" t="n">
        <x:v>75000</x:v>
      </x:c>
      <x:c r="D8" s="221" t="n">
        <x:v>35000</x:v>
      </x:c>
      <x:c r="E8" s="222" t="n">
        <x:v>0.04</x:v>
      </x:c>
      <x:c r="F8" s="203" t="str">
        <x:v>Grande empresa / ecossistema</x:v>
      </x:c>
      <x:c r="G8" s="203" t="str">
        <x:v>Integrações, governança e dados</x:v>
      </x:c>
      <x:c r="H8" s="203"/>
    </x:row>
    <x:row r="9">
      <x:c r="A9" s="203"/>
      <x:c r="B9" s="203"/>
      <x:c r="C9" s="203"/>
      <x:c r="D9" s="203"/>
      <x:c r="E9" s="203"/>
      <x:c r="F9" s="203"/>
      <x:c r="G9" s="203"/>
      <x:c r="H9" s="203"/>
    </x:row>
    <x:row r="10">
      <x:c r="A10" s="203"/>
      <x:c r="B10" s="203"/>
      <x:c r="C10" s="203"/>
      <x:c r="D10" s="203"/>
      <x:c r="E10" s="203"/>
      <x:c r="F10" s="203"/>
      <x:c r="G10" s="203"/>
      <x:c r="H10" s="203"/>
    </x:row>
    <x:row r="11" ht="22" customHeight="1">
      <x:c r="A11" s="223" t="str">
        <x:v>Capacidade de pagamento por segmento</x:v>
      </x:c>
      <x:c r="B11" s="223"/>
      <x:c r="C11" s="223"/>
      <x:c r="D11" s="223"/>
      <x:c r="E11" s="223"/>
      <x:c r="F11" s="223"/>
      <x:c r="G11" s="223"/>
      <x:c r="H11" s="223"/>
    </x:row>
    <x:row r="12" ht="22" customHeight="1">
      <x:c r="A12" s="197" t="str">
        <x:v>Segmento</x:v>
      </x:c>
      <x:c r="B12" s="198" t="str">
        <x:v>Orçamento anual relacionado</x:v>
      </x:c>
      <x:c r="C12" s="198" t="str">
        <x:v>Valor gerado/protegido estimado</x:v>
      </x:c>
      <x:c r="D12" s="198" t="str">
        <x:v>Captura de valor máxima</x:v>
      </x:c>
      <x:c r="E12" s="198" t="str">
        <x:v>Teto anual</x:v>
      </x:c>
      <x:c r="F12" s="198" t="str">
        <x:v>Teto mensal</x:v>
      </x:c>
      <x:c r="G12" s="198" t="str">
        <x:v>Fee sugerido</x:v>
      </x:c>
      <x:c r="H12" s="199" t="str">
        <x:v>% do teto</x:v>
      </x:c>
    </x:row>
    <x:row r="13">
      <x:c r="A13" s="203" t="str">
        <x:v>Pequena empresa</x:v>
      </x:c>
      <x:c r="B13" s="214" t="n">
        <x:v>300000</x:v>
      </x:c>
      <x:c r="C13" s="215" t="n">
        <x:v>120000</x:v>
      </x:c>
      <x:c r="D13" s="216" t="n">
        <x:v>0.2</x:v>
      </x:c>
      <x:c r="E13" s="224" t="n">
        <x:f>MIN(B13*5%,C13*D13)</x:f>
        <x:v>15000</x:v>
      </x:c>
      <x:c r="F13" s="224" t="n">
        <x:f>E13/12</x:f>
        <x:v>1250</x:v>
      </x:c>
      <x:c r="G13" s="224" t="n">
        <x:f>F13*85%</x:f>
        <x:v>1062.5</x:v>
      </x:c>
      <x:c r="H13" s="225" t="n">
        <x:f>G13/F13</x:f>
        <x:v>0.85</x:v>
      </x:c>
    </x:row>
    <x:row r="14">
      <x:c r="A14" s="203" t="str">
        <x:v>Média empresa</x:v>
      </x:c>
      <x:c r="B14" s="217" t="n">
        <x:v>1200000</x:v>
      </x:c>
      <x:c r="C14" s="218" t="n">
        <x:v>500000</x:v>
      </x:c>
      <x:c r="D14" s="219" t="n">
        <x:v>0.2</x:v>
      </x:c>
      <x:c r="E14" s="224" t="n">
        <x:f>MIN(B14*5%,C14*D14)</x:f>
        <x:v>60000</x:v>
      </x:c>
      <x:c r="F14" s="224" t="n">
        <x:f>E14/12</x:f>
        <x:v>5000</x:v>
      </x:c>
      <x:c r="G14" s="224" t="n">
        <x:f>F14*85%</x:f>
        <x:v>4250</x:v>
      </x:c>
      <x:c r="H14" s="225" t="n">
        <x:f>G14/F14</x:f>
        <x:v>0.85</x:v>
      </x:c>
    </x:row>
    <x:row r="15">
      <x:c r="A15" s="203" t="str">
        <x:v>Grande empresa</x:v>
      </x:c>
      <x:c r="B15" s="217" t="n">
        <x:v>6000000</x:v>
      </x:c>
      <x:c r="C15" s="218" t="n">
        <x:v>2200000</x:v>
      </x:c>
      <x:c r="D15" s="219" t="n">
        <x:v>0.15</x:v>
      </x:c>
      <x:c r="E15" s="224" t="n">
        <x:f>MIN(B15*5%,C15*D15)</x:f>
        <x:v>300000</x:v>
      </x:c>
      <x:c r="F15" s="224" t="n">
        <x:f>E15/12</x:f>
        <x:v>25000</x:v>
      </x:c>
      <x:c r="G15" s="224" t="n">
        <x:f>F15*85%</x:f>
        <x:v>21250</x:v>
      </x:c>
      <x:c r="H15" s="225" t="n">
        <x:f>G15/F15</x:f>
        <x:v>0.85</x:v>
      </x:c>
    </x:row>
    <x:row r="16">
      <x:c r="A16" s="203" t="str">
        <x:v>Produtora / eventos</x:v>
      </x:c>
      <x:c r="B16" s="217" t="n">
        <x:v>3500000</x:v>
      </x:c>
      <x:c r="C16" s="218" t="n">
        <x:v>1400000</x:v>
      </x:c>
      <x:c r="D16" s="219" t="n">
        <x:v>0.18</x:v>
      </x:c>
      <x:c r="E16" s="224" t="n">
        <x:f>MIN(B16*5%,C16*D16)</x:f>
        <x:v>175000</x:v>
      </x:c>
      <x:c r="F16" s="224" t="n">
        <x:f>E16/12</x:f>
        <x:v>14583.333333333334</x:v>
      </x:c>
      <x:c r="G16" s="224" t="n">
        <x:f>F16*85%</x:f>
        <x:v>12395.833333333334</x:v>
      </x:c>
      <x:c r="H16" s="225" t="n">
        <x:f>G16/F16</x:f>
        <x:v>0.85</x:v>
      </x:c>
    </x:row>
    <x:row r="17">
      <x:c r="A17" s="203" t="str">
        <x:v>Universidade</x:v>
      </x:c>
      <x:c r="B17" s="220" t="n">
        <x:v>2500000</x:v>
      </x:c>
      <x:c r="C17" s="221" t="n">
        <x:v>900000</x:v>
      </x:c>
      <x:c r="D17" s="222" t="n">
        <x:v>0.15</x:v>
      </x:c>
      <x:c r="E17" s="224" t="n">
        <x:f>MIN(B17*5%,C17*D17)</x:f>
        <x:v>125000</x:v>
      </x:c>
      <x:c r="F17" s="224" t="n">
        <x:f>E17/12</x:f>
        <x:v>10416.666666666666</x:v>
      </x:c>
      <x:c r="G17" s="224" t="n">
        <x:f>F17*85%</x:f>
        <x:v>8854.166666666666</x:v>
      </x:c>
      <x:c r="H17" s="225" t="n">
        <x:f>G17/F17</x:f>
        <x:v>0.85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234" t="str">
        <x:v>HUB | Projeção financeira de 5 anos</x:v>
      </x:c>
      <x:c r="B1" s="234"/>
      <x:c r="C1" s="234"/>
      <x:c r="D1" s="234"/>
      <x:c r="E1" s="234"/>
      <x:c r="F1" s="234"/>
      <x:c r="G1" s="234"/>
      <x:c r="H1" s="234"/>
    </x:row>
    <x:row r="2" ht="24" customHeight="1">
      <x:c r="A2" s="171" t="str">
        <x:v>Cenário-base anual. Receita híbrida: assinatura + projetos/eventos + success fee.</x:v>
      </x:c>
      <x:c r="B2" s="171"/>
      <x:c r="C2" s="171"/>
      <x:c r="D2" s="171"/>
      <x:c r="E2" s="171"/>
      <x:c r="F2" s="171"/>
      <x:c r="G2" s="171"/>
      <x:c r="H2" s="171"/>
    </x:row>
    <x:row r="3">
      <x:c r="A3" s="172"/>
      <x:c r="B3" s="172"/>
      <x:c r="C3" s="172"/>
      <x:c r="D3" s="172"/>
      <x:c r="E3" s="172"/>
      <x:c r="F3" s="172"/>
      <x:c r="G3" s="172"/>
      <x:c r="H3" s="172"/>
    </x:row>
    <x:row r="4" ht="22" customHeight="1">
      <x:c r="A4" s="197" t="str">
        <x:v>R$ / indicadores</x:v>
      </x:c>
      <x:c r="B4" s="198" t="str">
        <x:v>Ano 1</x:v>
      </x:c>
      <x:c r="C4" s="198" t="str">
        <x:v>Ano 2</x:v>
      </x:c>
      <x:c r="D4" s="198" t="str">
        <x:v>Ano 3</x:v>
      </x:c>
      <x:c r="E4" s="198" t="str">
        <x:v>Ano 4</x:v>
      </x:c>
      <x:c r="F4" s="199" t="str">
        <x:v>Ano 5</x:v>
      </x:c>
      <x:c r="G4" s="172"/>
      <x:c r="H4" s="172"/>
    </x:row>
    <x:row r="5">
      <x:c r="A5" s="172" t="str">
        <x:v>Empresas médias ativas</x:v>
      </x:c>
      <x:c r="B5" s="201" t="n">
        <x:f>'Premissas'!$B$14</x:f>
        <x:v>24</x:v>
      </x:c>
      <x:c r="C5" s="201" t="n">
        <x:f>B5*(1+'Premissas'!$B$15)</x:f>
        <x:v>48</x:v>
      </x:c>
      <x:c r="D5" s="201" t="n">
        <x:f>C5*(1+'Premissas'!$B$16)</x:f>
        <x:v>84</x:v>
      </x:c>
      <x:c r="E5" s="201" t="n">
        <x:f>D5*(1+'Premissas'!$B$17)</x:f>
        <x:v>126</x:v>
      </x:c>
      <x:c r="F5" s="201" t="n">
        <x:f>E5*(1+'Premissas'!$B$18)</x:f>
        <x:v>170.10000000000002</x:v>
      </x:c>
      <x:c r="G5" s="172"/>
      <x:c r="H5" s="172"/>
    </x:row>
    <x:row r="6">
      <x:c r="A6" s="172" t="str">
        <x:v>Fee médio mensal</x:v>
      </x:c>
      <x:c r="B6" s="200" t="n">
        <x:f>'Premissas'!$B$10</x:f>
        <x:v>8900</x:v>
      </x:c>
      <x:c r="C6" s="200" t="n">
        <x:f>B6*(1+'Premissas'!$B$19)</x:f>
        <x:v>9434</x:v>
      </x:c>
      <x:c r="D6" s="200" t="n">
        <x:f>C6*(1+'Premissas'!$B$19)</x:f>
        <x:v>10000.04</x:v>
      </x:c>
      <x:c r="E6" s="200" t="n">
        <x:f>D6*(1+'Premissas'!$B$19)</x:f>
        <x:v>10600.042400000002</x:v>
      </x:c>
      <x:c r="F6" s="200" t="n">
        <x:f>E6*(1+'Premissas'!$B$19)</x:f>
        <x:v>11236.044944000003</x:v>
      </x:c>
      <x:c r="G6" s="172"/>
      <x:c r="H6" s="172"/>
    </x:row>
    <x:row r="7">
      <x:c r="A7" s="172" t="str">
        <x:v>Receita de assinatura</x:v>
      </x:c>
      <x:c r="B7" s="200" t="n">
        <x:f>B5*B6*12</x:f>
        <x:v>2563200</x:v>
      </x:c>
      <x:c r="C7" s="200" t="n">
        <x:f>C5*C6*12</x:f>
        <x:v>5433984</x:v>
      </x:c>
      <x:c r="D7" s="200" t="n">
        <x:f>D5*D6*12</x:f>
        <x:v>10080040.32</x:v>
      </x:c>
      <x:c r="E7" s="200" t="n">
        <x:f>E5*E6*12</x:f>
        <x:v>16027264.108800001</x:v>
      </x:c>
      <x:c r="F7" s="200" t="n">
        <x:f>F5*F6*12</x:f>
        <x:v>22935014.93969281</x:v>
      </x:c>
      <x:c r="G7" s="172"/>
      <x:c r="H7" s="172"/>
    </x:row>
    <x:row r="8">
      <x:c r="A8" s="172" t="str">
        <x:v>Receita de eventos/projetos</x:v>
      </x:c>
      <x:c r="B8" s="200" t="n">
        <x:f>B5*'Premissas'!$B$11*'Premissas'!$B$12</x:f>
        <x:v>864000</x:v>
      </x:c>
      <x:c r="C8" s="200" t="n">
        <x:f>C5*'Premissas'!$B$11*'Premissas'!$B$12</x:f>
        <x:v>1728000</x:v>
      </x:c>
      <x:c r="D8" s="200" t="n">
        <x:f>D5*'Premissas'!$B$11*'Premissas'!$B$12</x:f>
        <x:v>3024000</x:v>
      </x:c>
      <x:c r="E8" s="200" t="n">
        <x:f>E5*'Premissas'!$B$11*'Premissas'!$B$12</x:f>
        <x:v>4536000</x:v>
      </x:c>
      <x:c r="F8" s="200" t="n">
        <x:f>F5*'Premissas'!$B$11*'Premissas'!$B$12</x:f>
        <x:v>6123600.000000001</x:v>
      </x:c>
      <x:c r="G8" s="172"/>
      <x:c r="H8" s="172"/>
    </x:row>
    <x:row r="9">
      <x:c r="A9" s="172" t="str">
        <x:v>Success fees</x:v>
      </x:c>
      <x:c r="B9" s="200" t="n">
        <x:f>B5*'Premissas'!$B$13</x:f>
        <x:v>288000</x:v>
      </x:c>
      <x:c r="C9" s="200" t="n">
        <x:f>C5*'Premissas'!$B$13</x:f>
        <x:v>576000</x:v>
      </x:c>
      <x:c r="D9" s="200" t="n">
        <x:f>D5*'Premissas'!$B$13</x:f>
        <x:v>1008000</x:v>
      </x:c>
      <x:c r="E9" s="200" t="n">
        <x:f>E5*'Premissas'!$B$13</x:f>
        <x:v>1512000</x:v>
      </x:c>
      <x:c r="F9" s="200" t="n">
        <x:f>F5*'Premissas'!$B$13</x:f>
        <x:v>2041200.0000000002</x:v>
      </x:c>
      <x:c r="G9" s="172"/>
      <x:c r="H9" s="172"/>
    </x:row>
    <x:row r="10">
      <x:c r="A10" s="212" t="str">
        <x:v>Receita total</x:v>
      </x:c>
      <x:c r="B10" s="213" t="n">
        <x:f>SUM(B7:B9)</x:f>
        <x:v>3715200</x:v>
      </x:c>
      <x:c r="C10" s="213" t="n">
        <x:f>SUM(C7:C9)</x:f>
        <x:v>7737984</x:v>
      </x:c>
      <x:c r="D10" s="213" t="n">
        <x:f>SUM(D7:D9)</x:f>
        <x:v>14112040.32</x:v>
      </x:c>
      <x:c r="E10" s="213" t="n">
        <x:f>SUM(E7:E9)</x:f>
        <x:v>22075264.1088</x:v>
      </x:c>
      <x:c r="F10" s="213" t="n">
        <x:f>SUM(F7:F9)</x:f>
        <x:v>31099814.93969281</x:v>
      </x:c>
      <x:c r="G10" s="172"/>
      <x:c r="H10" s="172"/>
    </x:row>
    <x:row r="11">
      <x:c r="A11" s="172" t="str">
        <x:v>Custos variáveis</x:v>
      </x:c>
      <x:c r="B11" s="200" t="n">
        <x:f>B5*'Premissas'!$B$9*12</x:f>
        <x:v>244800</x:v>
      </x:c>
      <x:c r="C11" s="200" t="n">
        <x:f>C5*'Premissas'!$B$9*12</x:f>
        <x:v>489600</x:v>
      </x:c>
      <x:c r="D11" s="200" t="n">
        <x:f>D5*'Premissas'!$B$9*12</x:f>
        <x:v>856800</x:v>
      </x:c>
      <x:c r="E11" s="200" t="n">
        <x:f>E5*'Premissas'!$B$9*12</x:f>
        <x:v>1285200</x:v>
      </x:c>
      <x:c r="F11" s="200" t="n">
        <x:f>F5*'Premissas'!$B$9*12</x:f>
        <x:v>1735020.0000000005</x:v>
      </x:c>
      <x:c r="G11" s="172"/>
      <x:c r="H11" s="172"/>
    </x:row>
    <x:row r="12">
      <x:c r="A12" s="172" t="str">
        <x:v>Margem bruta</x:v>
      </x:c>
      <x:c r="B12" s="200" t="n">
        <x:f>B10-B11</x:f>
        <x:v>3470400</x:v>
      </x:c>
      <x:c r="C12" s="200" t="n">
        <x:f>C10-C11</x:f>
        <x:v>7248384</x:v>
      </x:c>
      <x:c r="D12" s="200" t="n">
        <x:f>D10-D11</x:f>
        <x:v>13255240.32</x:v>
      </x:c>
      <x:c r="E12" s="200" t="n">
        <x:f>E10-E11</x:f>
        <x:v>20790064.1088</x:v>
      </x:c>
      <x:c r="F12" s="200" t="n">
        <x:f>F10-F11</x:f>
        <x:v>29364794.93969281</x:v>
      </x:c>
      <x:c r="G12" s="172"/>
      <x:c r="H12" s="172"/>
    </x:row>
    <x:row r="13">
      <x:c r="A13" s="172" t="str">
        <x:v>Margem bruta %</x:v>
      </x:c>
      <x:c r="B13" s="211" t="n">
        <x:f>B12/B10</x:f>
        <x:v>0.9341085271317829</x:v>
      </x:c>
      <x:c r="C13" s="211" t="n">
        <x:f>C12/C10</x:f>
        <x:v>0.936727705821051</x:v>
      </x:c>
      <x:c r="D13" s="211" t="n">
        <x:f>D12/D10</x:f>
        <x:v>0.9392858877546064</x:v>
      </x:c>
      <x:c r="E13" s="211" t="n">
        <x:f>E12/E10</x:f>
        <x:v>0.9417809909921906</x:v>
      </x:c>
      <x:c r="F13" s="211" t="n">
        <x:f>F12/F10</x:f>
        <x:v>0.9442112435921415</x:v>
      </x:c>
      <x:c r="G13" s="172"/>
      <x:c r="H13" s="172"/>
    </x:row>
    <x:row r="14">
      <x:c r="A14" s="172" t="str">
        <x:v>OPEX fixo</x:v>
      </x:c>
      <x:c r="B14" s="200" t="n">
        <x:f>'Premissas'!$B$8*12</x:f>
        <x:v>2220000</x:v>
      </x:c>
      <x:c r="C14" s="200" t="n">
        <x:f>B14*(1+'Premissas'!$B$20)</x:f>
        <x:v>2664000</x:v>
      </x:c>
      <x:c r="D14" s="200" t="n">
        <x:f>C14*(1+'Premissas'!$B$20)</x:f>
        <x:v>3196800</x:v>
      </x:c>
      <x:c r="E14" s="200" t="n">
        <x:f>D14*(1+'Premissas'!$B$20)</x:f>
        <x:v>3836160</x:v>
      </x:c>
      <x:c r="F14" s="200" t="n">
        <x:f>E14*(1+'Premissas'!$B$20)</x:f>
        <x:v>4603392</x:v>
      </x:c>
      <x:c r="G14" s="172"/>
      <x:c r="H14" s="172"/>
    </x:row>
    <x:row r="15">
      <x:c r="A15" s="172" t="str">
        <x:v>CAC comercial</x:v>
      </x:c>
      <x:c r="B15" s="200" t="n">
        <x:f>B5*'Premissas'!$B$21</x:f>
        <x:v>672000</x:v>
      </x:c>
      <x:c r="C15" s="200" t="n">
        <x:f>C5*'Premissas'!$B$21</x:f>
        <x:v>1344000</x:v>
      </x:c>
      <x:c r="D15" s="200" t="n">
        <x:f>D5*'Premissas'!$B$21</x:f>
        <x:v>2352000</x:v>
      </x:c>
      <x:c r="E15" s="200" t="n">
        <x:f>E5*'Premissas'!$B$21</x:f>
        <x:v>3528000</x:v>
      </x:c>
      <x:c r="F15" s="200" t="n">
        <x:f>F5*'Premissas'!$B$21</x:f>
        <x:v>4762800.000000001</x:v>
      </x:c>
      <x:c r="G15" s="172"/>
      <x:c r="H15" s="172"/>
    </x:row>
    <x:row r="16">
      <x:c r="A16" s="226" t="str">
        <x:v>EBITDA</x:v>
      </x:c>
      <x:c r="B16" s="227" t="n">
        <x:f>B12-B14-B15</x:f>
        <x:v>578400</x:v>
      </x:c>
      <x:c r="C16" s="227" t="n">
        <x:f>C12-C14-C15</x:f>
        <x:v>3240384</x:v>
      </x:c>
      <x:c r="D16" s="227" t="n">
        <x:f>D12-D14-D15</x:f>
        <x:v>7706440.32</x:v>
      </x:c>
      <x:c r="E16" s="227" t="n">
        <x:f>E12-E14-E15</x:f>
        <x:v>13425904.108800001</x:v>
      </x:c>
      <x:c r="F16" s="227" t="n">
        <x:f>F12-F14-F15</x:f>
        <x:v>19998602.93969281</x:v>
      </x:c>
      <x:c r="G16" s="172"/>
      <x:c r="H16" s="172"/>
    </x:row>
    <x:row r="17">
      <x:c r="A17" s="226" t="str">
        <x:v>Margem EBITDA %</x:v>
      </x:c>
      <x:c r="B17" s="228" t="n">
        <x:f>B16/B10</x:f>
        <x:v>0.15568475452196381</x:v>
      </x:c>
      <x:c r="C17" s="228" t="n">
        <x:f>C16/C10</x:f>
        <x:v>0.41876333680710637</x:v>
      </x:c>
      <x:c r="D17" s="228" t="n">
        <x:f>D16/D10</x:f>
        <x:v>0.546089732260629</x:v>
      </x:c>
      <x:c r="E17" s="228" t="n">
        <x:f>E16/E10</x:f>
        <x:v>0.6081877001620084</x:v>
      </x:c>
      <x:c r="F17" s="228" t="n">
        <x:f>F16/F10</x:f>
        <x:v>0.6430457216055173</x:v>
      </x:c>
      <x:c r="G17" s="172"/>
      <x:c r="H17" s="172"/>
    </x:row>
    <x:row r="18">
      <x:c r="A18" s="172" t="str">
        <x:v>Amortização</x:v>
      </x:c>
      <x:c r="B18" s="200" t="n">
        <x:f>'Premissas'!$B$6/'Premissas'!$B$7</x:f>
        <x:v>240000</x:v>
      </x:c>
      <x:c r="C18" s="200" t="n">
        <x:f>'Premissas'!$B$6/'Premissas'!$B$7</x:f>
        <x:v>240000</x:v>
      </x:c>
      <x:c r="D18" s="200" t="n">
        <x:f>'Premissas'!$B$6/'Premissas'!$B$7</x:f>
        <x:v>240000</x:v>
      </x:c>
      <x:c r="E18" s="200" t="n">
        <x:f>'Premissas'!$B$6/'Premissas'!$B$7</x:f>
        <x:v>240000</x:v>
      </x:c>
      <x:c r="F18" s="200" t="n">
        <x:f>'Premissas'!$B$6/'Premissas'!$B$7</x:f>
        <x:v>240000</x:v>
      </x:c>
      <x:c r="G18" s="172"/>
      <x:c r="H18" s="172"/>
    </x:row>
    <x:row r="19">
      <x:c r="A19" s="172" t="str">
        <x:v>EBIT</x:v>
      </x:c>
      <x:c r="B19" s="200" t="n">
        <x:f>B16-B18</x:f>
        <x:v>338400</x:v>
      </x:c>
      <x:c r="C19" s="200" t="n">
        <x:f>C16-C18</x:f>
        <x:v>3000384</x:v>
      </x:c>
      <x:c r="D19" s="200" t="n">
        <x:f>D16-D18</x:f>
        <x:v>7466440.32</x:v>
      </x:c>
      <x:c r="E19" s="200" t="n">
        <x:f>E16-E18</x:f>
        <x:v>13185904.108800001</x:v>
      </x:c>
      <x:c r="F19" s="200" t="n">
        <x:f>F16-F18</x:f>
        <x:v>19758602.93969281</x:v>
      </x:c>
      <x:c r="G19" s="172"/>
      <x:c r="H19" s="172"/>
    </x:row>
    <x:row r="20">
      <x:c r="A20" s="172" t="str">
        <x:v>Fluxo de caixa operacional</x:v>
      </x:c>
      <x:c r="B20" s="200" t="n">
        <x:f>B16</x:f>
        <x:v>578400</x:v>
      </x:c>
      <x:c r="C20" s="200" t="n">
        <x:f>C16</x:f>
        <x:v>3240384</x:v>
      </x:c>
      <x:c r="D20" s="200" t="n">
        <x:f>D16</x:f>
        <x:v>7706440.32</x:v>
      </x:c>
      <x:c r="E20" s="200" t="n">
        <x:f>E16</x:f>
        <x:v>13425904.108800001</x:v>
      </x:c>
      <x:c r="F20" s="200" t="n">
        <x:f>F16</x:f>
        <x:v>19998602.93969281</x:v>
      </x:c>
      <x:c r="G20" s="172"/>
      <x:c r="H20" s="172"/>
    </x:row>
    <x:row r="21">
      <x:c r="A21" s="172" t="str">
        <x:v>Fluxo acumulado</x:v>
      </x:c>
      <x:c r="B21" s="200" t="n">
        <x:f>B20</x:f>
        <x:v>578400</x:v>
      </x:c>
      <x:c r="C21" s="200" t="n">
        <x:f>B21+C20</x:f>
        <x:v>3818784</x:v>
      </x:c>
      <x:c r="D21" s="200" t="n">
        <x:f>C21+D20</x:f>
        <x:v>11525224.32</x:v>
      </x:c>
      <x:c r="E21" s="200" t="n">
        <x:f>D21+E20</x:f>
        <x:v>24951128.4288</x:v>
      </x:c>
      <x:c r="F21" s="200" t="n">
        <x:f>E21+F20</x:f>
        <x:v>44949731.36849281</x:v>
      </x:c>
      <x:c r="G21" s="172"/>
      <x:c r="H21" s="17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40" hidden="0" customWidth="1"/>
    <x:col min="4" max="4" width="56" hidden="0" customWidth="1"/>
  </x:cols>
  <x:sheetData>
    <x:row r="1" ht="30" customHeight="1">
      <x:c r="A1" s="234" t="str">
        <x:v>HUB | Unit economics e retorno do investidor</x:v>
      </x:c>
      <x:c r="B1" s="234"/>
      <x:c r="C1" s="234"/>
      <x:c r="D1" s="234"/>
      <x:c r="E1" s="234"/>
      <x:c r="F1" s="234"/>
      <x:c r="G1" s="234"/>
      <x:c r="H1" s="234"/>
    </x:row>
    <x:row r="2" ht="24" customHeight="1">
      <x:c r="A2" s="171" t="str">
        <x:v>Indicadores para testar escalabilidade, eficiência comercial e atratividade da rodada.</x:v>
      </x:c>
      <x:c r="B2" s="171"/>
      <x:c r="C2" s="171"/>
      <x:c r="D2" s="171"/>
      <x:c r="E2" s="171"/>
      <x:c r="F2" s="171"/>
      <x:c r="G2" s="171"/>
      <x:c r="H2" s="171"/>
    </x:row>
    <x:row r="3">
      <x:c r="A3" s="172"/>
      <x:c r="B3" s="172"/>
      <x:c r="C3" s="172"/>
      <x:c r="D3" s="172"/>
      <x:c r="E3" s="172"/>
      <x:c r="F3" s="172"/>
      <x:c r="G3" s="172"/>
      <x:c r="H3" s="172"/>
    </x:row>
    <x:row r="4" ht="22" customHeight="1">
      <x:c r="A4" s="197" t="str">
        <x:v>Indicador</x:v>
      </x:c>
      <x:c r="B4" s="198" t="str">
        <x:v>Resultado</x:v>
      </x:c>
      <x:c r="C4" s="198" t="str">
        <x:v>Referência / leitura</x:v>
      </x:c>
      <x:c r="D4" s="199" t="str">
        <x:v>Fórmula</x:v>
      </x:c>
      <x:c r="E4" s="172"/>
      <x:c r="F4" s="172"/>
      <x:c r="G4" s="172"/>
      <x:c r="H4" s="172"/>
    </x:row>
    <x:row r="5">
      <x:c r="A5" s="203" t="str">
        <x:v>ARR por empresa</x:v>
      </x:c>
      <x:c r="B5" s="224" t="n">
        <x:f>'Premissas'!$B$10*12+'Premissas'!$B$11*'Premissas'!$B$12+'Premissas'!$B$13</x:f>
        <x:v>154800</x:v>
      </x:c>
      <x:c r="C5" s="203" t="str">
        <x:v>Receita recorrente + projetos + success fee</x:v>
      </x:c>
      <x:c r="D5" s="203" t="str">
        <x:v>='Premissas'!$B$10*12+'Premissas'!$B$11*'Premissas'!$B$12+'Premissas'!$B$13</x:v>
      </x:c>
      <x:c r="E5" s="172"/>
      <x:c r="F5" s="172"/>
      <x:c r="G5" s="172"/>
      <x:c r="H5" s="172"/>
    </x:row>
    <x:row r="6">
      <x:c r="A6" s="203" t="str">
        <x:v>Margem de contribuição por empresa</x:v>
      </x:c>
      <x:c r="B6" s="224" t="n">
        <x:f>B5-'Premissas'!$B$9*12</x:f>
        <x:v>144600</x:v>
      </x:c>
      <x:c r="C6" s="203" t="str">
        <x:v>Após custo variável anual</x:v>
      </x:c>
      <x:c r="D6" s="203" t="str">
        <x:v>=B5-'Premissas'!$B$9*12</x:v>
      </x:c>
      <x:c r="E6" s="172"/>
      <x:c r="F6" s="172"/>
      <x:c r="G6" s="172"/>
      <x:c r="H6" s="172"/>
    </x:row>
    <x:row r="7">
      <x:c r="A7" s="203" t="str">
        <x:v>CAC</x:v>
      </x:c>
      <x:c r="B7" s="224" t="n">
        <x:f>'Premissas'!$B$21</x:f>
        <x:v>28000</x:v>
      </x:c>
      <x:c r="C7" s="203" t="str">
        <x:v>Custo para adquirir uma empresa</x:v>
      </x:c>
      <x:c r="D7" s="203" t="str">
        <x:v>='Premissas'!$B$21</x:v>
      </x:c>
      <x:c r="E7" s="172"/>
      <x:c r="F7" s="172"/>
      <x:c r="G7" s="172"/>
      <x:c r="H7" s="172"/>
    </x:row>
    <x:row r="8">
      <x:c r="A8" s="203" t="str">
        <x:v>Payback do CAC (meses)</x:v>
      </x:c>
      <x:c r="B8" s="229" t="n">
        <x:f>B7/(B6/12)</x:f>
        <x:v>2.323651452282158</x:v>
      </x:c>
      <x:c r="C8" s="203" t="str">
        <x:v>Preferencialmente &lt;12–18 meses</x:v>
      </x:c>
      <x:c r="D8" s="203" t="str">
        <x:v>=B7/(B6/12)</x:v>
      </x:c>
      <x:c r="E8" s="172"/>
      <x:c r="F8" s="172"/>
      <x:c r="G8" s="172"/>
      <x:c r="H8" s="172"/>
    </x:row>
    <x:row r="9">
      <x:c r="A9" s="203" t="str">
        <x:v>Churn anual</x:v>
      </x:c>
      <x:c r="B9" s="225" t="n">
        <x:f>'Premissas'!$B$23</x:f>
        <x:v>0.1</x:v>
      </x:c>
      <x:c r="C9" s="203" t="str">
        <x:v>Premissa editável</x:v>
      </x:c>
      <x:c r="D9" s="203" t="str">
        <x:v>='Premissas'!$B$23</x:v>
      </x:c>
      <x:c r="E9" s="172"/>
      <x:c r="F9" s="172"/>
      <x:c r="G9" s="172"/>
      <x:c r="H9" s="172"/>
    </x:row>
    <x:row r="10">
      <x:c r="A10" s="203" t="str">
        <x:v>LTV (contribuição)</x:v>
      </x:c>
      <x:c r="B10" s="224" t="n">
        <x:f>B6/B9</x:f>
        <x:v>1446000</x:v>
      </x:c>
      <x:c r="C10" s="203" t="str">
        <x:v>Contribuição ao longo da vida esperada</x:v>
      </x:c>
      <x:c r="D10" s="203" t="str">
        <x:v>=B6/B9</x:v>
      </x:c>
      <x:c r="E10" s="172"/>
      <x:c r="F10" s="172"/>
      <x:c r="G10" s="172"/>
      <x:c r="H10" s="172"/>
    </x:row>
    <x:row r="11">
      <x:c r="A11" s="203" t="str">
        <x:v>LTV/CAC</x:v>
      </x:c>
      <x:c r="B11" s="230" t="n">
        <x:f>B10/B7</x:f>
        <x:v>51.642857142857146</x:v>
      </x:c>
      <x:c r="C11" s="203" t="str">
        <x:v>Desejável &gt;3x em SaaS maduro</x:v>
      </x:c>
      <x:c r="D11" s="203" t="str">
        <x:v>=B10/B7</x:v>
      </x:c>
      <x:c r="E11" s="172"/>
      <x:c r="F11" s="172"/>
      <x:c r="G11" s="172"/>
      <x:c r="H11" s="172"/>
    </x:row>
    <x:row r="12">
      <x:c r="A12" s="203" t="str">
        <x:v>Break-even: empresas ativas</x:v>
      </x:c>
      <x:c r="B12" s="229" t="n">
        <x:f>('Premissas'!$B$8*12)/(B6)</x:f>
        <x:v>15.352697095435685</x:v>
      </x:c>
      <x:c r="C12" s="203" t="str">
        <x:v>Quantidade aproximada para cobrir OPEX</x:v>
      </x:c>
      <x:c r="D12" s="203" t="str">
        <x:v>=('Premissas'!$B$8*12)/(B6)</x:v>
      </x:c>
      <x:c r="E12" s="172"/>
      <x:c r="F12" s="172"/>
      <x:c r="G12" s="172"/>
      <x:c r="H12" s="172"/>
    </x:row>
    <x:row r="13">
      <x:c r="A13" s="203" t="str">
        <x:v>ARR Ano 5</x:v>
      </x:c>
      <x:c r="B13" s="224" t="n">
        <x:f>'Projecao_5_Anos'!$F$7</x:f>
        <x:v>22935014.93969281</x:v>
      </x:c>
      <x:c r="C13" s="203" t="str">
        <x:v>Receita recorrente anual no Ano 5</x:v>
      </x:c>
      <x:c r="D13" s="203" t="str">
        <x:v>='Projecao_5_Anos'!$F$7</x:v>
      </x:c>
      <x:c r="E13" s="172"/>
      <x:c r="F13" s="172"/>
      <x:c r="G13" s="172"/>
      <x:c r="H13" s="172"/>
    </x:row>
    <x:row r="14">
      <x:c r="A14" s="203" t="str">
        <x:v>Valor de saída (EV)</x:v>
      </x:c>
      <x:c r="B14" s="224" t="n">
        <x:f>B13*'Premissas'!$B$27</x:f>
        <x:v>114675074.69846405</x:v>
      </x:c>
      <x:c r="C14" s="203" t="str">
        <x:v>Múltiplo ilustrativo, não valuation formal</x:v>
      </x:c>
      <x:c r="D14" s="203" t="str">
        <x:v>=B13*'Premissas'!$B$27</x:v>
      </x:c>
      <x:c r="E14" s="172"/>
      <x:c r="F14" s="172"/>
      <x:c r="G14" s="172"/>
      <x:c r="H14" s="172"/>
    </x:row>
    <x:row r="15">
      <x:c r="A15" s="203" t="str">
        <x:v>Participação do investidor</x:v>
      </x:c>
      <x:c r="B15" s="225" t="n">
        <x:f>'Premissas'!$B$26</x:f>
        <x:v>0.2</x:v>
      </x:c>
      <x:c r="C15" s="203" t="str">
        <x:v>Equity ilustrativo</x:v>
      </x:c>
      <x:c r="D15" s="203" t="str">
        <x:v>='Premissas'!$B$26</x:v>
      </x:c>
      <x:c r="E15" s="172"/>
      <x:c r="F15" s="172"/>
      <x:c r="G15" s="172"/>
      <x:c r="H15" s="172"/>
    </x:row>
    <x:row r="16">
      <x:c r="A16" s="203" t="str">
        <x:v>Valor da participação na saída</x:v>
      </x:c>
      <x:c r="B16" s="224" t="n">
        <x:f>B14*B15</x:f>
        <x:v>22935014.93969281</x:v>
      </x:c>
      <x:c r="C16" s="203" t="str">
        <x:v>Valor bruto antes de diluição/impostos</x:v>
      </x:c>
      <x:c r="D16" s="203" t="str">
        <x:v>=B14*B15</x:v>
      </x:c>
      <x:c r="E16" s="172"/>
      <x:c r="F16" s="172"/>
      <x:c r="G16" s="172"/>
      <x:c r="H16" s="172"/>
    </x:row>
    <x:row r="17">
      <x:c r="A17" s="203" t="str">
        <x:v>MOIC bruto</x:v>
      </x:c>
      <x:c r="B17" s="230" t="n">
        <x:f>B16/'Premissas'!$B$25</x:f>
        <x:v>9.174005975877124</x:v>
      </x:c>
      <x:c r="C17" s="203" t="str">
        <x:v>Retorno bruto sobre o cheque</x:v>
      </x:c>
      <x:c r="D17" s="203" t="str">
        <x:v>=B16/'Premissas'!$B$25</x:v>
      </x:c>
      <x:c r="E17" s="172"/>
      <x:c r="F17" s="172"/>
      <x:c r="G17" s="172"/>
      <x:c r="H17" s="172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34" t="str">
        <x:v>HUB | Sensibilidade de receita recorrente anual</x:v>
      </x:c>
      <x:c r="B1" s="234"/>
      <x:c r="C1" s="234"/>
      <x:c r="D1" s="234"/>
      <x:c r="E1" s="234"/>
      <x:c r="F1" s="234"/>
      <x:c r="G1" s="234"/>
      <x:c r="H1" s="234"/>
    </x:row>
    <x:row r="2" ht="24" customHeight="1">
      <x:c r="A2" s="171" t="str">
        <x:v>ARR calculado por quantidade de empresas e fee mensal.</x:v>
      </x:c>
      <x:c r="B2" s="171"/>
      <x:c r="C2" s="171"/>
      <x:c r="D2" s="171"/>
      <x:c r="E2" s="171"/>
      <x:c r="F2" s="171"/>
      <x:c r="G2" s="171"/>
      <x:c r="H2" s="171"/>
    </x:row>
    <x:row r="3">
      <x:c r="A3" s="172"/>
      <x:c r="B3" s="172"/>
      <x:c r="C3" s="172"/>
      <x:c r="D3" s="172"/>
      <x:c r="E3" s="172"/>
      <x:c r="F3" s="172"/>
      <x:c r="G3" s="172"/>
      <x:c r="H3" s="172"/>
    </x:row>
    <x:row r="4" ht="22" customHeight="1">
      <x:c r="A4" s="197" t="str">
        <x:v>Empresas / Fee</x:v>
      </x:c>
      <x:c r="B4" s="231" t="n">
        <x:v>4900</x:v>
      </x:c>
      <x:c r="C4" s="231" t="n">
        <x:v>8900</x:v>
      </x:c>
      <x:c r="D4" s="231" t="n">
        <x:v>12900</x:v>
      </x:c>
      <x:c r="E4" s="231" t="n">
        <x:v>17900</x:v>
      </x:c>
      <x:c r="F4" s="232" t="n">
        <x:v>24900</x:v>
      </x:c>
      <x:c r="G4" s="172"/>
      <x:c r="H4" s="172"/>
    </x:row>
    <x:row r="5">
      <x:c r="A5" s="172" t="n">
        <x:v>25</x:v>
      </x:c>
      <x:c r="B5" s="200" t="n">
        <x:f>$A5*B$4*12</x:f>
        <x:v>1470000</x:v>
      </x:c>
      <x:c r="C5" s="200" t="n">
        <x:f>$A5*C$4*12</x:f>
        <x:v>2670000</x:v>
      </x:c>
      <x:c r="D5" s="200" t="n">
        <x:f>$A5*D$4*12</x:f>
        <x:v>3870000</x:v>
      </x:c>
      <x:c r="E5" s="200" t="n">
        <x:f>$A5*E$4*12</x:f>
        <x:v>5370000</x:v>
      </x:c>
      <x:c r="F5" s="200" t="n">
        <x:f>$A5*F$4*12</x:f>
        <x:v>7470000</x:v>
      </x:c>
      <x:c r="G5" s="172"/>
      <x:c r="H5" s="172"/>
    </x:row>
    <x:row r="6">
      <x:c r="A6" s="172" t="n">
        <x:v>50</x:v>
      </x:c>
      <x:c r="B6" s="200" t="n">
        <x:f>$A6*B$4*12</x:f>
        <x:v>2940000</x:v>
      </x:c>
      <x:c r="C6" s="200" t="n">
        <x:f>$A6*C$4*12</x:f>
        <x:v>5340000</x:v>
      </x:c>
      <x:c r="D6" s="200" t="n">
        <x:f>$A6*D$4*12</x:f>
        <x:v>7740000</x:v>
      </x:c>
      <x:c r="E6" s="200" t="n">
        <x:f>$A6*E$4*12</x:f>
        <x:v>10740000</x:v>
      </x:c>
      <x:c r="F6" s="200" t="n">
        <x:f>$A6*F$4*12</x:f>
        <x:v>14940000</x:v>
      </x:c>
      <x:c r="G6" s="172"/>
      <x:c r="H6" s="172"/>
    </x:row>
    <x:row r="7">
      <x:c r="A7" s="172" t="n">
        <x:v>100</x:v>
      </x:c>
      <x:c r="B7" s="200" t="n">
        <x:f>$A7*B$4*12</x:f>
        <x:v>5880000</x:v>
      </x:c>
      <x:c r="C7" s="200" t="n">
        <x:f>$A7*C$4*12</x:f>
        <x:v>10680000</x:v>
      </x:c>
      <x:c r="D7" s="200" t="n">
        <x:f>$A7*D$4*12</x:f>
        <x:v>15480000</x:v>
      </x:c>
      <x:c r="E7" s="200" t="n">
        <x:f>$A7*E$4*12</x:f>
        <x:v>21480000</x:v>
      </x:c>
      <x:c r="F7" s="200" t="n">
        <x:f>$A7*F$4*12</x:f>
        <x:v>29880000</x:v>
      </x:c>
      <x:c r="G7" s="172"/>
      <x:c r="H7" s="172"/>
    </x:row>
    <x:row r="8">
      <x:c r="A8" s="172" t="n">
        <x:v>200</x:v>
      </x:c>
      <x:c r="B8" s="200" t="n">
        <x:f>$A8*B$4*12</x:f>
        <x:v>11760000</x:v>
      </x:c>
      <x:c r="C8" s="200" t="n">
        <x:f>$A8*C$4*12</x:f>
        <x:v>21360000</x:v>
      </x:c>
      <x:c r="D8" s="200" t="n">
        <x:f>$A8*D$4*12</x:f>
        <x:v>30960000</x:v>
      </x:c>
      <x:c r="E8" s="200" t="n">
        <x:f>$A8*E$4*12</x:f>
        <x:v>42960000</x:v>
      </x:c>
      <x:c r="F8" s="200" t="n">
        <x:f>$A8*F$4*12</x:f>
        <x:v>59760000</x:v>
      </x:c>
      <x:c r="G8" s="172"/>
      <x:c r="H8" s="172"/>
    </x:row>
    <x:row r="9">
      <x:c r="A9" s="172" t="n">
        <x:v>350</x:v>
      </x:c>
      <x:c r="B9" s="200" t="n">
        <x:f>$A9*B$4*12</x:f>
        <x:v>20580000</x:v>
      </x:c>
      <x:c r="C9" s="200" t="n">
        <x:f>$A9*C$4*12</x:f>
        <x:v>37380000</x:v>
      </x:c>
      <x:c r="D9" s="200" t="n">
        <x:f>$A9*D$4*12</x:f>
        <x:v>54180000</x:v>
      </x:c>
      <x:c r="E9" s="200" t="n">
        <x:f>$A9*E$4*12</x:f>
        <x:v>75180000</x:v>
      </x:c>
      <x:c r="F9" s="200" t="n">
        <x:f>$A9*F$4*12</x:f>
        <x:v>104580000</x:v>
      </x:c>
      <x:c r="G9" s="172"/>
      <x:c r="H9" s="172"/>
    </x:row>
    <x:row r="10">
      <x:c r="A10" s="172" t="n">
        <x:v>500</x:v>
      </x:c>
      <x:c r="B10" s="200" t="n">
        <x:f>$A10*B$4*12</x:f>
        <x:v>29400000</x:v>
      </x:c>
      <x:c r="C10" s="200" t="n">
        <x:f>$A10*C$4*12</x:f>
        <x:v>53400000</x:v>
      </x:c>
      <x:c r="D10" s="200" t="n">
        <x:f>$A10*D$4*12</x:f>
        <x:v>77400000</x:v>
      </x:c>
      <x:c r="E10" s="200" t="n">
        <x:f>$A10*E$4*12</x:f>
        <x:v>107400000</x:v>
      </x:c>
      <x:c r="F10" s="200" t="n">
        <x:f>$A10*F$4*12</x:f>
        <x:v>149400000</x:v>
      </x:c>
      <x:c r="G10" s="172"/>
      <x:c r="H10" s="172"/>
    </x:row>
    <x:row r="11">
      <x:c r="A11" s="172"/>
      <x:c r="B11" s="172"/>
      <x:c r="C11" s="172"/>
      <x:c r="D11" s="172"/>
      <x:c r="E11" s="172"/>
      <x:c r="F11" s="172"/>
      <x:c r="G11" s="172"/>
      <x:c r="H11" s="172"/>
    </x:row>
    <x:row r="12">
      <x:c r="A12" s="172"/>
      <x:c r="B12" s="172"/>
      <x:c r="C12" s="172"/>
      <x:c r="D12" s="172"/>
      <x:c r="E12" s="172"/>
      <x:c r="F12" s="172"/>
      <x:c r="G12" s="172"/>
      <x:c r="H12" s="172"/>
    </x:row>
    <x:row r="13" ht="22" customHeight="1">
      <x:c r="A13" s="170" t="str">
        <x:v>EBITDA anual aproximado após custo variável e OPEX do Ano 1</x:v>
      </x:c>
      <x:c r="B13" s="170"/>
      <x:c r="C13" s="170"/>
      <x:c r="D13" s="170"/>
      <x:c r="E13" s="170"/>
      <x:c r="F13" s="170"/>
      <x:c r="G13" s="172"/>
      <x:c r="H13" s="172"/>
    </x:row>
    <x:row r="14" ht="22" customHeight="1">
      <x:c r="A14" s="197" t="str">
        <x:v>Empresas / Fee</x:v>
      </x:c>
      <x:c r="B14" s="231" t="n">
        <x:v>4900</x:v>
      </x:c>
      <x:c r="C14" s="231" t="n">
        <x:v>8900</x:v>
      </x:c>
      <x:c r="D14" s="231" t="n">
        <x:v>12900</x:v>
      </x:c>
      <x:c r="E14" s="231" t="n">
        <x:v>17900</x:v>
      </x:c>
      <x:c r="F14" s="232" t="n">
        <x:v>24900</x:v>
      </x:c>
      <x:c r="G14" s="172"/>
      <x:c r="H14" s="172"/>
    </x:row>
    <x:row r="15">
      <x:c r="A15" s="172" t="n">
        <x:v>25</x:v>
      </x:c>
      <x:c r="B15" s="200" t="n">
        <x:f>$A15*(B$14-'Premissas'!$B$9)*12-'Premissas'!$B$8*12</x:f>
        <x:v>-1005000</x:v>
      </x:c>
      <x:c r="C15" s="200" t="n">
        <x:f>$A15*(C$14-'Premissas'!$B$9)*12-'Premissas'!$B$8*12</x:f>
        <x:v>195000</x:v>
      </x:c>
      <x:c r="D15" s="200" t="n">
        <x:f>$A15*(D$14-'Premissas'!$B$9)*12-'Premissas'!$B$8*12</x:f>
        <x:v>1395000</x:v>
      </x:c>
      <x:c r="E15" s="200" t="n">
        <x:f>$A15*(E$14-'Premissas'!$B$9)*12-'Premissas'!$B$8*12</x:f>
        <x:v>2895000</x:v>
      </x:c>
      <x:c r="F15" s="200" t="n">
        <x:f>$A15*(F$14-'Premissas'!$B$9)*12-'Premissas'!$B$8*12</x:f>
        <x:v>4995000</x:v>
      </x:c>
      <x:c r="G15" s="172"/>
      <x:c r="H15" s="172"/>
    </x:row>
    <x:row r="16">
      <x:c r="A16" s="172" t="n">
        <x:v>50</x:v>
      </x:c>
      <x:c r="B16" s="200" t="n">
        <x:f>$A16*(B$14-'Premissas'!$B$9)*12-'Premissas'!$B$8*12</x:f>
        <x:v>210000</x:v>
      </x:c>
      <x:c r="C16" s="200" t="n">
        <x:f>$A16*(C$14-'Premissas'!$B$9)*12-'Premissas'!$B$8*12</x:f>
        <x:v>2610000</x:v>
      </x:c>
      <x:c r="D16" s="200" t="n">
        <x:f>$A16*(D$14-'Premissas'!$B$9)*12-'Premissas'!$B$8*12</x:f>
        <x:v>5010000</x:v>
      </x:c>
      <x:c r="E16" s="200" t="n">
        <x:f>$A16*(E$14-'Premissas'!$B$9)*12-'Premissas'!$B$8*12</x:f>
        <x:v>8010000</x:v>
      </x:c>
      <x:c r="F16" s="200" t="n">
        <x:f>$A16*(F$14-'Premissas'!$B$9)*12-'Premissas'!$B$8*12</x:f>
        <x:v>12210000</x:v>
      </x:c>
      <x:c r="G16" s="172"/>
      <x:c r="H16" s="172"/>
    </x:row>
    <x:row r="17">
      <x:c r="A17" s="172" t="n">
        <x:v>100</x:v>
      </x:c>
      <x:c r="B17" s="200" t="n">
        <x:f>$A17*(B$14-'Premissas'!$B$9)*12-'Premissas'!$B$8*12</x:f>
        <x:v>2640000</x:v>
      </x:c>
      <x:c r="C17" s="200" t="n">
        <x:f>$A17*(C$14-'Premissas'!$B$9)*12-'Premissas'!$B$8*12</x:f>
        <x:v>7440000</x:v>
      </x:c>
      <x:c r="D17" s="200" t="n">
        <x:f>$A17*(D$14-'Premissas'!$B$9)*12-'Premissas'!$B$8*12</x:f>
        <x:v>12240000</x:v>
      </x:c>
      <x:c r="E17" s="200" t="n">
        <x:f>$A17*(E$14-'Premissas'!$B$9)*12-'Premissas'!$B$8*12</x:f>
        <x:v>18240000</x:v>
      </x:c>
      <x:c r="F17" s="200" t="n">
        <x:f>$A17*(F$14-'Premissas'!$B$9)*12-'Premissas'!$B$8*12</x:f>
        <x:v>26640000</x:v>
      </x:c>
      <x:c r="G17" s="172"/>
      <x:c r="H17" s="172"/>
    </x:row>
    <x:row r="18">
      <x:c r="A18" s="172" t="n">
        <x:v>200</x:v>
      </x:c>
      <x:c r="B18" s="200" t="n">
        <x:f>$A18*(B$14-'Premissas'!$B$9)*12-'Premissas'!$B$8*12</x:f>
        <x:v>7500000</x:v>
      </x:c>
      <x:c r="C18" s="200" t="n">
        <x:f>$A18*(C$14-'Premissas'!$B$9)*12-'Premissas'!$B$8*12</x:f>
        <x:v>17100000</x:v>
      </x:c>
      <x:c r="D18" s="200" t="n">
        <x:f>$A18*(D$14-'Premissas'!$B$9)*12-'Premissas'!$B$8*12</x:f>
        <x:v>26700000</x:v>
      </x:c>
      <x:c r="E18" s="200" t="n">
        <x:f>$A18*(E$14-'Premissas'!$B$9)*12-'Premissas'!$B$8*12</x:f>
        <x:v>38700000</x:v>
      </x:c>
      <x:c r="F18" s="200" t="n">
        <x:f>$A18*(F$14-'Premissas'!$B$9)*12-'Premissas'!$B$8*12</x:f>
        <x:v>55500000</x:v>
      </x:c>
      <x:c r="G18" s="172"/>
      <x:c r="H18" s="172"/>
    </x:row>
    <x:row r="19">
      <x:c r="A19" s="172" t="n">
        <x:v>350</x:v>
      </x:c>
      <x:c r="B19" s="200" t="n">
        <x:f>$A19*(B$14-'Premissas'!$B$9)*12-'Premissas'!$B$8*12</x:f>
        <x:v>14790000</x:v>
      </x:c>
      <x:c r="C19" s="200" t="n">
        <x:f>$A19*(C$14-'Premissas'!$B$9)*12-'Premissas'!$B$8*12</x:f>
        <x:v>31590000</x:v>
      </x:c>
      <x:c r="D19" s="200" t="n">
        <x:f>$A19*(D$14-'Premissas'!$B$9)*12-'Premissas'!$B$8*12</x:f>
        <x:v>48390000</x:v>
      </x:c>
      <x:c r="E19" s="200" t="n">
        <x:f>$A19*(E$14-'Premissas'!$B$9)*12-'Premissas'!$B$8*12</x:f>
        <x:v>69390000</x:v>
      </x:c>
      <x:c r="F19" s="200" t="n">
        <x:f>$A19*(F$14-'Premissas'!$B$9)*12-'Premissas'!$B$8*12</x:f>
        <x:v>98790000</x:v>
      </x:c>
      <x:c r="G19" s="172"/>
      <x:c r="H19" s="172"/>
    </x:row>
    <x:row r="20">
      <x:c r="A20" s="172" t="n">
        <x:v>500</x:v>
      </x:c>
      <x:c r="B20" s="200" t="n">
        <x:f>$A20*(B$14-'Premissas'!$B$9)*12-'Premissas'!$B$8*12</x:f>
        <x:v>22080000</x:v>
      </x:c>
      <x:c r="C20" s="200" t="n">
        <x:f>$A20*(C$14-'Premissas'!$B$9)*12-'Premissas'!$B$8*12</x:f>
        <x:v>46080000</x:v>
      </x:c>
      <x:c r="D20" s="200" t="n">
        <x:f>$A20*(D$14-'Premissas'!$B$9)*12-'Premissas'!$B$8*12</x:f>
        <x:v>70080000</x:v>
      </x:c>
      <x:c r="E20" s="200" t="n">
        <x:f>$A20*(E$14-'Premissas'!$B$9)*12-'Premissas'!$B$8*12</x:f>
        <x:v>100080000</x:v>
      </x:c>
      <x:c r="F20" s="200" t="n">
        <x:f>$A20*(F$14-'Premissas'!$B$9)*12-'Premissas'!$B$8*12</x:f>
        <x:v>142080000</x:v>
      </x:c>
      <x:c r="G20" s="172"/>
      <x:c r="H20" s="172"/>
    </x:row>
  </x:sheetData>
  <x:mergeCells>
    <x:mergeCell ref="A1:H1"/>
    <x:mergeCell ref="A2:H2"/>
    <x:mergeCell ref="A13:F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</x:cols>
  <x:sheetData>
    <x:row r="1" ht="30" customHeight="1">
      <x:c r="A1" s="234" t="str">
        <x:v>HUB | Checks e controles</x:v>
      </x:c>
      <x:c r="B1" s="234"/>
      <x:c r="C1" s="234"/>
      <x:c r="D1" s="234"/>
      <x:c r="E1" s="234"/>
      <x:c r="F1" s="234"/>
      <x:c r="G1" s="234"/>
      <x:c r="H1" s="234"/>
    </x:row>
    <x:row r="2" ht="24" customHeight="1">
      <x:c r="A2" s="171" t="str">
        <x:v>PASS indica coerência matemática básica; não substitui validação comercial, jurídica, tributária ou diligência.</x:v>
      </x:c>
      <x:c r="B2" s="171"/>
      <x:c r="C2" s="171"/>
      <x:c r="D2" s="171"/>
      <x:c r="E2" s="171"/>
      <x:c r="F2" s="171"/>
      <x:c r="G2" s="171"/>
      <x:c r="H2" s="171"/>
    </x:row>
    <x:row r="3">
      <x:c r="A3" s="172"/>
      <x:c r="B3" s="172"/>
      <x:c r="C3" s="172"/>
      <x:c r="D3" s="172"/>
      <x:c r="E3" s="172"/>
      <x:c r="F3" s="172"/>
      <x:c r="G3" s="172"/>
      <x:c r="H3" s="172"/>
    </x:row>
    <x:row r="4" ht="22" customHeight="1">
      <x:c r="A4" s="197" t="str">
        <x:v>Check</x:v>
      </x:c>
      <x:c r="B4" s="198" t="str">
        <x:v>Atual</x:v>
      </x:c>
      <x:c r="C4" s="198" t="str">
        <x:v>Esperado</x:v>
      </x:c>
      <x:c r="D4" s="198" t="str">
        <x:v>Diferença</x:v>
      </x:c>
      <x:c r="E4" s="198" t="str">
        <x:v>Tolerância</x:v>
      </x:c>
      <x:c r="F4" s="198" t="str">
        <x:v>Status</x:v>
      </x:c>
      <x:c r="G4" s="199" t="str">
        <x:v>Onde corrigir</x:v>
      </x:c>
      <x:c r="H4" s="172"/>
    </x:row>
    <x:row r="5">
      <x:c r="A5" s="172" t="str">
        <x:v>CAPEX fecha com premissa</x:v>
      </x:c>
      <x:c r="B5" s="233" t="n">
        <x:f>'CAPEX_OPEX'!$C$12</x:f>
        <x:v>1200000</x:v>
      </x:c>
      <x:c r="C5" s="233" t="n">
        <x:f>'Premissas'!$B$6</x:f>
        <x:v>1200000</x:v>
      </x:c>
      <x:c r="D5" s="233" t="n">
        <x:f>B5-C5</x:f>
        <x:v>0</x:v>
      </x:c>
      <x:c r="E5" s="233" t="n">
        <x:v>1</x:v>
      </x:c>
      <x:c r="F5" s="172" t="str">
        <x:f>IF(ABS(D5)&lt;=E5,"OK","REVISAR")</x:f>
        <x:v>OK</x:v>
      </x:c>
      <x:c r="G5" s="172" t="str">
        <x:v>CAPEX_OPEX / Premissas</x:v>
      </x:c>
      <x:c r="H5" s="172"/>
    </x:row>
    <x:row r="6">
      <x:c r="A6" s="172" t="str">
        <x:v>OPEX mensal fecha com premissa</x:v>
      </x:c>
      <x:c r="B6" s="233" t="n">
        <x:f>'CAPEX_OPEX'!$C$22</x:f>
        <x:v>185000</x:v>
      </x:c>
      <x:c r="C6" s="233" t="n">
        <x:f>'Premissas'!$B$8</x:f>
        <x:v>185000</x:v>
      </x:c>
      <x:c r="D6" s="233" t="n">
        <x:f>B6-C6</x:f>
        <x:v>0</x:v>
      </x:c>
      <x:c r="E6" s="233" t="n">
        <x:v>1</x:v>
      </x:c>
      <x:c r="F6" s="172" t="str">
        <x:f>IF(ABS(D6)&lt;=E6,"OK","REVISAR")</x:f>
        <x:v>OK</x:v>
      </x:c>
      <x:c r="G6" s="172" t="str">
        <x:v>CAPEX_OPEX / Premissas</x:v>
      </x:c>
      <x:c r="H6" s="172"/>
    </x:row>
    <x:row r="7">
      <x:c r="A7" s="172" t="str">
        <x:v>Receita total A1 soma componentes</x:v>
      </x:c>
      <x:c r="B7" s="233" t="n">
        <x:f>'Projecao_5_Anos'!$B$10</x:f>
        <x:v>3715200</x:v>
      </x:c>
      <x:c r="C7" s="233" t="n">
        <x:f>SUM('Projecao_5_Anos'!$B$7:$B$9)</x:f>
        <x:v>3715200</x:v>
      </x:c>
      <x:c r="D7" s="233" t="n">
        <x:f>B7-C7</x:f>
        <x:v>0</x:v>
      </x:c>
      <x:c r="E7" s="233" t="n">
        <x:v>1</x:v>
      </x:c>
      <x:c r="F7" s="172" t="str">
        <x:f>IF(ABS(D7)&lt;=E7,"OK","REVISAR")</x:f>
        <x:v>OK</x:v>
      </x:c>
      <x:c r="G7" s="172" t="str">
        <x:v>Projecao_5_Anos</x:v>
      </x:c>
      <x:c r="H7" s="172"/>
    </x:row>
    <x:row r="8">
      <x:c r="A8" s="172" t="str">
        <x:v>Margem bruta entre 0% e 100%</x:v>
      </x:c>
      <x:c r="B8" s="233" t="n">
        <x:f>'Projecao_5_Anos'!$B$13</x:f>
        <x:v>0.9341085271317829</x:v>
      </x:c>
      <x:c r="C8" s="233" t="n">
        <x:f>1</x:f>
        <x:v>1</x:v>
      </x:c>
      <x:c r="D8" s="233" t="n">
        <x:f>MAX(0,B8-C8)</x:f>
        <x:v>0</x:v>
      </x:c>
      <x:c r="E8" s="233" t="n">
        <x:v>0</x:v>
      </x:c>
      <x:c r="F8" s="172" t="str">
        <x:f>IF(AND(B8&gt;=0,B8&lt;=C8),"OK","REVISAR")</x:f>
        <x:v>OK</x:v>
      </x:c>
      <x:c r="G8" s="172" t="str">
        <x:v>Projecao_5_Anos</x:v>
      </x:c>
      <x:c r="H8" s="172"/>
    </x:row>
    <x:row r="9">
      <x:c r="A9" s="172" t="str">
        <x:v>LTV/CAC positivo</x:v>
      </x:c>
      <x:c r="B9" s="233" t="n">
        <x:f>'Unit_Economics'!$B$11</x:f>
        <x:v>51.642857142857146</x:v>
      </x:c>
      <x:c r="C9" s="233" t="n">
        <x:f>0</x:f>
        <x:v>0</x:v>
      </x:c>
      <x:c r="D9" s="233" t="n">
        <x:f>B9-C9</x:f>
        <x:v>51.642857142857146</x:v>
      </x:c>
      <x:c r="E9" s="233" t="n">
        <x:v>0</x:v>
      </x:c>
      <x:c r="F9" s="172" t="str">
        <x:f>IF(B9&gt;0,"OK","REVISAR")</x:f>
        <x:v>OK</x:v>
      </x:c>
      <x:c r="G9" s="172" t="str">
        <x:v>Unit_Economics</x:v>
      </x:c>
      <x:c r="H9" s="172"/>
    </x:row>
    <x:row r="10">
      <x:c r="A10" s="172"/>
      <x:c r="B10" s="172"/>
      <x:c r="C10" s="172"/>
      <x:c r="D10" s="172"/>
      <x:c r="E10" s="172"/>
      <x:c r="F10" s="172"/>
      <x:c r="G10" s="172"/>
      <x:c r="H10" s="172"/>
    </x:row>
    <x:row r="11">
      <x:c r="A11" s="172"/>
      <x:c r="B11" s="172"/>
      <x:c r="C11" s="172"/>
      <x:c r="D11" s="172"/>
      <x:c r="E11" s="172"/>
      <x:c r="F11" s="172"/>
      <x:c r="G11" s="172"/>
      <x:c r="H11" s="172"/>
    </x:row>
    <x:row r="12" ht="26" customHeight="1">
      <x:c r="A12" s="170" t="str">
        <x:v>MODEL STATUS</x:v>
      </x:c>
      <x:c r="B12" s="170"/>
      <x:c r="C12" s="170" t="str">
        <x:f>IF(COUNTIF(F5:F9,"REVISAR")=0,"PASS","FAIL")</x:f>
        <x:v>PASS</x:v>
      </x:c>
      <x:c r="D12" s="170"/>
      <x:c r="E12" s="170"/>
      <x:c r="F12" s="170"/>
      <x:c r="G12" s="170"/>
      <x:c r="H12" s="172"/>
    </x:row>
  </x:sheetData>
  <x:mergeCells>
    <x:mergeCell ref="A1:H1"/>
    <x:mergeCell ref="A2:H2"/>
    <x:mergeCell ref="A12:B12"/>
    <x:mergeCell ref="C12:G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5" hidden="0" customWidth="1"/>
    <x:col min="4" max="4" width="52" hidden="0" customWidth="1"/>
    <x:col min="5" max="5" width="14" hidden="0" customWidth="1"/>
    <x:col min="6" max="6" width="38" hidden="0" customWidth="1"/>
  </x:cols>
  <x:sheetData>
    <x:row r="1" ht="30" customHeight="1">
      <x:c r="A1" s="234" t="str">
        <x:v>HUB | Benchmarks adjacentes e fontes</x:v>
      </x:c>
      <x:c r="B1" s="234"/>
      <x:c r="C1" s="234"/>
      <x:c r="D1" s="234"/>
      <x:c r="E1" s="234"/>
      <x:c r="F1" s="234"/>
      <x:c r="G1" s="234"/>
      <x:c r="H1" s="234"/>
    </x:row>
    <x:row r="2" ht="24" customHeight="1">
      <x:c r="A2" s="171" t="str">
        <x:v>Não existe benchmark único comparável ao HUB; use referências por categoria e valide preço com entrevistas e pilotos.</x:v>
      </x:c>
      <x:c r="B2" s="171"/>
      <x:c r="C2" s="171"/>
      <x:c r="D2" s="171"/>
      <x:c r="E2" s="171"/>
      <x:c r="F2" s="171"/>
      <x:c r="G2" s="171"/>
      <x:c r="H2" s="171"/>
    </x:row>
    <x:row r="3">
      <x:c r="A3" s="172"/>
      <x:c r="B3" s="172"/>
      <x:c r="C3" s="172"/>
      <x:c r="D3" s="172"/>
      <x:c r="E3" s="172"/>
      <x:c r="F3" s="172"/>
      <x:c r="G3" s="172"/>
      <x:c r="H3" s="172"/>
    </x:row>
    <x:row r="4" ht="22" customHeight="1">
      <x:c r="A4" s="197" t="str">
        <x:v>Categoria</x:v>
      </x:c>
      <x:c r="B4" s="198" t="str">
        <x:v>Referência</x:v>
      </x:c>
      <x:c r="C4" s="198" t="str">
        <x:v>Como usar</x:v>
      </x:c>
      <x:c r="D4" s="198" t="str">
        <x:v>URL</x:v>
      </x:c>
      <x:c r="E4" s="198" t="str">
        <x:v>Acesso</x:v>
      </x:c>
      <x:c r="F4" s="199" t="str">
        <x:v>Observação</x:v>
      </x:c>
      <x:c r="G4" s="172"/>
      <x:c r="H4" s="172"/>
    </x:row>
    <x:row r="5">
      <x:c r="A5" s="203" t="str">
        <x:v>SaaS metrics</x:v>
      </x:c>
      <x:c r="B5" s="203" t="str">
        <x:v>Bessemer — State of the Cloud</x:v>
      </x:c>
      <x:c r="C5" s="203" t="str">
        <x:v>Leitura de métricas e crescimento SaaS</x:v>
      </x:c>
      <x:c r="D5" s="203" t="str">
        <x:v>https://www.bvp.com/atlas/state-of-the-cloud</x:v>
      </x:c>
      <x:c r="E5" s="203" t="str">
        <x:v>2026-08-20</x:v>
      </x:c>
      <x:c r="F5" s="203" t="str">
        <x:v>Referência de mercado, não comparável direto</x:v>
      </x:c>
      <x:c r="G5" s="172"/>
      <x:c r="H5" s="172"/>
    </x:row>
    <x:row r="6">
      <x:c r="A6" s="203" t="str">
        <x:v>SaaS metrics</x:v>
      </x:c>
      <x:c r="B6" s="203" t="str">
        <x:v>KeyBanc SaaS Survey</x:v>
      </x:c>
      <x:c r="C6" s="203" t="str">
        <x:v>Margem, CAC, churn e eficiência</x:v>
      </x:c>
      <x:c r="D6" s="203" t="str">
        <x:v>https://www.key.com/businesses-institutions/industry-expertise/technology.html</x:v>
      </x:c>
      <x:c r="E6" s="203" t="str">
        <x:v>2026-08-20</x:v>
      </x:c>
      <x:c r="F6" s="203" t="str">
        <x:v>Use faixas, não um único número</x:v>
      </x:c>
      <x:c r="G6" s="172"/>
      <x:c r="H6" s="172"/>
    </x:row>
    <x:row r="7">
      <x:c r="A7" s="203" t="str">
        <x:v>Pesquisa</x:v>
      </x:c>
      <x:c r="B7" s="203" t="str">
        <x:v>Qualtrics</x:v>
      </x:c>
      <x:c r="C7" s="203" t="str">
        <x:v>Benchmark de plataforma de experiência</x:v>
      </x:c>
      <x:c r="D7" s="203" t="str">
        <x:v>https://www.qualtrics.com/pricing/</x:v>
      </x:c>
      <x:c r="E7" s="203" t="str">
        <x:v>2026-08-20</x:v>
      </x:c>
      <x:c r="F7" s="203" t="str">
        <x:v>Preço frequentemente sob consulta</x:v>
      </x:c>
      <x:c r="G7" s="172"/>
      <x:c r="H7" s="172"/>
    </x:row>
    <x:row r="8">
      <x:c r="A8" s="203" t="str">
        <x:v>Eventos</x:v>
      </x:c>
      <x:c r="B8" s="203" t="str">
        <x:v>Cvent</x:v>
      </x:c>
      <x:c r="C8" s="203" t="str">
        <x:v>Benchmark de tecnologia para eventos</x:v>
      </x:c>
      <x:c r="D8" s="203" t="str">
        <x:v>https://www.cvent.com/en/pricing</x:v>
      </x:c>
      <x:c r="E8" s="203" t="str">
        <x:v>2026-08-20</x:v>
      </x:c>
      <x:c r="F8" s="203" t="str">
        <x:v>Escopo e preço variam por módulo</x:v>
      </x:c>
      <x:c r="G8" s="172"/>
      <x:c r="H8" s="172"/>
    </x:row>
    <x:row r="9">
      <x:c r="A9" s="203" t="str">
        <x:v>Recrutamento</x:v>
      </x:c>
      <x:c r="B9" s="203" t="str">
        <x:v>LinkedIn Talent Solutions</x:v>
      </x:c>
      <x:c r="C9" s="203" t="str">
        <x:v>Benchmark adjacente para aquisição de talentos</x:v>
      </x:c>
      <x:c r="D9" s="203" t="str">
        <x:v>https://business.linkedin.com/talent-solutions</x:v>
      </x:c>
      <x:c r="E9" s="203" t="str">
        <x:v>2026-08-20</x:v>
      </x:c>
      <x:c r="F9" s="203" t="str">
        <x:v>Não inclui todas as frentes do HUB</x:v>
      </x:c>
      <x:c r="G9" s="172"/>
      <x:c r="H9" s="172"/>
    </x:row>
    <x:row r="10">
      <x:c r="A10" s="203" t="str">
        <x:v>BI</x:v>
      </x:c>
      <x:c r="B10" s="203" t="str">
        <x:v>Microsoft Power BI</x:v>
      </x:c>
      <x:c r="C10" s="203" t="str">
        <x:v>Benchmark adjacente de analytics</x:v>
      </x:c>
      <x:c r="D10" s="203" t="str">
        <x:v>https://www.microsoft.com/en-us/power-platform/products/power-bi/pricing</x:v>
      </x:c>
      <x:c r="E10" s="203" t="str">
        <x:v>2026-08-20</x:v>
      </x:c>
      <x:c r="F10" s="203" t="str">
        <x:v>Preço por usuário/capacidade</x:v>
      </x:c>
      <x:c r="G10" s="172"/>
      <x:c r="H10" s="172"/>
    </x:row>
    <x:row r="11">
      <x:c r="A11" s="203" t="str">
        <x:v>Pagamentos</x:v>
      </x:c>
      <x:c r="B11" s="203" t="str">
        <x:v>Stripe</x:v>
      </x:c>
      <x:c r="C11" s="203" t="str">
        <x:v>Benchmark de take rate transacional</x:v>
      </x:c>
      <x:c r="D11" s="203" t="str">
        <x:v>https://stripe.com/br/pricing</x:v>
      </x:c>
      <x:c r="E11" s="203" t="str">
        <x:v>2026-08-20</x:v>
      </x:c>
      <x:c r="F11" s="203" t="str">
        <x:v>Útil para lógica de success fee</x:v>
      </x:c>
      <x:c r="G11" s="172"/>
      <x:c r="H11" s="172"/>
    </x:row>
  </x:sheetData>
  <x:mergeCells>
    <x:mergeCell ref="A1:H1"/>
    <x:mergeCell ref="A2:H2"/>
  </x:mergeCells>
  <x:pageMargins left="0.7" right="0.7" top="0.75" bottom="0.75" header="0.3" footer="0.3"/>
</x:worksheet>
</file>