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e15aea863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Visao_Geral" sheetId="1" r:id="Rbb714d3f3ed84c6b"/>
    <x:sheet xmlns:r="http://schemas.openxmlformats.org/officeDocument/2006/relationships" name="02_Inventario_Paginas" sheetId="2" r:id="Red813c7cf9114de6"/>
    <x:sheet xmlns:r="http://schemas.openxmlformats.org/officeDocument/2006/relationships" name="03_Resumo_Modulos" sheetId="3" r:id="R6c135726d634416a"/>
    <x:sheet xmlns:r="http://schemas.openxmlformats.org/officeDocument/2006/relationships" name="04_Matriz_Integracoes" sheetId="4" r:id="Re4dd875675a74bf9"/>
    <x:sheet xmlns:r="http://schemas.openxmlformats.org/officeDocument/2006/relationships" name="05_Fluxos_Diretos" sheetId="5" r:id="R2a7deeae877c44b9"/>
    <x:sheet xmlns:r="http://schemas.openxmlformats.org/officeDocument/2006/relationships" name="06_Cenarios_Implantacao" sheetId="6" r:id="R1144b4458c7e4ae1"/>
    <x:sheet xmlns:r="http://schemas.openxmlformats.org/officeDocument/2006/relationships" name="07_Base_Para_Precificacao" sheetId="7" r:id="Rf2967047c5724dd5"/>
    <x:sheet xmlns:r="http://schemas.openxmlformats.org/officeDocument/2006/relationships" name="08_Premissas_Custos" sheetId="8" r:id="Reb7f266f82a646c1"/>
    <x:sheet xmlns:r="http://schemas.openxmlformats.org/officeDocument/2006/relationships" name="09_Estimativa_96_Telas" sheetId="9" r:id="R784173c376cd4f21"/>
    <x:sheet xmlns:r="http://schemas.openxmlformats.org/officeDocument/2006/relationships" name="10_CAPEX_por_Modulo" sheetId="10" r:id="R1484727674634427"/>
    <x:sheet xmlns:r="http://schemas.openxmlformats.org/officeDocument/2006/relationships" name="11_OPEX_Mensal" sheetId="11" r:id="Rd0f1f303c7d543ab"/>
    <x:sheet xmlns:r="http://schemas.openxmlformats.org/officeDocument/2006/relationships" name="12_Dashboard_Custos" sheetId="12" r:id="Re383b8f32683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x"/>
    <x:numFmt numFmtId="201" formatCode="0.0%"/>
    <x:numFmt numFmtId="202" formatCode="R$ #,##0;[Red](R$ #,##0);-"/>
    <x:numFmt numFmtId="203" formatCode="0%"/>
    <x:numFmt numFmtId="204" formatCode="#,##0;[Red](#,##0);-"/>
    <x:numFmt numFmtId="205" formatCode="0"/>
  </x:numFmts>
  <x:fonts count="12">
    <x:font>
      <x:sz val="11"/>
      <x:name val="Carlito"/>
    </x:font>
    <x:font>
      <x:b/>
      <x:sz val="20"/>
      <x:color rgb="FFFFFFFF"/>
      <x:name val="Carlito"/>
    </x:font>
    <x:font>
      <x:i/>
      <x:sz val="11"/>
      <x:color rgb="FF063747"/>
      <x:name val="Carlito"/>
    </x:font>
    <x:font>
      <x:b/>
      <x:sz val="11"/>
      <x:color rgb="FFFFFFFF"/>
      <x:name val="Carlito"/>
    </x:font>
    <x:font>
      <x:sz val="11"/>
      <x:color rgb="FF063747"/>
      <x:name val="Carlito"/>
    </x:font>
    <x:font>
      <x:sz val="11"/>
      <x:color rgb="FF0000FF"/>
      <x:name val="Carlito"/>
    </x:font>
    <x:font>
      <x:b/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b/>
      <x:sz val="11"/>
      <x:color rgb="FF063747"/>
      <x:name val="Carlito"/>
    </x:font>
    <x:font>
      <x:b/>
      <x:sz val="14"/>
      <x:color rgb="FF063747"/>
      <x:name val="Carlito"/>
    </x:font>
    <x:font>
      <x:b/>
      <x:sz val="16"/>
      <x:color rgb="FF063747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63747"/>
      </x:patternFill>
    </x:fill>
    <x:fill>
      <x:patternFill patternType="solid">
        <x:fgColor rgb="FFF7F4EC"/>
      </x:patternFill>
    </x:fill>
    <x:fill>
      <x:patternFill patternType="solid">
        <x:fgColor rgb="FF073E32"/>
      </x:patternFill>
    </x:fill>
    <x:fill>
      <x:patternFill patternType="solid">
        <x:fgColor rgb="FFEEF2EA"/>
      </x:patternFill>
    </x:fill>
    <x:fill>
      <x:patternFill patternType="solid">
        <x:fgColor rgb="FF063747"/>
      </x:patternFill>
    </x:fill>
    <x:fill>
      <x:patternFill patternType="solid">
        <x:fgColor rgb="FFF7F4EC"/>
      </x:patternFill>
    </x:fill>
    <x:fill>
      <x:patternFill patternType="solid">
        <x:fgColor rgb="FF073E32"/>
      </x:patternFill>
    </x:fill>
    <x:fill>
      <x:patternFill patternType="solid">
        <x:fgColor rgb="FFEEF2EA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5" fillId="0" borderId="0" xfId="0" applyNumberFormat="1" applyFont="1" applyFill="1" applyBorder="1"/>
    <x:xf numFmtId="0" fontId="6" fillId="8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1" fontId="6" fillId="8" borderId="0" xfId="0" applyNumberFormat="1" applyFont="1" applyFill="1" applyBorder="1"/>
    <x:xf numFmtId="202" fontId="5" fillId="0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201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201" fontId="6" fillId="8" borderId="0" xfId="0" applyNumberFormat="1" applyFont="1" applyFill="1" applyBorder="1" applyAlignment="1">
      <x:alignment wrapText="1"/>
    </x:xf>
    <x:xf numFmtId="202" fontId="5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203" fontId="5" fillId="0" borderId="0" xfId="0" applyNumberFormat="1" applyFont="1" applyFill="1" applyBorder="1"/>
    <x:xf numFmtId="200" fontId="7" fillId="0" borderId="0" xfId="0" applyNumberFormat="1" applyFont="1" applyFill="1" applyBorder="1"/>
    <x:xf numFmtId="204" fontId="7" fillId="0" borderId="0" xfId="0" applyNumberFormat="1" applyFont="1" applyFill="1" applyBorder="1"/>
    <x:xf numFmtId="204" fontId="8" fillId="0" borderId="0" xfId="0" applyNumberFormat="1" applyFont="1" applyFill="1" applyBorder="1"/>
    <x:xf numFmtId="202" fontId="8" fillId="0" borderId="0" xfId="0" applyNumberFormat="1" applyFont="1" applyFill="1" applyBorder="1"/>
    <x:xf numFmtId="203" fontId="5" fillId="0" borderId="0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wrapText="1"/>
    </x:xf>
    <x:xf numFmtId="204" fontId="7" fillId="0" borderId="0" xfId="0" applyNumberFormat="1" applyFont="1" applyFill="1" applyBorder="1" applyAlignment="1">
      <x:alignment wrapText="1"/>
    </x:xf>
    <x:xf numFmtId="204" fontId="8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1" fontId="8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201" fontId="8" fillId="0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202" fontId="9" fillId="9" borderId="0" xfId="0" applyNumberFormat="1" applyFont="1" applyFill="1" applyBorder="1"/>
    <x:xf numFmtId="0" fontId="5" fillId="10" borderId="0" xfId="0" applyNumberFormat="1" applyFont="1" applyFill="1" applyBorder="1"/>
    <x:xf numFmtId="202" fontId="7" fillId="0" borderId="0" xfId="0" applyNumberFormat="1" applyFont="1" applyFill="1" applyBorder="1"/>
    <x:xf numFmtId="203" fontId="5" fillId="10" borderId="0" xfId="0" applyNumberFormat="1" applyFont="1" applyFill="1" applyBorder="1"/>
    <x:xf numFmtId="203" fontId="8" fillId="0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wrapText="1"/>
    </x:xf>
    <x:xf numFmtId="202" fontId="10" fillId="9" borderId="0" xfId="0" applyNumberFormat="1" applyFont="1" applyFill="1" applyBorder="1" applyAlignment="1">
      <x:alignment horizontal="center" vertical="center" wrapText="1"/>
    </x:xf>
    <x:xf numFmtId="202" fontId="11" fillId="9" borderId="0" xfId="0" applyNumberFormat="1" applyFont="1" applyFill="1" applyBorder="1" applyAlignment="1">
      <x:alignment horizontal="center" vertical="center" wrapText="1"/>
    </x:xf>
    <x:xf numFmtId="205" fontId="10" fillId="9" borderId="0" xfId="0" applyNumberFormat="1" applyFont="1" applyFill="1" applyBorder="1" applyAlignment="1">
      <x:alignment horizontal="center" vertical="center" wrapText="1"/>
    </x:xf>
    <x:xf numFmtId="205" fontId="11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073E32"/>
      </x:font>
      <x:fill>
        <x:patternFill>
          <x:bgColor rgb="FFE1F1E7"/>
        </x:patternFill>
      </x:fill>
    </x:dxf>
    <x:dxf>
      <x:font>
        <x:color rgb="FF6F5D00"/>
      </x:font>
      <x:fill>
        <x:patternFill>
          <x:bgColor rgb="FFF4EBC8"/>
        </x:patternFill>
      </x:fill>
    </x:dxf>
    <x:dxf>
      <x:font>
        <x:b/>
        <x:color rgb="FF073E32"/>
      </x:font>
      <x:fill>
        <x:patternFill>
          <x:bgColor rgb="FFB9DFC7"/>
        </x:patternFill>
      </x:fill>
    </x:dxf>
    <x:dxf>
      <x:font>
        <x:color rgb="FF6F5D00"/>
      </x:font>
      <x:fill>
        <x:patternFill>
          <x:bgColor rgb="FFF4EBC8"/>
        </x:patternFill>
      </x:fill>
    </x:dxf>
    <x:dxf>
      <x:font>
        <x:color rgb="FF999999"/>
      </x:font>
      <x:fill>
        <x:patternFill>
          <x:bgColor rgb="FFF1F1F1"/>
        </x:patternFill>
      </x:fill>
    </x:dxf>
    <x:dxf>
      <x:font>
        <x:b/>
        <x:color rgb="FFFFFFFF"/>
      </x:font>
      <x:fill>
        <x:patternFill>
          <x:bgColor rgb="FF06374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51d3ea50314e12" /><Relationship Type="http://schemas.openxmlformats.org/officeDocument/2006/relationships/theme" Target="/xl/theme/theme1.xml" Id="R0b9945958d534ba9" /><Relationship Type="http://schemas.openxmlformats.org/officeDocument/2006/relationships/sharedStrings" Target="/xl/sharedStrings.xml" Id="Rd2d6955cb70642ed" /><Relationship Type="http://schemas.openxmlformats.org/officeDocument/2006/relationships/worksheet" Target="/xl/worksheets/sheet1.xml" Id="Rbb714d3f3ed84c6b" /><Relationship Type="http://schemas.openxmlformats.org/officeDocument/2006/relationships/worksheet" Target="/xl/worksheets/sheet2.xml" Id="Red813c7cf9114de6" /><Relationship Type="http://schemas.openxmlformats.org/officeDocument/2006/relationships/worksheet" Target="/xl/worksheets/sheet3.xml" Id="R6c135726d634416a" /><Relationship Type="http://schemas.openxmlformats.org/officeDocument/2006/relationships/worksheet" Target="/xl/worksheets/sheet4.xml" Id="Re4dd875675a74bf9" /><Relationship Type="http://schemas.openxmlformats.org/officeDocument/2006/relationships/worksheet" Target="/xl/worksheets/sheet5.xml" Id="R2a7deeae877c44b9" /><Relationship Type="http://schemas.openxmlformats.org/officeDocument/2006/relationships/worksheet" Target="/xl/worksheets/sheet6.xml" Id="R1144b4458c7e4ae1" /><Relationship Type="http://schemas.openxmlformats.org/officeDocument/2006/relationships/worksheet" Target="/xl/worksheets/sheet7.xml" Id="Rf2967047c5724dd5" /><Relationship Type="http://schemas.openxmlformats.org/officeDocument/2006/relationships/worksheet" Target="/xl/worksheets/sheet8.xml" Id="Reb7f266f82a646c1" /><Relationship Type="http://schemas.openxmlformats.org/officeDocument/2006/relationships/worksheet" Target="/xl/worksheets/sheet9.xml" Id="R784173c376cd4f21" /><Relationship Type="http://schemas.openxmlformats.org/officeDocument/2006/relationships/worksheet" Target="/xl/worksheets/sheet10.xml" Id="R1484727674634427" /><Relationship Type="http://schemas.openxmlformats.org/officeDocument/2006/relationships/worksheet" Target="/xl/worksheets/sheet11.xml" Id="Rd0f1f303c7d543ab" /><Relationship Type="http://schemas.openxmlformats.org/officeDocument/2006/relationships/worksheet" Target="/xl/worksheets/sheet12.xml" Id="Re383b8f3268349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f15f73373847c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CAPEX incremental por módulo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CAPEX incremental</c:v>
          </c:tx>
          <c:cat>
            <c:strRef>
              <c:f>'12_Dashboard_Custos'!$B$11:$B$17</c:f>
              <c:strCache>
                <c:ptCount val="0"/>
              </c:strCache>
            </c:strRef>
          </c:cat>
          <c:val>
            <c:numRef>
              <c:f>'12_Dashboard_Custos'!$C$11:$C$17</c:f>
              <c:numCache>
                <c:formatCode>R$ #,##0;[Red](R$ 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f15f73373847c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c280891f6e02458f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5" hidden="0" customWidth="1"/>
    <x:col min="4" max="4" width="28" hidden="0" customWidth="1"/>
    <x:col min="5" max="5" width="16" hidden="0" customWidth="1"/>
    <x:col min="6" max="6" width="46" hidden="0" customWidth="1"/>
    <x:col min="7" max="7" width="46" hidden="0" customWidth="1"/>
    <x:col min="8" max="8" width="38" hidden="0" customWidth="1"/>
  </x:cols>
  <x:sheetData>
    <x:row r="1">
      <x:c r="A1" s="3" t="str">
        <x:v>ARQUITETURA INICIAL DA PLATAFORMA HUB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3">
      <x:c r="A3" s="7" t="str">
        <x:v>Primeiro dimensionamento funcional para, no segundo momento, transformar escopo em custo real de produto, tecnologia, dados e operação.</x:v>
      </x:c>
      <x:c r="B3" s="7"/>
      <x:c r="C3" s="7"/>
      <x:c r="D3" s="7"/>
      <x:c r="E3" s="7"/>
      <x:c r="F3" s="7"/>
      <x:c r="G3" s="7"/>
      <x:c r="H3" s="7"/>
    </x:row>
    <x:row r="5">
      <x:c r="A5" s="11" t="str">
        <x:v>Código</x:v>
      </x:c>
      <x:c r="B5" s="11" t="str">
        <x:v>Frente / módulo</x:v>
      </x:c>
      <x:c r="C5" s="11" t="str">
        <x:v>Público</x:v>
      </x:c>
      <x:c r="D5" s="11" t="str">
        <x:v>Modelo</x:v>
      </x:c>
      <x:c r="E5" s="11" t="str">
        <x:v>Standalone?</x:v>
      </x:c>
      <x:c r="F5" s="11" t="str">
        <x:v>O que resolve</x:v>
      </x:c>
      <x:c r="G5" s="11" t="str">
        <x:v>Integrações</x:v>
      </x:c>
      <x:c r="H5" s="11" t="str">
        <x:v>Leitura</x:v>
      </x:c>
    </x:row>
    <x:row r="6">
      <x:c r="A6" s="14" t="str">
        <x:v>CORE</x:v>
      </x:c>
      <x:c r="B6" s="14" t="str">
        <x:v>Core / Plataforma</x:v>
      </x:c>
      <x:c r="C6" s="14" t="str">
        <x:v>Transversal</x:v>
      </x:c>
      <x:c r="D6" s="14" t="str">
        <x:v>Base comum</x:v>
      </x:c>
      <x:c r="E6" s="14" t="str">
        <x:v>Sim</x:v>
      </x:c>
      <x:c r="F6" s="14" t="str">
        <x:v>Autenticação, perfis, permissões, consentimentos, integrações, notificações, analytics e administração.</x:v>
      </x:c>
      <x:c r="G6" s="14" t="str">
        <x:v>Todas as frentes usam o Core.</x:v>
      </x:c>
      <x:c r="H6" s="14" t="str">
        <x:v>Obrigatório para qualquer implantação.</x:v>
      </x:c>
    </x:row>
    <x:row r="7">
      <x:c r="A7" s="14" t="str">
        <x:v>ED</x:v>
      </x:c>
      <x:c r="B7" s="14" t="str">
        <x:v>Estratégia &amp; Dados</x:v>
      </x:c>
      <x:c r="C7" s="14" t="str">
        <x:v>Empresas</x:v>
      </x:c>
      <x:c r="D7" s="14" t="str">
        <x:v>Produto independente</x:v>
      </x:c>
      <x:c r="E7" s="14" t="str">
        <x:v>Sim</x:v>
      </x:c>
      <x:c r="F7" s="14" t="str">
        <x:v>Conecta dados internos de pessoas e negócio para diagnóstico, prioridades, planos de ação e ROI.</x:v>
      </x:c>
      <x:c r="G7" s="14" t="str">
        <x:v>Pode receber dados de RH/ERP/BI sem usar candidatos, fornecedores, acadêmico ou eventos.</x:v>
      </x:c>
      <x:c r="H7" s="14" t="str">
        <x:v>Pode ser vendido sozinho.</x:v>
      </x:c>
    </x:row>
    <x:row r="8">
      <x:c r="A8" s="14" t="str">
        <x:v>COL</x:v>
      </x:c>
      <x:c r="B8" s="14" t="str">
        <x:v>Colaboradores / Meu Time</x:v>
      </x:c>
      <x:c r="C8" s="14" t="str">
        <x:v>Empresas</x:v>
      </x:c>
      <x:c r="D8" s="14" t="str">
        <x:v>Independente ou conectado a ED</x:v>
      </x:c>
      <x:c r="E8" s="14" t="str">
        <x:v>Sim</x:v>
      </x:c>
      <x:c r="F8" s="14" t="str">
        <x:v>Desempenho, competências, desenvolvimento, liderança, saúde do time e talentos internos.</x:v>
      </x:c>
      <x:c r="G8" s="14" t="str">
        <x:v>Alimenta ED com sinais de pessoas e recebe prioridades/planos.</x:v>
      </x:c>
      <x:c r="H8" s="14" t="str">
        <x:v>Pode operar sem marketplace externo.</x:v>
      </x:c>
    </x:row>
    <x:row r="9">
      <x:c r="A9" s="14" t="str">
        <x:v>CAN</x:v>
      </x:c>
      <x:c r="B9" s="14" t="str">
        <x:v>Candidatos &amp; Carreira</x:v>
      </x:c>
      <x:c r="C9" s="14" t="str">
        <x:v>Pessoas + Empresas</x:v>
      </x:c>
      <x:c r="D9" s="14" t="str">
        <x:v>Marketplace / jornada</x:v>
      </x:c>
      <x:c r="E9" s="14" t="str">
        <x:v>Sim</x:v>
      </x:c>
      <x:c r="F9" s="14" t="str">
        <x:v>Perfil, competências, capacitação, oportunidades, candidatura, match e acompanhamento.</x:v>
      </x:c>
      <x:c r="G9" s="14" t="str">
        <x:v>Conversa com Acadêmico, Empresas, Eventos e Core.</x:v>
      </x:c>
      <x:c r="H9" s="14" t="str">
        <x:v>Vertical de empregabilidade.</x:v>
      </x:c>
    </x:row>
    <x:row r="10">
      <x:c r="A10" s="14" t="str">
        <x:v>FOR</x:v>
      </x:c>
      <x:c r="B10" s="14" t="str">
        <x:v>Fornecedores &amp; Negócios</x:v>
      </x:c>
      <x:c r="C10" s="14" t="str">
        <x:v>Fornecedores + Compradores</x:v>
      </x:c>
      <x:c r="D10" s="14" t="str">
        <x:v>Marketplace B2B</x:v>
      </x:c>
      <x:c r="E10" s="14" t="str">
        <x:v>Sim</x:v>
      </x:c>
      <x:c r="F10" s="14" t="str">
        <x:v>Maturidade, demandas, desenvolvimento, match, negociação e conversão.</x:v>
      </x:c>
      <x:c r="G10" s="14" t="str">
        <x:v>Conversa com Eventos, ED e Core.</x:v>
      </x:c>
      <x:c r="H10" s="14" t="str">
        <x:v>Pode operar sozinho para acesso a mercado.</x:v>
      </x:c>
    </x:row>
    <x:row r="11">
      <x:c r="A11" s="14" t="str">
        <x:v>ACA</x:v>
      </x:c>
      <x:c r="B11" s="14" t="str">
        <x:v>Acadêmico / Universidades</x:v>
      </x:c>
      <x:c r="C11" s="14" t="str">
        <x:v>Alunos + Universidades + Empresas</x:v>
      </x:c>
      <x:c r="D11" s="14" t="str">
        <x:v>Educação-mercado</x:v>
      </x:c>
      <x:c r="E11" s="14" t="str">
        <x:v>Sim</x:v>
      </x:c>
      <x:c r="F11" s="14" t="str">
        <x:v>Projetos, bolsas, pesquisa aplicada, estágio, carreira, formação e conexão com empresas.</x:v>
      </x:c>
      <x:c r="G11" s="14" t="str">
        <x:v>Conversa fortemente com Candidatos e Empresas; opcionalmente Eventos.</x:v>
      </x:c>
      <x:c r="H11" s="14" t="str">
        <x:v>Pode ser vendido sozinho para universidade.</x:v>
      </x:c>
    </x:row>
    <x:row r="12">
      <x:c r="A12" s="14" t="str">
        <x:v>EVT</x:v>
      </x:c>
      <x:c r="B12" s="14" t="str">
        <x:v>Eventos</x:v>
      </x:c>
      <x:c r="C12" s="14" t="str">
        <x:v>Organizadores + Público + Empresas</x:v>
      </x:c>
      <x:c r="D12" s="14" t="str">
        <x:v>Orquestrador transversal</x:v>
      </x:c>
      <x:c r="E12" s="14" t="str">
        <x:v>Parcial</x:v>
      </x:c>
      <x:c r="F12" s="14" t="str">
        <x:v>Talentos, fornecedores, pesquisa, patrocínios, acessibilidade, segurança/assédio e ROI.</x:v>
      </x:c>
      <x:c r="G12" s="14" t="str">
        <x:v>Consome Candidatos, Fornecedores e Dados; pode ativar Acadêmico.</x:v>
      </x:c>
      <x:c r="H12" s="14" t="str">
        <x:v>Pode começar standalone, mas ganha valor com outros módulos.</x:v>
      </x:c>
    </x:row>
    <x:row r="13">
      <x:c r="A13" s="14" t="str">
        <x:v>COM</x:v>
      </x:c>
      <x:c r="B13" s="14" t="str">
        <x:v>Comunidades / Eu &amp; Eu / Cultura</x:v>
      </x:c>
      <x:c r="C13" s="14" t="str">
        <x:v>Pessoas</x:v>
      </x:c>
      <x:c r="D13" s="14" t="str">
        <x:v>Jornada individual</x:v>
      </x:c>
      <x:c r="E13" s="14" t="str">
        <x:v>Sim</x:v>
      </x:c>
      <x:c r="F13" s="14" t="str">
        <x:v>Perfil, objetivos, plano, preparação, mentoria, cuidado, eventos e conexões.</x:v>
      </x:c>
      <x:c r="G13" s="14" t="str">
        <x:v>Pode alimentar Candidatos, Acadêmico e Eventos com consentimento.</x:v>
      </x:c>
      <x:c r="H13" s="14" t="str">
        <x:v>Camada B2C; não é pré-requisito B2B.</x:v>
      </x:c>
    </x:row>
    <x:row r="15">
      <x:c r="A15" s="16" t="str">
        <x:v>PRINCÍPIO DE ARQUITETURA</x:v>
      </x:c>
      <x:c r="B15" s="16"/>
      <x:c r="C15" s="16"/>
      <x:c r="D15" s="16"/>
      <x:c r="E15" s="16"/>
      <x:c r="F15" s="16"/>
      <x:c r="G15" s="16"/>
      <x:c r="H15" s="16"/>
    </x:row>
    <x:row r="16">
      <x:c r="A16" s="21" t="str">
        <x:v>A plataforma deve ser modular. Estratégia &amp; Dados pode funcionar somente com dados já existentes do cliente (RHIS, ERP, BI, pesquisas e outras plataformas), sem exigir Candidatos, Fornecedores, Acadêmico, Eventos ou Comunidades. As outras frentes ampliam a inteligência do ecossistema, mas não devem virar dependências artificiais.</x:v>
      </x:c>
      <x:c r="B16" s="21"/>
      <x:c r="C16" s="21"/>
      <x:c r="D16" s="21"/>
      <x:c r="E16" s="21"/>
      <x:c r="F16" s="21"/>
      <x:c r="G16" s="21"/>
      <x:c r="H16" s="21"/>
    </x:row>
    <x:row r="17">
      <x:c r="A17" s="21"/>
      <x:c r="B17" s="21"/>
      <x:c r="C17" s="21"/>
      <x:c r="D17" s="21"/>
      <x:c r="E17" s="21"/>
      <x:c r="F17" s="21"/>
      <x:c r="G17" s="21"/>
      <x:c r="H17" s="21"/>
    </x:row>
    <x:row r="18">
      <x:c r="A18" s="21"/>
      <x:c r="B18" s="21"/>
      <x:c r="C18" s="21"/>
      <x:c r="D18" s="21"/>
      <x:c r="E18" s="21"/>
      <x:c r="F18" s="21"/>
      <x:c r="G18" s="21"/>
      <x:c r="H18" s="21"/>
    </x:row>
    <x:row r="19">
      <x:c r="A19" s="21"/>
      <x:c r="B19" s="21"/>
      <x:c r="C19" s="21"/>
      <x:c r="D19" s="21"/>
      <x:c r="E19" s="21"/>
      <x:c r="F19" s="21"/>
      <x:c r="G19" s="21"/>
      <x:c r="H19" s="21"/>
    </x:row>
  </x:sheetData>
  <x:mergeCells>
    <x:mergeCell ref="A1:H2"/>
    <x:mergeCell ref="A3:H3"/>
    <x:mergeCell ref="A15:H15"/>
    <x:mergeCell ref="A16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" hidden="0" customWidth="1"/>
    <x:col min="3" max="3" width="28" hidden="0" customWidth="1"/>
    <x:col min="4" max="4" width="32" hidden="0" customWidth="1"/>
    <x:col min="5" max="5" width="14" hidden="0" customWidth="1"/>
    <x:col min="6" max="6" width="12" hidden="0" customWidth="1"/>
    <x:col min="7" max="7" width="16" hidden="0" customWidth="1"/>
    <x:col min="8" max="8" width="16" hidden="0" customWidth="1"/>
    <x:col min="9" max="9" width="16" hidden="0" customWidth="1"/>
    <x:col min="10" max="10" width="38" hidden="0" customWidth="1"/>
  </x:cols>
  <x:sheetData>
    <x:row r="1">
      <x:c r="A1" s="3" t="str">
        <x:v>INVENTÁRIO DE PÁGINAS / TELAS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5">
      <x:c r="A5" s="11" t="str">
        <x:v>ID</x:v>
      </x:c>
      <x:c r="B5" s="11" t="str">
        <x:v>Código</x:v>
      </x:c>
      <x:c r="C5" s="11" t="str">
        <x:v>Frente</x:v>
      </x:c>
      <x:c r="D5" s="11" t="str">
        <x:v>Página / tela</x:v>
      </x:c>
      <x:c r="E5" s="11" t="str">
        <x:v>Canal</x:v>
      </x:c>
      <x:c r="F5" s="11" t="str">
        <x:v>Fase</x:v>
      </x:c>
      <x:c r="G5" s="11" t="str">
        <x:v>Complexidade</x:v>
      </x:c>
      <x:c r="H5" s="11" t="str">
        <x:v>Compartilhável?</x:v>
      </x:c>
      <x:c r="I5" s="11" t="str">
        <x:v>Dependência</x:v>
      </x:c>
      <x:c r="J5" s="11" t="str">
        <x:v>Observação</x:v>
      </x:c>
    </x:row>
    <x:row r="6">
      <x:c r="A6" s="14" t="n">
        <x:v>1</x:v>
      </x:c>
      <x:c r="B6" s="14" t="str">
        <x:v>CORE</x:v>
      </x:c>
      <x:c r="C6" s="14" t="str">
        <x:v>Core / Plataforma</x:v>
      </x:c>
      <x:c r="D6" s="14" t="str">
        <x:v>Login / SSO</x:v>
      </x:c>
      <x:c r="E6" s="14" t="str">
        <x:v>Web</x:v>
      </x:c>
      <x:c r="F6" s="14" t="str">
        <x:v>MVP</x:v>
      </x:c>
      <x:c r="G6" s="14" t="str">
        <x:v>Baixa</x:v>
      </x:c>
      <x:c r="H6" s="14" t="str">
        <x:v>Sim</x:v>
      </x:c>
      <x:c r="I6" s="14" t="str">
        <x:v>-</x:v>
      </x:c>
      <x:c r="J6" s="14" t="str">
        <x:v>Autenticação</x:v>
      </x:c>
    </x:row>
    <x:row r="7">
      <x:c r="A7" s="14" t="n">
        <x:v>2</x:v>
      </x:c>
      <x:c r="B7" s="14" t="str">
        <x:v>CORE</x:v>
      </x:c>
      <x:c r="C7" s="14" t="str">
        <x:v>Core / Plataforma</x:v>
      </x:c>
      <x:c r="D7" s="14" t="str">
        <x:v>Cadastro / onboarding</x:v>
      </x:c>
      <x:c r="E7" s="14" t="str">
        <x:v>Web/Mobile</x:v>
      </x:c>
      <x:c r="F7" s="14" t="str">
        <x:v>MVP</x:v>
      </x:c>
      <x:c r="G7" s="14" t="str">
        <x:v>Média</x:v>
      </x:c>
      <x:c r="H7" s="14" t="str">
        <x:v>Sim</x:v>
      </x:c>
      <x:c r="I7" s="14" t="str">
        <x:v>-</x:v>
      </x:c>
      <x:c r="J7" s="14" t="str">
        <x:v>Entrada por tipo</x:v>
      </x:c>
    </x:row>
    <x:row r="8">
      <x:c r="A8" s="14" t="n">
        <x:v>3</x:v>
      </x:c>
      <x:c r="B8" s="14" t="str">
        <x:v>CORE</x:v>
      </x:c>
      <x:c r="C8" s="14" t="str">
        <x:v>Core / Plataforma</x:v>
      </x:c>
      <x:c r="D8" s="14" t="str">
        <x:v>Perfis e organizações</x:v>
      </x:c>
      <x:c r="E8" s="14" t="str">
        <x:v>Web</x:v>
      </x:c>
      <x:c r="F8" s="14" t="str">
        <x:v>MVP</x:v>
      </x:c>
      <x:c r="G8" s="14" t="str">
        <x:v>Média</x:v>
      </x:c>
      <x:c r="H8" s="14" t="str">
        <x:v>Sim</x:v>
      </x:c>
      <x:c r="I8" s="14" t="str">
        <x:v>-</x:v>
      </x:c>
      <x:c r="J8" s="14" t="str">
        <x:v>Entidades</x:v>
      </x:c>
    </x:row>
    <x:row r="9">
      <x:c r="A9" s="14" t="n">
        <x:v>4</x:v>
      </x:c>
      <x:c r="B9" s="14" t="str">
        <x:v>CORE</x:v>
      </x:c>
      <x:c r="C9" s="14" t="str">
        <x:v>Core / Plataforma</x:v>
      </x:c>
      <x:c r="D9" s="14" t="str">
        <x:v>Papéis e permissões</x:v>
      </x:c>
      <x:c r="E9" s="14" t="str">
        <x:v>Admin</x:v>
      </x:c>
      <x:c r="F9" s="14" t="str">
        <x:v>MVP</x:v>
      </x:c>
      <x:c r="G9" s="14" t="str">
        <x:v>Alta</x:v>
      </x:c>
      <x:c r="H9" s="14" t="str">
        <x:v>Sim</x:v>
      </x:c>
      <x:c r="I9" s="14" t="str">
        <x:v>-</x:v>
      </x:c>
      <x:c r="J9" s="14" t="str">
        <x:v>RBAC</x:v>
      </x:c>
    </x:row>
    <x:row r="10">
      <x:c r="A10" s="14" t="n">
        <x:v>5</x:v>
      </x:c>
      <x:c r="B10" s="14" t="str">
        <x:v>CORE</x:v>
      </x:c>
      <x:c r="C10" s="14" t="str">
        <x:v>Core / Plataforma</x:v>
      </x:c>
      <x:c r="D10" s="14" t="str">
        <x:v>Consentimentos / LGPD</x:v>
      </x:c>
      <x:c r="E10" s="14" t="str">
        <x:v>Web/Admin</x:v>
      </x:c>
      <x:c r="F10" s="14" t="str">
        <x:v>MVP</x:v>
      </x:c>
      <x:c r="G10" s="14" t="str">
        <x:v>Alta</x:v>
      </x:c>
      <x:c r="H10" s="14" t="str">
        <x:v>Sim</x:v>
      </x:c>
      <x:c r="I10" s="14" t="str">
        <x:v>-</x:v>
      </x:c>
      <x:c r="J10" s="14" t="str">
        <x:v>Privacidade</x:v>
      </x:c>
    </x:row>
    <x:row r="11">
      <x:c r="A11" s="14" t="n">
        <x:v>6</x:v>
      </x:c>
      <x:c r="B11" s="14" t="str">
        <x:v>CORE</x:v>
      </x:c>
      <x:c r="C11" s="14" t="str">
        <x:v>Core / Plataforma</x:v>
      </x:c>
      <x:c r="D11" s="14" t="str">
        <x:v>Central de integrações</x:v>
      </x:c>
      <x:c r="E11" s="14" t="str">
        <x:v>Admin</x:v>
      </x:c>
      <x:c r="F11" s="14" t="str">
        <x:v>MVP</x:v>
      </x:c>
      <x:c r="G11" s="14" t="str">
        <x:v>Alta</x:v>
      </x:c>
      <x:c r="H11" s="14" t="str">
        <x:v>Sim</x:v>
      </x:c>
      <x:c r="I11" s="14" t="str">
        <x:v>-</x:v>
      </x:c>
      <x:c r="J11" s="14" t="str">
        <x:v>APIs/RHIS/ERP/CRM/LMS</x:v>
      </x:c>
    </x:row>
    <x:row r="12">
      <x:c r="A12" s="14" t="n">
        <x:v>7</x:v>
      </x:c>
      <x:c r="B12" s="14" t="str">
        <x:v>CORE</x:v>
      </x:c>
      <x:c r="C12" s="14" t="str">
        <x:v>Core / Plataforma</x:v>
      </x:c>
      <x:c r="D12" s="14" t="str">
        <x:v>Notificações</x:v>
      </x:c>
      <x:c r="E12" s="14" t="str">
        <x:v>Web/Mobile</x:v>
      </x:c>
      <x:c r="F12" s="14" t="str">
        <x:v>MVP</x:v>
      </x:c>
      <x:c r="G12" s="14" t="str">
        <x:v>Média</x:v>
      </x:c>
      <x:c r="H12" s="14" t="str">
        <x:v>Sim</x:v>
      </x:c>
      <x:c r="I12" s="14" t="str">
        <x:v>-</x:v>
      </x:c>
      <x:c r="J12" s="14" t="str">
        <x:v>Gatilhos</x:v>
      </x:c>
    </x:row>
    <x:row r="13">
      <x:c r="A13" s="14" t="n">
        <x:v>8</x:v>
      </x:c>
      <x:c r="B13" s="14" t="str">
        <x:v>CORE</x:v>
      </x:c>
      <x:c r="C13" s="14" t="str">
        <x:v>Core / Plataforma</x:v>
      </x:c>
      <x:c r="D13" s="14" t="str">
        <x:v>Mensagens</x:v>
      </x:c>
      <x:c r="E13" s="14" t="str">
        <x:v>Web/Mobile</x:v>
      </x:c>
      <x:c r="F13" s="14" t="str">
        <x:v>Fase 2</x:v>
      </x:c>
      <x:c r="G13" s="14" t="str">
        <x:v>Alta</x:v>
      </x:c>
      <x:c r="H13" s="14" t="str">
        <x:v>Sim</x:v>
      </x:c>
      <x:c r="I13" s="14" t="str">
        <x:v>-</x:v>
      </x:c>
      <x:c r="J13" s="14" t="str">
        <x:v>Conversas</x:v>
      </x:c>
    </x:row>
    <x:row r="14">
      <x:c r="A14" s="14" t="n">
        <x:v>9</x:v>
      </x:c>
      <x:c r="B14" s="14" t="str">
        <x:v>CORE</x:v>
      </x:c>
      <x:c r="C14" s="14" t="str">
        <x:v>Core / Plataforma</x:v>
      </x:c>
      <x:c r="D14" s="14" t="str">
        <x:v>Busca global</x:v>
      </x:c>
      <x:c r="E14" s="14" t="str">
        <x:v>Web</x:v>
      </x:c>
      <x:c r="F14" s="14" t="str">
        <x:v>Fase 2</x:v>
      </x:c>
      <x:c r="G14" s="14" t="str">
        <x:v>Média</x:v>
      </x:c>
      <x:c r="H14" s="14" t="str">
        <x:v>Sim</x:v>
      </x:c>
      <x:c r="I14" s="14" t="str">
        <x:v>-</x:v>
      </x:c>
      <x:c r="J14" s="14" t="str">
        <x:v>Busca</x:v>
      </x:c>
    </x:row>
    <x:row r="15">
      <x:c r="A15" s="14" t="n">
        <x:v>10</x:v>
      </x:c>
      <x:c r="B15" s="14" t="str">
        <x:v>CORE</x:v>
      </x:c>
      <x:c r="C15" s="14" t="str">
        <x:v>Core / Plataforma</x:v>
      </x:c>
      <x:c r="D15" s="14" t="str">
        <x:v>Analytics de uso</x:v>
      </x:c>
      <x:c r="E15" s="14" t="str">
        <x:v>Admin</x:v>
      </x:c>
      <x:c r="F15" s="14" t="str">
        <x:v>MVP</x:v>
      </x:c>
      <x:c r="G15" s="14" t="str">
        <x:v>Média</x:v>
      </x:c>
      <x:c r="H15" s="14" t="str">
        <x:v>Sim</x:v>
      </x:c>
      <x:c r="I15" s="14" t="str">
        <x:v>-</x:v>
      </x:c>
      <x:c r="J15" s="14" t="str">
        <x:v>Adoção</x:v>
      </x:c>
    </x:row>
    <x:row r="16">
      <x:c r="A16" s="14" t="n">
        <x:v>11</x:v>
      </x:c>
      <x:c r="B16" s="14" t="str">
        <x:v>CORE</x:v>
      </x:c>
      <x:c r="C16" s="14" t="str">
        <x:v>Core / Plataforma</x:v>
      </x:c>
      <x:c r="D16" s="14" t="str">
        <x:v>Administração</x:v>
      </x:c>
      <x:c r="E16" s="14" t="str">
        <x:v>Admin</x:v>
      </x:c>
      <x:c r="F16" s="14" t="str">
        <x:v>MVP</x:v>
      </x:c>
      <x:c r="G16" s="14" t="str">
        <x:v>Alta</x:v>
      </x:c>
      <x:c r="H16" s="14" t="str">
        <x:v>Sim</x:v>
      </x:c>
      <x:c r="I16" s="14" t="str">
        <x:v>-</x:v>
      </x:c>
      <x:c r="J16" s="14" t="str">
        <x:v>Configurações</x:v>
      </x:c>
    </x:row>
    <x:row r="17">
      <x:c r="A17" s="14" t="n">
        <x:v>12</x:v>
      </x:c>
      <x:c r="B17" s="14" t="str">
        <x:v>CORE</x:v>
      </x:c>
      <x:c r="C17" s="14" t="str">
        <x:v>Core / Plataforma</x:v>
      </x:c>
      <x:c r="D17" s="14" t="str">
        <x:v>Auditoria e logs</x:v>
      </x:c>
      <x:c r="E17" s="14" t="str">
        <x:v>Admin</x:v>
      </x:c>
      <x:c r="F17" s="14" t="str">
        <x:v>MVP</x:v>
      </x:c>
      <x:c r="G17" s="14" t="str">
        <x:v>Alta</x:v>
      </x:c>
      <x:c r="H17" s="14" t="str">
        <x:v>Sim</x:v>
      </x:c>
      <x:c r="I17" s="14" t="str">
        <x:v>-</x:v>
      </x:c>
      <x:c r="J17" s="14" t="str">
        <x:v>Rastreabilidade</x:v>
      </x:c>
    </x:row>
    <x:row r="18">
      <x:c r="A18" s="14" t="n">
        <x:v>13</x:v>
      </x:c>
      <x:c r="B18" s="14" t="str">
        <x:v>ED</x:v>
      </x:c>
      <x:c r="C18" s="14" t="str">
        <x:v>Estratégia &amp; Dados</x:v>
      </x:c>
      <x:c r="D18" s="14" t="str">
        <x:v>Visão executiva</x:v>
      </x:c>
      <x:c r="E18" s="14" t="str">
        <x:v>Web</x:v>
      </x:c>
      <x:c r="F18" s="14" t="str">
        <x:v>MVP</x:v>
      </x:c>
      <x:c r="G18" s="14" t="str">
        <x:v>Alta</x:v>
      </x:c>
      <x:c r="H18" s="14" t="str">
        <x:v>Não</x:v>
      </x:c>
      <x:c r="I18" s="14" t="str">
        <x:v>CORE</x:v>
      </x:c>
      <x:c r="J18" s="14" t="str">
        <x:v>KPIs pessoas x negócio</x:v>
      </x:c>
    </x:row>
    <x:row r="19">
      <x:c r="A19" s="14" t="n">
        <x:v>14</x:v>
      </x:c>
      <x:c r="B19" s="14" t="str">
        <x:v>ED</x:v>
      </x:c>
      <x:c r="C19" s="14" t="str">
        <x:v>Estratégia &amp; Dados</x:v>
      </x:c>
      <x:c r="D19" s="14" t="str">
        <x:v>Conectores de dados</x:v>
      </x:c>
      <x:c r="E19" s="14" t="str">
        <x:v>Admin</x:v>
      </x:c>
      <x:c r="F19" s="14" t="str">
        <x:v>MVP</x:v>
      </x:c>
      <x:c r="G19" s="14" t="str">
        <x:v>Alta</x:v>
      </x:c>
      <x:c r="H19" s="14" t="str">
        <x:v>Não</x:v>
      </x:c>
      <x:c r="I19" s="14" t="str">
        <x:v>CORE</x:v>
      </x:c>
      <x:c r="J19" s="14" t="str">
        <x:v>Dados existentes</x:v>
      </x:c>
    </x:row>
    <x:row r="20">
      <x:c r="A20" s="14" t="n">
        <x:v>15</x:v>
      </x:c>
      <x:c r="B20" s="14" t="str">
        <x:v>ED</x:v>
      </x:c>
      <x:c r="C20" s="14" t="str">
        <x:v>Estratégia &amp; Dados</x:v>
      </x:c>
      <x:c r="D20" s="14" t="str">
        <x:v>Mapeamento de indicadores</x:v>
      </x:c>
      <x:c r="E20" s="14" t="str">
        <x:v>Admin</x:v>
      </x:c>
      <x:c r="F20" s="14" t="str">
        <x:v>MVP</x:v>
      </x:c>
      <x:c r="G20" s="14" t="str">
        <x:v>Alta</x:v>
      </x:c>
      <x:c r="H20" s="14" t="str">
        <x:v>Não</x:v>
      </x:c>
      <x:c r="I20" s="14" t="str">
        <x:v>CORE</x:v>
      </x:c>
      <x:c r="J20" s="14" t="str">
        <x:v>Dicionário</x:v>
      </x:c>
    </x:row>
    <x:row r="21">
      <x:c r="A21" s="14" t="n">
        <x:v>16</x:v>
      </x:c>
      <x:c r="B21" s="14" t="str">
        <x:v>ED</x:v>
      </x:c>
      <x:c r="C21" s="14" t="str">
        <x:v>Estratégia &amp; Dados</x:v>
      </x:c>
      <x:c r="D21" s="14" t="str">
        <x:v>Diagnóstico</x:v>
      </x:c>
      <x:c r="E21" s="14" t="str">
        <x:v>Web</x:v>
      </x:c>
      <x:c r="F21" s="14" t="str">
        <x:v>MVP</x:v>
      </x:c>
      <x:c r="G21" s="14" t="str">
        <x:v>Alta</x:v>
      </x:c>
      <x:c r="H21" s="14" t="str">
        <x:v>Não</x:v>
      </x:c>
      <x:c r="I21" s="14" t="str">
        <x:v>CORE</x:v>
      </x:c>
      <x:c r="J21" s="14" t="str">
        <x:v>Contexto</x:v>
      </x:c>
    </x:row>
    <x:row r="22">
      <x:c r="A22" s="14" t="n">
        <x:v>17</x:v>
      </x:c>
      <x:c r="B22" s="14" t="str">
        <x:v>ED</x:v>
      </x:c>
      <x:c r="C22" s="14" t="str">
        <x:v>Estratégia &amp; Dados</x:v>
      </x:c>
      <x:c r="D22" s="14" t="str">
        <x:v>Análises e correlações</x:v>
      </x:c>
      <x:c r="E22" s="14" t="str">
        <x:v>Web</x:v>
      </x:c>
      <x:c r="F22" s="14" t="str">
        <x:v>MVP</x:v>
      </x:c>
      <x:c r="G22" s="14" t="str">
        <x:v>Muito alta</x:v>
      </x:c>
      <x:c r="H22" s="14" t="str">
        <x:v>Não</x:v>
      </x:c>
      <x:c r="I22" s="14" t="str">
        <x:v>CORE</x:v>
      </x:c>
      <x:c r="J22" s="14" t="str">
        <x:v>Padrões</x:v>
      </x:c>
    </x:row>
    <x:row r="23">
      <x:c r="A23" s="14" t="n">
        <x:v>18</x:v>
      </x:c>
      <x:c r="B23" s="14" t="str">
        <x:v>ED</x:v>
      </x:c>
      <x:c r="C23" s="14" t="str">
        <x:v>Estratégia &amp; Dados</x:v>
      </x:c>
      <x:c r="D23" s="14" t="str">
        <x:v>Prioridades</x:v>
      </x:c>
      <x:c r="E23" s="14" t="str">
        <x:v>Web</x:v>
      </x:c>
      <x:c r="F23" s="14" t="str">
        <x:v>MVP</x:v>
      </x:c>
      <x:c r="G23" s="14" t="str">
        <x:v>Alta</x:v>
      </x:c>
      <x:c r="H23" s="14" t="str">
        <x:v>Não</x:v>
      </x:c>
      <x:c r="I23" s="14" t="str">
        <x:v>CORE</x:v>
      </x:c>
      <x:c r="J23" s="14" t="str">
        <x:v>Riscos/oportunidades</x:v>
      </x:c>
    </x:row>
    <x:row r="24">
      <x:c r="A24" s="14" t="n">
        <x:v>19</x:v>
      </x:c>
      <x:c r="B24" s="14" t="str">
        <x:v>ED</x:v>
      </x:c>
      <x:c r="C24" s="14" t="str">
        <x:v>Estratégia &amp; Dados</x:v>
      </x:c>
      <x:c r="D24" s="14" t="str">
        <x:v>Planos de ação</x:v>
      </x:c>
      <x:c r="E24" s="14" t="str">
        <x:v>Web</x:v>
      </x:c>
      <x:c r="F24" s="14" t="str">
        <x:v>MVP</x:v>
      </x:c>
      <x:c r="G24" s="14" t="str">
        <x:v>Média</x:v>
      </x:c>
      <x:c r="H24" s="14" t="str">
        <x:v>Não</x:v>
      </x:c>
      <x:c r="I24" s="14" t="str">
        <x:v>CORE</x:v>
      </x:c>
      <x:c r="J24" s="14" t="str">
        <x:v>Ações</x:v>
      </x:c>
    </x:row>
    <x:row r="25">
      <x:c r="A25" s="14" t="n">
        <x:v>20</x:v>
      </x:c>
      <x:c r="B25" s="14" t="str">
        <x:v>ED</x:v>
      </x:c>
      <x:c r="C25" s="14" t="str">
        <x:v>Estratégia &amp; Dados</x:v>
      </x:c>
      <x:c r="D25" s="14" t="str">
        <x:v>Cenários / simulações</x:v>
      </x:c>
      <x:c r="E25" s="14" t="str">
        <x:v>Web</x:v>
      </x:c>
      <x:c r="F25" s="14" t="str">
        <x:v>Fase 2</x:v>
      </x:c>
      <x:c r="G25" s="14" t="str">
        <x:v>Muito alta</x:v>
      </x:c>
      <x:c r="H25" s="14" t="str">
        <x:v>Não</x:v>
      </x:c>
      <x:c r="I25" s="14" t="str">
        <x:v>CORE</x:v>
      </x:c>
      <x:c r="J25" s="14" t="str">
        <x:v>Projeções</x:v>
      </x:c>
    </x:row>
    <x:row r="26">
      <x:c r="A26" s="14" t="n">
        <x:v>21</x:v>
      </x:c>
      <x:c r="B26" s="14" t="str">
        <x:v>ED</x:v>
      </x:c>
      <x:c r="C26" s="14" t="str">
        <x:v>Estratégia &amp; Dados</x:v>
      </x:c>
      <x:c r="D26" s="14" t="str">
        <x:v>ROI / valor capturado</x:v>
      </x:c>
      <x:c r="E26" s="14" t="str">
        <x:v>Web</x:v>
      </x:c>
      <x:c r="F26" s="14" t="str">
        <x:v>MVP</x:v>
      </x:c>
      <x:c r="G26" s="14" t="str">
        <x:v>Alta</x:v>
      </x:c>
      <x:c r="H26" s="14" t="str">
        <x:v>Não</x:v>
      </x:c>
      <x:c r="I26" s="14" t="str">
        <x:v>CORE</x:v>
      </x:c>
      <x:c r="J26" s="14" t="str">
        <x:v>Financeiro</x:v>
      </x:c>
    </x:row>
    <x:row r="27">
      <x:c r="A27" s="14" t="n">
        <x:v>22</x:v>
      </x:c>
      <x:c r="B27" s="14" t="str">
        <x:v>ED</x:v>
      </x:c>
      <x:c r="C27" s="14" t="str">
        <x:v>Estratégia &amp; Dados</x:v>
      </x:c>
      <x:c r="D27" s="14" t="str">
        <x:v>Relatórios executivos</x:v>
      </x:c>
      <x:c r="E27" s="14" t="str">
        <x:v>Web</x:v>
      </x:c>
      <x:c r="F27" s="14" t="str">
        <x:v>MVP</x:v>
      </x:c>
      <x:c r="G27" s="14" t="str">
        <x:v>Média</x:v>
      </x:c>
      <x:c r="H27" s="14" t="str">
        <x:v>Não</x:v>
      </x:c>
      <x:c r="I27" s="14" t="str">
        <x:v>CORE</x:v>
      </x:c>
      <x:c r="J27" s="14" t="str">
        <x:v>Exportação</x:v>
      </x:c>
    </x:row>
    <x:row r="28">
      <x:c r="A28" s="14" t="n">
        <x:v>23</x:v>
      </x:c>
      <x:c r="B28" s="14" t="str">
        <x:v>ED</x:v>
      </x:c>
      <x:c r="C28" s="14" t="str">
        <x:v>Estratégia &amp; Dados</x:v>
      </x:c>
      <x:c r="D28" s="14" t="str">
        <x:v>Alertas estratégicos</x:v>
      </x:c>
      <x:c r="E28" s="14" t="str">
        <x:v>Web</x:v>
      </x:c>
      <x:c r="F28" s="14" t="str">
        <x:v>Fase 2</x:v>
      </x:c>
      <x:c r="G28" s="14" t="str">
        <x:v>Alta</x:v>
      </x:c>
      <x:c r="H28" s="14" t="str">
        <x:v>Não</x:v>
      </x:c>
      <x:c r="I28" s="14" t="str">
        <x:v>CORE</x:v>
      </x:c>
      <x:c r="J28" s="14" t="str">
        <x:v>Sinais</x:v>
      </x:c>
    </x:row>
    <x:row r="29">
      <x:c r="A29" s="14" t="n">
        <x:v>24</x:v>
      </x:c>
      <x:c r="B29" s="14" t="str">
        <x:v>COL</x:v>
      </x:c>
      <x:c r="C29" s="14" t="str">
        <x:v>Colaboradores / Meu Time</x:v>
      </x:c>
      <x:c r="D29" s="14" t="str">
        <x:v>Meu time</x:v>
      </x:c>
      <x:c r="E29" s="14" t="str">
        <x:v>Web</x:v>
      </x:c>
      <x:c r="F29" s="14" t="str">
        <x:v>MVP</x:v>
      </x:c>
      <x:c r="G29" s="14" t="str">
        <x:v>Alta</x:v>
      </x:c>
      <x:c r="H29" s="14" t="str">
        <x:v>Não</x:v>
      </x:c>
      <x:c r="I29" s="14" t="str">
        <x:v>CORE</x:v>
      </x:c>
      <x:c r="J29" s="14" t="str">
        <x:v>Mapa</x:v>
      </x:c>
    </x:row>
    <x:row r="30">
      <x:c r="A30" s="14" t="n">
        <x:v>25</x:v>
      </x:c>
      <x:c r="B30" s="14" t="str">
        <x:v>COL</x:v>
      </x:c>
      <x:c r="C30" s="14" t="str">
        <x:v>Colaboradores / Meu Time</x:v>
      </x:c>
      <x:c r="D30" s="14" t="str">
        <x:v>Perfil do colaborador</x:v>
      </x:c>
      <x:c r="E30" s="14" t="str">
        <x:v>Web</x:v>
      </x:c>
      <x:c r="F30" s="14" t="str">
        <x:v>MVP</x:v>
      </x:c>
      <x:c r="G30" s="14" t="str">
        <x:v>Média</x:v>
      </x:c>
      <x:c r="H30" s="14" t="str">
        <x:v>Parcial</x:v>
      </x:c>
      <x:c r="I30" s="14" t="str">
        <x:v>CORE</x:v>
      </x:c>
      <x:c r="J30" s="14" t="str">
        <x:v>360</x:v>
      </x:c>
    </x:row>
    <x:row r="31">
      <x:c r="A31" s="14" t="n">
        <x:v>26</x:v>
      </x:c>
      <x:c r="B31" s="14" t="str">
        <x:v>COL</x:v>
      </x:c>
      <x:c r="C31" s="14" t="str">
        <x:v>Colaboradores / Meu Time</x:v>
      </x:c>
      <x:c r="D31" s="14" t="str">
        <x:v>Objetivos e combinados</x:v>
      </x:c>
      <x:c r="E31" s="14" t="str">
        <x:v>Web</x:v>
      </x:c>
      <x:c r="F31" s="14" t="str">
        <x:v>MVP</x:v>
      </x:c>
      <x:c r="G31" s="14" t="str">
        <x:v>Média</x:v>
      </x:c>
      <x:c r="H31" s="14" t="str">
        <x:v>Não</x:v>
      </x:c>
      <x:c r="I31" s="14" t="str">
        <x:v>CORE</x:v>
      </x:c>
      <x:c r="J31" s="14" t="str">
        <x:v>Metas</x:v>
      </x:c>
    </x:row>
    <x:row r="32">
      <x:c r="A32" s="14" t="n">
        <x:v>27</x:v>
      </x:c>
      <x:c r="B32" s="14" t="str">
        <x:v>COL</x:v>
      </x:c>
      <x:c r="C32" s="14" t="str">
        <x:v>Colaboradores / Meu Time</x:v>
      </x:c>
      <x:c r="D32" s="14" t="str">
        <x:v>Competências</x:v>
      </x:c>
      <x:c r="E32" s="14" t="str">
        <x:v>Web</x:v>
      </x:c>
      <x:c r="F32" s="14" t="str">
        <x:v>MVP</x:v>
      </x:c>
      <x:c r="G32" s="14" t="str">
        <x:v>Média</x:v>
      </x:c>
      <x:c r="H32" s="14" t="str">
        <x:v>Não</x:v>
      </x:c>
      <x:c r="I32" s="14" t="str">
        <x:v>CORE</x:v>
      </x:c>
      <x:c r="J32" s="14" t="str">
        <x:v>Skills</x:v>
      </x:c>
    </x:row>
    <x:row r="33">
      <x:c r="A33" s="14" t="n">
        <x:v>28</x:v>
      </x:c>
      <x:c r="B33" s="14" t="str">
        <x:v>COL</x:v>
      </x:c>
      <x:c r="C33" s="14" t="str">
        <x:v>Colaboradores / Meu Time</x:v>
      </x:c>
      <x:c r="D33" s="14" t="str">
        <x:v>Feedbacks / check-ins</x:v>
      </x:c>
      <x:c r="E33" s="14" t="str">
        <x:v>Web/Mobile</x:v>
      </x:c>
      <x:c r="F33" s="14" t="str">
        <x:v>MVP</x:v>
      </x:c>
      <x:c r="G33" s="14" t="str">
        <x:v>Média</x:v>
      </x:c>
      <x:c r="H33" s="14" t="str">
        <x:v>Não</x:v>
      </x:c>
      <x:c r="I33" s="14" t="str">
        <x:v>CORE</x:v>
      </x:c>
      <x:c r="J33" s="14" t="str">
        <x:v>Ciclo</x:v>
      </x:c>
    </x:row>
    <x:row r="34">
      <x:c r="A34" s="14" t="n">
        <x:v>29</x:v>
      </x:c>
      <x:c r="B34" s="14" t="str">
        <x:v>COL</x:v>
      </x:c>
      <x:c r="C34" s="14" t="str">
        <x:v>Colaboradores / Meu Time</x:v>
      </x:c>
      <x:c r="D34" s="14" t="str">
        <x:v>Plano de desenvolvimento</x:v>
      </x:c>
      <x:c r="E34" s="14" t="str">
        <x:v>Web</x:v>
      </x:c>
      <x:c r="F34" s="14" t="str">
        <x:v>MVP</x:v>
      </x:c>
      <x:c r="G34" s="14" t="str">
        <x:v>Média</x:v>
      </x:c>
      <x:c r="H34" s="14" t="str">
        <x:v>Parcial</x:v>
      </x:c>
      <x:c r="I34" s="14" t="str">
        <x:v>CORE</x:v>
      </x:c>
      <x:c r="J34" s="14" t="str">
        <x:v>PDI</x:v>
      </x:c>
    </x:row>
    <x:row r="35">
      <x:c r="A35" s="14" t="n">
        <x:v>30</x:v>
      </x:c>
      <x:c r="B35" s="14" t="str">
        <x:v>COL</x:v>
      </x:c>
      <x:c r="C35" s="14" t="str">
        <x:v>Colaboradores / Meu Time</x:v>
      </x:c>
      <x:c r="D35" s="14" t="str">
        <x:v>Mentorias</x:v>
      </x:c>
      <x:c r="E35" s="14" t="str">
        <x:v>Web</x:v>
      </x:c>
      <x:c r="F35" s="14" t="str">
        <x:v>Fase 2</x:v>
      </x:c>
      <x:c r="G35" s="14" t="str">
        <x:v>Média</x:v>
      </x:c>
      <x:c r="H35" s="14" t="str">
        <x:v>Não</x:v>
      </x:c>
      <x:c r="I35" s="14" t="str">
        <x:v>CORE</x:v>
      </x:c>
      <x:c r="J35" s="14" t="str">
        <x:v>Matching</x:v>
      </x:c>
    </x:row>
    <x:row r="36">
      <x:c r="A36" s="14" t="n">
        <x:v>31</x:v>
      </x:c>
      <x:c r="B36" s="14" t="str">
        <x:v>COL</x:v>
      </x:c>
      <x:c r="C36" s="14" t="str">
        <x:v>Colaboradores / Meu Time</x:v>
      </x:c>
      <x:c r="D36" s="14" t="str">
        <x:v>Aprendizagem / trilhas</x:v>
      </x:c>
      <x:c r="E36" s="14" t="str">
        <x:v>Web</x:v>
      </x:c>
      <x:c r="F36" s="14" t="str">
        <x:v>Fase 2</x:v>
      </x:c>
      <x:c r="G36" s="14" t="str">
        <x:v>Média</x:v>
      </x:c>
      <x:c r="H36" s="14" t="str">
        <x:v>Não</x:v>
      </x:c>
      <x:c r="I36" s="14" t="str">
        <x:v>CORE</x:v>
      </x:c>
      <x:c r="J36" s="14" t="str">
        <x:v>Conteúdo</x:v>
      </x:c>
    </x:row>
    <x:row r="37">
      <x:c r="A37" s="14" t="n">
        <x:v>32</x:v>
      </x:c>
      <x:c r="B37" s="14" t="str">
        <x:v>COL</x:v>
      </x:c>
      <x:c r="C37" s="14" t="str">
        <x:v>Colaboradores / Meu Time</x:v>
      </x:c>
      <x:c r="D37" s="14" t="str">
        <x:v>Talentos internos / mobilidade</x:v>
      </x:c>
      <x:c r="E37" s="14" t="str">
        <x:v>Web</x:v>
      </x:c>
      <x:c r="F37" s="14" t="str">
        <x:v>Fase 2</x:v>
      </x:c>
      <x:c r="G37" s="14" t="str">
        <x:v>Alta</x:v>
      </x:c>
      <x:c r="H37" s="14" t="str">
        <x:v>Não</x:v>
      </x:c>
      <x:c r="I37" s="14" t="str">
        <x:v>CORE</x:v>
      </x:c>
      <x:c r="J37" s="14" t="str">
        <x:v>Oportunidades</x:v>
      </x:c>
    </x:row>
    <x:row r="38">
      <x:c r="A38" s="14" t="n">
        <x:v>33</x:v>
      </x:c>
      <x:c r="B38" s="14" t="str">
        <x:v>COL</x:v>
      </x:c>
      <x:c r="C38" s="14" t="str">
        <x:v>Colaboradores / Meu Time</x:v>
      </x:c>
      <x:c r="D38" s="14" t="str">
        <x:v>Sucessão</x:v>
      </x:c>
      <x:c r="E38" s="14" t="str">
        <x:v>Web</x:v>
      </x:c>
      <x:c r="F38" s="14" t="str">
        <x:v>Fase 2</x:v>
      </x:c>
      <x:c r="G38" s="14" t="str">
        <x:v>Alta</x:v>
      </x:c>
      <x:c r="H38" s="14" t="str">
        <x:v>Não</x:v>
      </x:c>
      <x:c r="I38" s="14" t="str">
        <x:v>CORE</x:v>
      </x:c>
      <x:c r="J38" s="14" t="str">
        <x:v>Prontidão</x:v>
      </x:c>
    </x:row>
    <x:row r="39">
      <x:c r="A39" s="14" t="n">
        <x:v>34</x:v>
      </x:c>
      <x:c r="B39" s="14" t="str">
        <x:v>COL</x:v>
      </x:c>
      <x:c r="C39" s="14" t="str">
        <x:v>Colaboradores / Meu Time</x:v>
      </x:c>
      <x:c r="D39" s="14" t="str">
        <x:v>Saúde do time / alertas</x:v>
      </x:c>
      <x:c r="E39" s="14" t="str">
        <x:v>Web</x:v>
      </x:c>
      <x:c r="F39" s="14" t="str">
        <x:v>MVP</x:v>
      </x:c>
      <x:c r="G39" s="14" t="str">
        <x:v>Alta</x:v>
      </x:c>
      <x:c r="H39" s="14" t="str">
        <x:v>Não</x:v>
      </x:c>
      <x:c r="I39" s="14" t="str">
        <x:v>CORE</x:v>
      </x:c>
      <x:c r="J39" s="14" t="str">
        <x:v>Risco</x:v>
      </x:c>
    </x:row>
    <x:row r="40">
      <x:c r="A40" s="14" t="n">
        <x:v>35</x:v>
      </x:c>
      <x:c r="B40" s="14" t="str">
        <x:v>CAN</x:v>
      </x:c>
      <x:c r="C40" s="14" t="str">
        <x:v>Candidatos &amp; Carreira</x:v>
      </x:c>
      <x:c r="D40" s="14" t="str">
        <x:v>Perfil do candidato</x:v>
      </x:c>
      <x:c r="E40" s="14" t="str">
        <x:v>Web/Mobile</x:v>
      </x:c>
      <x:c r="F40" s="14" t="str">
        <x:v>MVP</x:v>
      </x:c>
      <x:c r="G40" s="14" t="str">
        <x:v>Média</x:v>
      </x:c>
      <x:c r="H40" s="14" t="str">
        <x:v>Parcial</x:v>
      </x:c>
      <x:c r="I40" s="14" t="str">
        <x:v>CORE</x:v>
      </x:c>
      <x:c r="J40" s="14" t="str">
        <x:v>Perfil</x:v>
      </x:c>
    </x:row>
    <x:row r="41">
      <x:c r="A41" s="14" t="n">
        <x:v>36</x:v>
      </x:c>
      <x:c r="B41" s="14" t="str">
        <x:v>CAN</x:v>
      </x:c>
      <x:c r="C41" s="14" t="str">
        <x:v>Candidatos &amp; Carreira</x:v>
      </x:c>
      <x:c r="D41" s="14" t="str">
        <x:v>Currículo / portfólio</x:v>
      </x:c>
      <x:c r="E41" s="14" t="str">
        <x:v>Web/Mobile</x:v>
      </x:c>
      <x:c r="F41" s="14" t="str">
        <x:v>MVP</x:v>
      </x:c>
      <x:c r="G41" s="14" t="str">
        <x:v>Média</x:v>
      </x:c>
      <x:c r="H41" s="14" t="str">
        <x:v>Não</x:v>
      </x:c>
      <x:c r="I41" s="14" t="str">
        <x:v>CORE</x:v>
      </x:c>
      <x:c r="J41" s="14" t="str">
        <x:v>Evidências</x:v>
      </x:c>
    </x:row>
    <x:row r="42">
      <x:c r="A42" s="14" t="n">
        <x:v>37</x:v>
      </x:c>
      <x:c r="B42" s="14" t="str">
        <x:v>CAN</x:v>
      </x:c>
      <x:c r="C42" s="14" t="str">
        <x:v>Candidatos &amp; Carreira</x:v>
      </x:c>
      <x:c r="D42" s="14" t="str">
        <x:v>Competências e interesses</x:v>
      </x:c>
      <x:c r="E42" s="14" t="str">
        <x:v>Web/Mobile</x:v>
      </x:c>
      <x:c r="F42" s="14" t="str">
        <x:v>MVP</x:v>
      </x:c>
      <x:c r="G42" s="14" t="str">
        <x:v>Média</x:v>
      </x:c>
      <x:c r="H42" s="14" t="str">
        <x:v>Não</x:v>
      </x:c>
      <x:c r="I42" s="14" t="str">
        <x:v>CORE</x:v>
      </x:c>
      <x:c r="J42" s="14" t="str">
        <x:v>Skills</x:v>
      </x:c>
    </x:row>
    <x:row r="43">
      <x:c r="A43" s="14" t="n">
        <x:v>38</x:v>
      </x:c>
      <x:c r="B43" s="14" t="str">
        <x:v>CAN</x:v>
      </x:c>
      <x:c r="C43" s="14" t="str">
        <x:v>Candidatos &amp; Carreira</x:v>
      </x:c>
      <x:c r="D43" s="14" t="str">
        <x:v>Oportunidades recomendadas</x:v>
      </x:c>
      <x:c r="E43" s="14" t="str">
        <x:v>Web/Mobile</x:v>
      </x:c>
      <x:c r="F43" s="14" t="str">
        <x:v>MVP</x:v>
      </x:c>
      <x:c r="G43" s="14" t="str">
        <x:v>Alta</x:v>
      </x:c>
      <x:c r="H43" s="14" t="str">
        <x:v>Não</x:v>
      </x:c>
      <x:c r="I43" s="14" t="str">
        <x:v>CORE</x:v>
      </x:c>
      <x:c r="J43" s="14" t="str">
        <x:v>Feed</x:v>
      </x:c>
    </x:row>
    <x:row r="44">
      <x:c r="A44" s="14" t="n">
        <x:v>39</x:v>
      </x:c>
      <x:c r="B44" s="14" t="str">
        <x:v>CAN</x:v>
      </x:c>
      <x:c r="C44" s="14" t="str">
        <x:v>Candidatos &amp; Carreira</x:v>
      </x:c>
      <x:c r="D44" s="14" t="str">
        <x:v>Detalhe da oportunidade</x:v>
      </x:c>
      <x:c r="E44" s="14" t="str">
        <x:v>Web/Mobile</x:v>
      </x:c>
      <x:c r="F44" s="14" t="str">
        <x:v>MVP</x:v>
      </x:c>
      <x:c r="G44" s="14" t="str">
        <x:v>Baixa</x:v>
      </x:c>
      <x:c r="H44" s="14" t="str">
        <x:v>Não</x:v>
      </x:c>
      <x:c r="I44" s="14" t="str">
        <x:v>CORE</x:v>
      </x:c>
      <x:c r="J44" s="14" t="str">
        <x:v>Vaga/projeto</x:v>
      </x:c>
    </x:row>
    <x:row r="45">
      <x:c r="A45" s="14" t="n">
        <x:v>40</x:v>
      </x:c>
      <x:c r="B45" s="14" t="str">
        <x:v>CAN</x:v>
      </x:c>
      <x:c r="C45" s="14" t="str">
        <x:v>Candidatos &amp; Carreira</x:v>
      </x:c>
      <x:c r="D45" s="14" t="str">
        <x:v>Candidatura</x:v>
      </x:c>
      <x:c r="E45" s="14" t="str">
        <x:v>Web/Mobile</x:v>
      </x:c>
      <x:c r="F45" s="14" t="str">
        <x:v>MVP</x:v>
      </x:c>
      <x:c r="G45" s="14" t="str">
        <x:v>Média</x:v>
      </x:c>
      <x:c r="H45" s="14" t="str">
        <x:v>Não</x:v>
      </x:c>
      <x:c r="I45" s="14" t="str">
        <x:v>CORE</x:v>
      </x:c>
      <x:c r="J45" s="14" t="str">
        <x:v>Aplicação</x:v>
      </x:c>
    </x:row>
    <x:row r="46">
      <x:c r="A46" s="14" t="n">
        <x:v>41</x:v>
      </x:c>
      <x:c r="B46" s="14" t="str">
        <x:v>CAN</x:v>
      </x:c>
      <x:c r="C46" s="14" t="str">
        <x:v>Candidatos &amp; Carreira</x:v>
      </x:c>
      <x:c r="D46" s="14" t="str">
        <x:v>Match candidato-vaga</x:v>
      </x:c>
      <x:c r="E46" s="14" t="str">
        <x:v>Web</x:v>
      </x:c>
      <x:c r="F46" s="14" t="str">
        <x:v>MVP</x:v>
      </x:c>
      <x:c r="G46" s="14" t="str">
        <x:v>Muito alta</x:v>
      </x:c>
      <x:c r="H46" s="14" t="str">
        <x:v>Não</x:v>
      </x:c>
      <x:c r="I46" s="14" t="str">
        <x:v>CORE</x:v>
      </x:c>
      <x:c r="J46" s="14" t="str">
        <x:v>Aderência</x:v>
      </x:c>
    </x:row>
    <x:row r="47">
      <x:c r="A47" s="14" t="n">
        <x:v>42</x:v>
      </x:c>
      <x:c r="B47" s="14" t="str">
        <x:v>CAN</x:v>
      </x:c>
      <x:c r="C47" s="14" t="str">
        <x:v>Candidatos &amp; Carreira</x:v>
      </x:c>
      <x:c r="D47" s="14" t="str">
        <x:v>Minha jornada</x:v>
      </x:c>
      <x:c r="E47" s="14" t="str">
        <x:v>Web/Mobile</x:v>
      </x:c>
      <x:c r="F47" s="14" t="str">
        <x:v>MVP</x:v>
      </x:c>
      <x:c r="G47" s="14" t="str">
        <x:v>Média</x:v>
      </x:c>
      <x:c r="H47" s="14" t="str">
        <x:v>Não</x:v>
      </x:c>
      <x:c r="I47" s="14" t="str">
        <x:v>CORE</x:v>
      </x:c>
      <x:c r="J47" s="14" t="str">
        <x:v>Progresso</x:v>
      </x:c>
    </x:row>
    <x:row r="48">
      <x:c r="A48" s="14" t="n">
        <x:v>43</x:v>
      </x:c>
      <x:c r="B48" s="14" t="str">
        <x:v>CAN</x:v>
      </x:c>
      <x:c r="C48" s="14" t="str">
        <x:v>Candidatos &amp; Carreira</x:v>
      </x:c>
      <x:c r="D48" s="14" t="str">
        <x:v>Capacitação recomendada</x:v>
      </x:c>
      <x:c r="E48" s="14" t="str">
        <x:v>Web/Mobile</x:v>
      </x:c>
      <x:c r="F48" s="14" t="str">
        <x:v>Fase 2</x:v>
      </x:c>
      <x:c r="G48" s="14" t="str">
        <x:v>Alta</x:v>
      </x:c>
      <x:c r="H48" s="14" t="str">
        <x:v>Não</x:v>
      </x:c>
      <x:c r="I48" s="14" t="str">
        <x:v>CORE</x:v>
      </x:c>
      <x:c r="J48" s="14" t="str">
        <x:v>Gap-&gt;trilha</x:v>
      </x:c>
    </x:row>
    <x:row r="49">
      <x:c r="A49" s="14" t="n">
        <x:v>44</x:v>
      </x:c>
      <x:c r="B49" s="14" t="str">
        <x:v>CAN</x:v>
      </x:c>
      <x:c r="C49" s="14" t="str">
        <x:v>Candidatos &amp; Carreira</x:v>
      </x:c>
      <x:c r="D49" s="14" t="str">
        <x:v>Mentoria / preparação</x:v>
      </x:c>
      <x:c r="E49" s="14" t="str">
        <x:v>Web/Mobile</x:v>
      </x:c>
      <x:c r="F49" s="14" t="str">
        <x:v>Fase 2</x:v>
      </x:c>
      <x:c r="G49" s="14" t="str">
        <x:v>Média</x:v>
      </x:c>
      <x:c r="H49" s="14" t="str">
        <x:v>Não</x:v>
      </x:c>
      <x:c r="I49" s="14" t="str">
        <x:v>CORE</x:v>
      </x:c>
      <x:c r="J49" s="14" t="str">
        <x:v>Carreira</x:v>
      </x:c>
    </x:row>
    <x:row r="50">
      <x:c r="A50" s="14" t="n">
        <x:v>45</x:v>
      </x:c>
      <x:c r="B50" s="14" t="str">
        <x:v>CAN</x:v>
      </x:c>
      <x:c r="C50" s="14" t="str">
        <x:v>Candidatos &amp; Carreira</x:v>
      </x:c>
      <x:c r="D50" s="14" t="str">
        <x:v>Feedbacks do processo</x:v>
      </x:c>
      <x:c r="E50" s="14" t="str">
        <x:v>Web/Mobile</x:v>
      </x:c>
      <x:c r="F50" s="14" t="str">
        <x:v>Fase 2</x:v>
      </x:c>
      <x:c r="G50" s="14" t="str">
        <x:v>Média</x:v>
      </x:c>
      <x:c r="H50" s="14" t="str">
        <x:v>Não</x:v>
      </x:c>
      <x:c r="I50" s="14" t="str">
        <x:v>CORE</x:v>
      </x:c>
      <x:c r="J50" s="14" t="str">
        <x:v>Retorno</x:v>
      </x:c>
    </x:row>
    <x:row r="51">
      <x:c r="A51" s="14" t="n">
        <x:v>46</x:v>
      </x:c>
      <x:c r="B51" s="14" t="str">
        <x:v>CAN</x:v>
      </x:c>
      <x:c r="C51" s="14" t="str">
        <x:v>Candidatos &amp; Carreira</x:v>
      </x:c>
      <x:c r="D51" s="14" t="str">
        <x:v>Painel empresa - talentos</x:v>
      </x:c>
      <x:c r="E51" s="14" t="str">
        <x:v>Web</x:v>
      </x:c>
      <x:c r="F51" s="14" t="str">
        <x:v>MVP</x:v>
      </x:c>
      <x:c r="G51" s="14" t="str">
        <x:v>Alta</x:v>
      </x:c>
      <x:c r="H51" s="14" t="str">
        <x:v>Não</x:v>
      </x:c>
      <x:c r="I51" s="14" t="str">
        <x:v>CORE</x:v>
      </x:c>
      <x:c r="J51" s="14" t="str">
        <x:v>Shortlist</x:v>
      </x:c>
    </x:row>
    <x:row r="52">
      <x:c r="A52" s="14" t="n">
        <x:v>47</x:v>
      </x:c>
      <x:c r="B52" s="14" t="str">
        <x:v>CAN</x:v>
      </x:c>
      <x:c r="C52" s="14" t="str">
        <x:v>Candidatos &amp; Carreira</x:v>
      </x:c>
      <x:c r="D52" s="14" t="str">
        <x:v>Inteligência de vagas</x:v>
      </x:c>
      <x:c r="E52" s="14" t="str">
        <x:v>Web</x:v>
      </x:c>
      <x:c r="F52" s="14" t="str">
        <x:v>Fase 2</x:v>
      </x:c>
      <x:c r="G52" s="14" t="str">
        <x:v>Muito alta</x:v>
      </x:c>
      <x:c r="H52" s="14" t="str">
        <x:v>Não</x:v>
      </x:c>
      <x:c r="I52" s="14" t="str">
        <x:v>CORE</x:v>
      </x:c>
      <x:c r="J52" s="14" t="str">
        <x:v>Requisitos por evidência</x:v>
      </x:c>
    </x:row>
    <x:row r="53">
      <x:c r="A53" s="14" t="n">
        <x:v>48</x:v>
      </x:c>
      <x:c r="B53" s="14" t="str">
        <x:v>FOR</x:v>
      </x:c>
      <x:c r="C53" s="14" t="str">
        <x:v>Fornecedores &amp; Negócios</x:v>
      </x:c>
      <x:c r="D53" s="14" t="str">
        <x:v>Perfil do fornecedor</x:v>
      </x:c>
      <x:c r="E53" s="14" t="str">
        <x:v>Web</x:v>
      </x:c>
      <x:c r="F53" s="14" t="str">
        <x:v>MVP</x:v>
      </x:c>
      <x:c r="G53" s="14" t="str">
        <x:v>Média</x:v>
      </x:c>
      <x:c r="H53" s="14" t="str">
        <x:v>Parcial</x:v>
      </x:c>
      <x:c r="I53" s="14" t="str">
        <x:v>CORE</x:v>
      </x:c>
      <x:c r="J53" s="14" t="str">
        <x:v>Capacidades</x:v>
      </x:c>
    </x:row>
    <x:row r="54">
      <x:c r="A54" s="14" t="n">
        <x:v>49</x:v>
      </x:c>
      <x:c r="B54" s="14" t="str">
        <x:v>FOR</x:v>
      </x:c>
      <x:c r="C54" s="14" t="str">
        <x:v>Fornecedores &amp; Negócios</x:v>
      </x:c>
      <x:c r="D54" s="14" t="str">
        <x:v>Documentos e compliance</x:v>
      </x:c>
      <x:c r="E54" s="14" t="str">
        <x:v>Web</x:v>
      </x:c>
      <x:c r="F54" s="14" t="str">
        <x:v>MVP</x:v>
      </x:c>
      <x:c r="G54" s="14" t="str">
        <x:v>Alta</x:v>
      </x:c>
      <x:c r="H54" s="14" t="str">
        <x:v>Não</x:v>
      </x:c>
      <x:c r="I54" s="14" t="str">
        <x:v>CORE</x:v>
      </x:c>
      <x:c r="J54" s="14" t="str">
        <x:v>Certificações</x:v>
      </x:c>
    </x:row>
    <x:row r="55">
      <x:c r="A55" s="14" t="n">
        <x:v>50</x:v>
      </x:c>
      <x:c r="B55" s="14" t="str">
        <x:v>FOR</x:v>
      </x:c>
      <x:c r="C55" s="14" t="str">
        <x:v>Fornecedores &amp; Negócios</x:v>
      </x:c>
      <x:c r="D55" s="14" t="str">
        <x:v>Maturidade</x:v>
      </x:c>
      <x:c r="E55" s="14" t="str">
        <x:v>Web</x:v>
      </x:c>
      <x:c r="F55" s="14" t="str">
        <x:v>MVP</x:v>
      </x:c>
      <x:c r="G55" s="14" t="str">
        <x:v>Alta</x:v>
      </x:c>
      <x:c r="H55" s="14" t="str">
        <x:v>Não</x:v>
      </x:c>
      <x:c r="I55" s="14" t="str">
        <x:v>CORE</x:v>
      </x:c>
      <x:c r="J55" s="14" t="str">
        <x:v>Diagnóstico</x:v>
      </x:c>
    </x:row>
    <x:row r="56">
      <x:c r="A56" s="14" t="n">
        <x:v>51</x:v>
      </x:c>
      <x:c r="B56" s="14" t="str">
        <x:v>FOR</x:v>
      </x:c>
      <x:c r="C56" s="14" t="str">
        <x:v>Fornecedores &amp; Negócios</x:v>
      </x:c>
      <x:c r="D56" s="14" t="str">
        <x:v>Plano de desenvolvimento</x:v>
      </x:c>
      <x:c r="E56" s="14" t="str">
        <x:v>Web</x:v>
      </x:c>
      <x:c r="F56" s="14" t="str">
        <x:v>MVP</x:v>
      </x:c>
      <x:c r="G56" s="14" t="str">
        <x:v>Alta</x:v>
      </x:c>
      <x:c r="H56" s="14" t="str">
        <x:v>Parcial</x:v>
      </x:c>
      <x:c r="I56" s="14" t="str">
        <x:v>CORE</x:v>
      </x:c>
      <x:c r="J56" s="14" t="str">
        <x:v>Gaps</x:v>
      </x:c>
    </x:row>
    <x:row r="57">
      <x:c r="A57" s="14" t="n">
        <x:v>52</x:v>
      </x:c>
      <x:c r="B57" s="14" t="str">
        <x:v>FOR</x:v>
      </x:c>
      <x:c r="C57" s="14" t="str">
        <x:v>Fornecedores &amp; Negócios</x:v>
      </x:c>
      <x:c r="D57" s="14" t="str">
        <x:v>Trilhas / apoio</x:v>
      </x:c>
      <x:c r="E57" s="14" t="str">
        <x:v>Web</x:v>
      </x:c>
      <x:c r="F57" s="14" t="str">
        <x:v>Fase 2</x:v>
      </x:c>
      <x:c r="G57" s="14" t="str">
        <x:v>Média</x:v>
      </x:c>
      <x:c r="H57" s="14" t="str">
        <x:v>Não</x:v>
      </x:c>
      <x:c r="I57" s="14" t="str">
        <x:v>CORE</x:v>
      </x:c>
      <x:c r="J57" s="14" t="str">
        <x:v>Cursos/crédito</x:v>
      </x:c>
    </x:row>
    <x:row r="58">
      <x:c r="A58" s="14" t="n">
        <x:v>53</x:v>
      </x:c>
      <x:c r="B58" s="14" t="str">
        <x:v>FOR</x:v>
      </x:c>
      <x:c r="C58" s="14" t="str">
        <x:v>Fornecedores &amp; Negócios</x:v>
      </x:c>
      <x:c r="D58" s="14" t="str">
        <x:v>Oportunidades / demandas</x:v>
      </x:c>
      <x:c r="E58" s="14" t="str">
        <x:v>Web</x:v>
      </x:c>
      <x:c r="F58" s="14" t="str">
        <x:v>MVP</x:v>
      </x:c>
      <x:c r="G58" s="14" t="str">
        <x:v>Média</x:v>
      </x:c>
      <x:c r="H58" s="14" t="str">
        <x:v>Não</x:v>
      </x:c>
      <x:c r="I58" s="14" t="str">
        <x:v>CORE</x:v>
      </x:c>
      <x:c r="J58" s="14" t="str">
        <x:v>Compras</x:v>
      </x:c>
    </x:row>
    <x:row r="59">
      <x:c r="A59" s="14" t="n">
        <x:v>54</x:v>
      </x:c>
      <x:c r="B59" s="14" t="str">
        <x:v>FOR</x:v>
      </x:c>
      <x:c r="C59" s="14" t="str">
        <x:v>Fornecedores &amp; Negócios</x:v>
      </x:c>
      <x:c r="D59" s="14" t="str">
        <x:v>Detalhe da demanda</x:v>
      </x:c>
      <x:c r="E59" s="14" t="str">
        <x:v>Web</x:v>
      </x:c>
      <x:c r="F59" s="14" t="str">
        <x:v>MVP</x:v>
      </x:c>
      <x:c r="G59" s="14" t="str">
        <x:v>Baixa</x:v>
      </x:c>
      <x:c r="H59" s="14" t="str">
        <x:v>Não</x:v>
      </x:c>
      <x:c r="I59" s="14" t="str">
        <x:v>CORE</x:v>
      </x:c>
      <x:c r="J59" s="14" t="str">
        <x:v>Critérios</x:v>
      </x:c>
    </x:row>
    <x:row r="60">
      <x:c r="A60" s="14" t="n">
        <x:v>55</x:v>
      </x:c>
      <x:c r="B60" s="14" t="str">
        <x:v>FOR</x:v>
      </x:c>
      <x:c r="C60" s="14" t="str">
        <x:v>Fornecedores &amp; Negócios</x:v>
      </x:c>
      <x:c r="D60" s="14" t="str">
        <x:v>Match fornecedor-demanda</x:v>
      </x:c>
      <x:c r="E60" s="14" t="str">
        <x:v>Web</x:v>
      </x:c>
      <x:c r="F60" s="14" t="str">
        <x:v>MVP</x:v>
      </x:c>
      <x:c r="G60" s="14" t="str">
        <x:v>Muito alta</x:v>
      </x:c>
      <x:c r="H60" s="14" t="str">
        <x:v>Não</x:v>
      </x:c>
      <x:c r="I60" s="14" t="str">
        <x:v>CORE</x:v>
      </x:c>
      <x:c r="J60" s="14" t="str">
        <x:v>Aderência</x:v>
      </x:c>
    </x:row>
    <x:row r="61">
      <x:c r="A61" s="14" t="n">
        <x:v>56</x:v>
      </x:c>
      <x:c r="B61" s="14" t="str">
        <x:v>FOR</x:v>
      </x:c>
      <x:c r="C61" s="14" t="str">
        <x:v>Fornecedores &amp; Negócios</x:v>
      </x:c>
      <x:c r="D61" s="14" t="str">
        <x:v>Painel empresa compradora</x:v>
      </x:c>
      <x:c r="E61" s="14" t="str">
        <x:v>Web</x:v>
      </x:c>
      <x:c r="F61" s="14" t="str">
        <x:v>MVP</x:v>
      </x:c>
      <x:c r="G61" s="14" t="str">
        <x:v>Alta</x:v>
      </x:c>
      <x:c r="H61" s="14" t="str">
        <x:v>Não</x:v>
      </x:c>
      <x:c r="I61" s="14" t="str">
        <x:v>CORE</x:v>
      </x:c>
      <x:c r="J61" s="14" t="str">
        <x:v>Criar demanda</x:v>
      </x:c>
    </x:row>
    <x:row r="62">
      <x:c r="A62" s="14" t="n">
        <x:v>57</x:v>
      </x:c>
      <x:c r="B62" s="14" t="str">
        <x:v>FOR</x:v>
      </x:c>
      <x:c r="C62" s="14" t="str">
        <x:v>Fornecedores &amp; Negócios</x:v>
      </x:c>
      <x:c r="D62" s="14" t="str">
        <x:v>Reuniões / conexões</x:v>
      </x:c>
      <x:c r="E62" s="14" t="str">
        <x:v>Web</x:v>
      </x:c>
      <x:c r="F62" s="14" t="str">
        <x:v>MVP</x:v>
      </x:c>
      <x:c r="G62" s="14" t="str">
        <x:v>Média</x:v>
      </x:c>
      <x:c r="H62" s="14" t="str">
        <x:v>Não</x:v>
      </x:c>
      <x:c r="I62" s="14" t="str">
        <x:v>CORE</x:v>
      </x:c>
      <x:c r="J62" s="14" t="str">
        <x:v>Agenda</x:v>
      </x:c>
    </x:row>
    <x:row r="63">
      <x:c r="A63" s="14" t="n">
        <x:v>58</x:v>
      </x:c>
      <x:c r="B63" s="14" t="str">
        <x:v>FOR</x:v>
      </x:c>
      <x:c r="C63" s="14" t="str">
        <x:v>Fornecedores &amp; Negócios</x:v>
      </x:c>
      <x:c r="D63" s="14" t="str">
        <x:v>Propostas</x:v>
      </x:c>
      <x:c r="E63" s="14" t="str">
        <x:v>Web</x:v>
      </x:c>
      <x:c r="F63" s="14" t="str">
        <x:v>Fase 2</x:v>
      </x:c>
      <x:c r="G63" s="14" t="str">
        <x:v>Alta</x:v>
      </x:c>
      <x:c r="H63" s="14" t="str">
        <x:v>Não</x:v>
      </x:c>
      <x:c r="I63" s="14" t="str">
        <x:v>CORE</x:v>
      </x:c>
      <x:c r="J63" s="14" t="str">
        <x:v>Pipeline</x:v>
      </x:c>
    </x:row>
    <x:row r="64">
      <x:c r="A64" s="14" t="n">
        <x:v>59</x:v>
      </x:c>
      <x:c r="B64" s="14" t="str">
        <x:v>FOR</x:v>
      </x:c>
      <x:c r="C64" s="14" t="str">
        <x:v>Fornecedores &amp; Negócios</x:v>
      </x:c>
      <x:c r="D64" s="14" t="str">
        <x:v>Negociações</x:v>
      </x:c>
      <x:c r="E64" s="14" t="str">
        <x:v>Web</x:v>
      </x:c>
      <x:c r="F64" s="14" t="str">
        <x:v>Fase 2</x:v>
      </x:c>
      <x:c r="G64" s="14" t="str">
        <x:v>Alta</x:v>
      </x:c>
      <x:c r="H64" s="14" t="str">
        <x:v>Não</x:v>
      </x:c>
      <x:c r="I64" s="14" t="str">
        <x:v>CORE</x:v>
      </x:c>
      <x:c r="J64" s="14" t="str">
        <x:v>Pipeline</x:v>
      </x:c>
    </x:row>
    <x:row r="65">
      <x:c r="A65" s="14" t="n">
        <x:v>60</x:v>
      </x:c>
      <x:c r="B65" s="14" t="str">
        <x:v>FOR</x:v>
      </x:c>
      <x:c r="C65" s="14" t="str">
        <x:v>Fornecedores &amp; Negócios</x:v>
      </x:c>
      <x:c r="D65" s="14" t="str">
        <x:v>Contratos / negócios</x:v>
      </x:c>
      <x:c r="E65" s="14" t="str">
        <x:v>Web</x:v>
      </x:c>
      <x:c r="F65" s="14" t="str">
        <x:v>Fase 2</x:v>
      </x:c>
      <x:c r="G65" s="14" t="str">
        <x:v>Alta</x:v>
      </x:c>
      <x:c r="H65" s="14" t="str">
        <x:v>Não</x:v>
      </x:c>
      <x:c r="I65" s="14" t="str">
        <x:v>CORE</x:v>
      </x:c>
      <x:c r="J65" s="14" t="str">
        <x:v>Conversão</x:v>
      </x:c>
    </x:row>
    <x:row r="66">
      <x:c r="A66" s="14" t="n">
        <x:v>61</x:v>
      </x:c>
      <x:c r="B66" s="14" t="str">
        <x:v>FOR</x:v>
      </x:c>
      <x:c r="C66" s="14" t="str">
        <x:v>Fornecedores &amp; Negócios</x:v>
      </x:c>
      <x:c r="D66" s="14" t="str">
        <x:v>Indicadores do ecossistema</x:v>
      </x:c>
      <x:c r="E66" s="14" t="str">
        <x:v>Web</x:v>
      </x:c>
      <x:c r="F66" s="14" t="str">
        <x:v>MVP</x:v>
      </x:c>
      <x:c r="G66" s="14" t="str">
        <x:v>Alta</x:v>
      </x:c>
      <x:c r="H66" s="14" t="str">
        <x:v>Parcial</x:v>
      </x:c>
      <x:c r="I66" s="14" t="str">
        <x:v>CORE</x:v>
      </x:c>
      <x:c r="J66" s="14" t="str">
        <x:v>Impacto</x:v>
      </x:c>
    </x:row>
    <x:row r="67">
      <x:c r="A67" s="14" t="n">
        <x:v>62</x:v>
      </x:c>
      <x:c r="B67" s="14" t="str">
        <x:v>ACA</x:v>
      </x:c>
      <x:c r="C67" s="14" t="str">
        <x:v>Acadêmico / Universidades</x:v>
      </x:c>
      <x:c r="D67" s="14" t="str">
        <x:v>Portal da universidade</x:v>
      </x:c>
      <x:c r="E67" s="14" t="str">
        <x:v>Web</x:v>
      </x:c>
      <x:c r="F67" s="14" t="str">
        <x:v>MVP</x:v>
      </x:c>
      <x:c r="G67" s="14" t="str">
        <x:v>Média</x:v>
      </x:c>
      <x:c r="H67" s="14" t="str">
        <x:v>Não</x:v>
      </x:c>
      <x:c r="I67" s="14" t="str">
        <x:v>CORE</x:v>
      </x:c>
      <x:c r="J67" s="14" t="str">
        <x:v>Institucional</x:v>
      </x:c>
    </x:row>
    <x:row r="68">
      <x:c r="A68" s="14" t="n">
        <x:v>63</x:v>
      </x:c>
      <x:c r="B68" s="14" t="str">
        <x:v>ACA</x:v>
      </x:c>
      <x:c r="C68" s="14" t="str">
        <x:v>Acadêmico / Universidades</x:v>
      </x:c>
      <x:c r="D68" s="14" t="str">
        <x:v>Perfil acadêmico do aluno</x:v>
      </x:c>
      <x:c r="E68" s="14" t="str">
        <x:v>Web/Mobile</x:v>
      </x:c>
      <x:c r="F68" s="14" t="str">
        <x:v>MVP</x:v>
      </x:c>
      <x:c r="G68" s="14" t="str">
        <x:v>Média</x:v>
      </x:c>
      <x:c r="H68" s="14" t="str">
        <x:v>Parcial</x:v>
      </x:c>
      <x:c r="I68" s="14" t="str">
        <x:v>CORE</x:v>
      </x:c>
      <x:c r="J68" s="14" t="str">
        <x:v>Formação</x:v>
      </x:c>
    </x:row>
    <x:row r="69">
      <x:c r="A69" s="14" t="n">
        <x:v>64</x:v>
      </x:c>
      <x:c r="B69" s="14" t="str">
        <x:v>ACA</x:v>
      </x:c>
      <x:c r="C69" s="14" t="str">
        <x:v>Acadêmico / Universidades</x:v>
      </x:c>
      <x:c r="D69" s="14" t="str">
        <x:v>Perfil pesquisador/docente</x:v>
      </x:c>
      <x:c r="E69" s="14" t="str">
        <x:v>Web</x:v>
      </x:c>
      <x:c r="F69" s="14" t="str">
        <x:v>Fase 2</x:v>
      </x:c>
      <x:c r="G69" s="14" t="str">
        <x:v>Média</x:v>
      </x:c>
      <x:c r="H69" s="14" t="str">
        <x:v>Parcial</x:v>
      </x:c>
      <x:c r="I69" s="14" t="str">
        <x:v>CORE</x:v>
      </x:c>
      <x:c r="J69" s="14" t="str">
        <x:v>Linhas</x:v>
      </x:c>
    </x:row>
    <x:row r="70">
      <x:c r="A70" s="14" t="n">
        <x:v>65</x:v>
      </x:c>
      <x:c r="B70" s="14" t="str">
        <x:v>ACA</x:v>
      </x:c>
      <x:c r="C70" s="14" t="str">
        <x:v>Acadêmico / Universidades</x:v>
      </x:c>
      <x:c r="D70" s="14" t="str">
        <x:v>Oportunidades acadêmicas</x:v>
      </x:c>
      <x:c r="E70" s="14" t="str">
        <x:v>Web/Mobile</x:v>
      </x:c>
      <x:c r="F70" s="14" t="str">
        <x:v>MVP</x:v>
      </x:c>
      <x:c r="G70" s="14" t="str">
        <x:v>Média</x:v>
      </x:c>
      <x:c r="H70" s="14" t="str">
        <x:v>Não</x:v>
      </x:c>
      <x:c r="I70" s="14" t="str">
        <x:v>CORE</x:v>
      </x:c>
      <x:c r="J70" s="14" t="str">
        <x:v>Bolsas/projetos</x:v>
      </x:c>
    </x:row>
    <x:row r="71">
      <x:c r="A71" s="14" t="n">
        <x:v>66</x:v>
      </x:c>
      <x:c r="B71" s="14" t="str">
        <x:v>ACA</x:v>
      </x:c>
      <x:c r="C71" s="14" t="str">
        <x:v>Acadêmico / Universidades</x:v>
      </x:c>
      <x:c r="D71" s="14" t="str">
        <x:v>Projetos empresa-universidade</x:v>
      </x:c>
      <x:c r="E71" s="14" t="str">
        <x:v>Web</x:v>
      </x:c>
      <x:c r="F71" s="14" t="str">
        <x:v>MVP</x:v>
      </x:c>
      <x:c r="G71" s="14" t="str">
        <x:v>Alta</x:v>
      </x:c>
      <x:c r="H71" s="14" t="str">
        <x:v>Não</x:v>
      </x:c>
      <x:c r="I71" s="14" t="str">
        <x:v>CORE</x:v>
      </x:c>
      <x:c r="J71" s="14" t="str">
        <x:v>Desafios</x:v>
      </x:c>
    </x:row>
    <x:row r="72">
      <x:c r="A72" s="14" t="n">
        <x:v>67</x:v>
      </x:c>
      <x:c r="B72" s="14" t="str">
        <x:v>ACA</x:v>
      </x:c>
      <x:c r="C72" s="14" t="str">
        <x:v>Acadêmico / Universidades</x:v>
      </x:c>
      <x:c r="D72" s="14" t="str">
        <x:v>Match aluno-projeto</x:v>
      </x:c>
      <x:c r="E72" s="14" t="str">
        <x:v>Web</x:v>
      </x:c>
      <x:c r="F72" s="14" t="str">
        <x:v>MVP</x:v>
      </x:c>
      <x:c r="G72" s="14" t="str">
        <x:v>Alta</x:v>
      </x:c>
      <x:c r="H72" s="14" t="str">
        <x:v>Não</x:v>
      </x:c>
      <x:c r="I72" s="14" t="str">
        <x:v>CORE</x:v>
      </x:c>
      <x:c r="J72" s="14" t="str">
        <x:v>Aderência</x:v>
      </x:c>
    </x:row>
    <x:row r="73">
      <x:c r="A73" s="14" t="n">
        <x:v>68</x:v>
      </x:c>
      <x:c r="B73" s="14" t="str">
        <x:v>ACA</x:v>
      </x:c>
      <x:c r="C73" s="14" t="str">
        <x:v>Acadêmico / Universidades</x:v>
      </x:c>
      <x:c r="D73" s="14" t="str">
        <x:v>Match pesquisador-empresa</x:v>
      </x:c>
      <x:c r="E73" s="14" t="str">
        <x:v>Web</x:v>
      </x:c>
      <x:c r="F73" s="14" t="str">
        <x:v>Fase 2</x:v>
      </x:c>
      <x:c r="G73" s="14" t="str">
        <x:v>Muito alta</x:v>
      </x:c>
      <x:c r="H73" s="14" t="str">
        <x:v>Não</x:v>
      </x:c>
      <x:c r="I73" s="14" t="str">
        <x:v>CORE</x:v>
      </x:c>
      <x:c r="J73" s="14" t="str">
        <x:v>Pesquisa aplicada</x:v>
      </x:c>
    </x:row>
    <x:row r="74">
      <x:c r="A74" s="14" t="n">
        <x:v>69</x:v>
      </x:c>
      <x:c r="B74" s="14" t="str">
        <x:v>ACA</x:v>
      </x:c>
      <x:c r="C74" s="14" t="str">
        <x:v>Acadêmico / Universidades</x:v>
      </x:c>
      <x:c r="D74" s="14" t="str">
        <x:v>Estágios e carreira</x:v>
      </x:c>
      <x:c r="E74" s="14" t="str">
        <x:v>Web/Mobile</x:v>
      </x:c>
      <x:c r="F74" s="14" t="str">
        <x:v>MVP</x:v>
      </x:c>
      <x:c r="G74" s="14" t="str">
        <x:v>Alta</x:v>
      </x:c>
      <x:c r="H74" s="14" t="str">
        <x:v>Não</x:v>
      </x:c>
      <x:c r="I74" s="14" t="str">
        <x:v>CORE</x:v>
      </x:c>
      <x:c r="J74" s="14" t="str">
        <x:v>Integra CAN</x:v>
      </x:c>
    </x:row>
    <x:row r="75">
      <x:c r="A75" s="14" t="n">
        <x:v>70</x:v>
      </x:c>
      <x:c r="B75" s="14" t="str">
        <x:v>ACA</x:v>
      </x:c>
      <x:c r="C75" s="14" t="str">
        <x:v>Acadêmico / Universidades</x:v>
      </x:c>
      <x:c r="D75" s="14" t="str">
        <x:v>Bolsas corporativas</x:v>
      </x:c>
      <x:c r="E75" s="14" t="str">
        <x:v>Web</x:v>
      </x:c>
      <x:c r="F75" s="14" t="str">
        <x:v>MVP</x:v>
      </x:c>
      <x:c r="G75" s="14" t="str">
        <x:v>Média</x:v>
      </x:c>
      <x:c r="H75" s="14" t="str">
        <x:v>Não</x:v>
      </x:c>
      <x:c r="I75" s="14" t="str">
        <x:v>CORE</x:v>
      </x:c>
      <x:c r="J75" s="14" t="str">
        <x:v>Empresa-&gt;aluno</x:v>
      </x:c>
    </x:row>
    <x:row r="76">
      <x:c r="A76" s="14" t="n">
        <x:v>71</x:v>
      </x:c>
      <x:c r="B76" s="14" t="str">
        <x:v>ACA</x:v>
      </x:c>
      <x:c r="C76" s="14" t="str">
        <x:v>Acadêmico / Universidades</x:v>
      </x:c>
      <x:c r="D76" s="14" t="str">
        <x:v>Formação / trilhas</x:v>
      </x:c>
      <x:c r="E76" s="14" t="str">
        <x:v>Web/Mobile</x:v>
      </x:c>
      <x:c r="F76" s="14" t="str">
        <x:v>Fase 2</x:v>
      </x:c>
      <x:c r="G76" s="14" t="str">
        <x:v>Média</x:v>
      </x:c>
      <x:c r="H76" s="14" t="str">
        <x:v>Não</x:v>
      </x:c>
      <x:c r="I76" s="14" t="str">
        <x:v>CORE</x:v>
      </x:c>
      <x:c r="J76" s="14" t="str">
        <x:v>Desenvolvimento</x:v>
      </x:c>
    </x:row>
    <x:row r="77">
      <x:c r="A77" s="14" t="n">
        <x:v>72</x:v>
      </x:c>
      <x:c r="B77" s="14" t="str">
        <x:v>ACA</x:v>
      </x:c>
      <x:c r="C77" s="14" t="str">
        <x:v>Acadêmico / Universidades</x:v>
      </x:c>
      <x:c r="D77" s="14" t="str">
        <x:v>Acompanhamento de projeto</x:v>
      </x:c>
      <x:c r="E77" s="14" t="str">
        <x:v>Web</x:v>
      </x:c>
      <x:c r="F77" s="14" t="str">
        <x:v>Fase 2</x:v>
      </x:c>
      <x:c r="G77" s="14" t="str">
        <x:v>Alta</x:v>
      </x:c>
      <x:c r="H77" s="14" t="str">
        <x:v>Não</x:v>
      </x:c>
      <x:c r="I77" s="14" t="str">
        <x:v>CORE</x:v>
      </x:c>
      <x:c r="J77" s="14" t="str">
        <x:v>Entregas</x:v>
      </x:c>
    </x:row>
    <x:row r="78">
      <x:c r="A78" s="14" t="n">
        <x:v>73</x:v>
      </x:c>
      <x:c r="B78" s="14" t="str">
        <x:v>ACA</x:v>
      </x:c>
      <x:c r="C78" s="14" t="str">
        <x:v>Acadêmico / Universidades</x:v>
      </x:c>
      <x:c r="D78" s="14" t="str">
        <x:v>Indicadores universidade-mercado</x:v>
      </x:c>
      <x:c r="E78" s="14" t="str">
        <x:v>Web</x:v>
      </x:c>
      <x:c r="F78" s="14" t="str">
        <x:v>MVP</x:v>
      </x:c>
      <x:c r="G78" s="14" t="str">
        <x:v>Alta</x:v>
      </x:c>
      <x:c r="H78" s="14" t="str">
        <x:v>Parcial</x:v>
      </x:c>
      <x:c r="I78" s="14" t="str">
        <x:v>CORE</x:v>
      </x:c>
      <x:c r="J78" s="14" t="str">
        <x:v>Impacto</x:v>
      </x:c>
    </x:row>
    <x:row r="79">
      <x:c r="A79" s="14" t="n">
        <x:v>74</x:v>
      </x:c>
      <x:c r="B79" s="14" t="str">
        <x:v>EVT</x:v>
      </x:c>
      <x:c r="C79" s="14" t="str">
        <x:v>Eventos</x:v>
      </x:c>
      <x:c r="D79" s="14" t="str">
        <x:v>Visão geral do evento</x:v>
      </x:c>
      <x:c r="E79" s="14" t="str">
        <x:v>Web</x:v>
      </x:c>
      <x:c r="F79" s="14" t="str">
        <x:v>MVP</x:v>
      </x:c>
      <x:c r="G79" s="14" t="str">
        <x:v>Alta</x:v>
      </x:c>
      <x:c r="H79" s="14" t="str">
        <x:v>Não</x:v>
      </x:c>
      <x:c r="I79" s="14" t="str">
        <x:v>CORE</x:v>
      </x:c>
      <x:c r="J79" s="14" t="str">
        <x:v>Dashboard</x:v>
      </x:c>
    </x:row>
    <x:row r="80">
      <x:c r="A80" s="14" t="n">
        <x:v>75</x:v>
      </x:c>
      <x:c r="B80" s="14" t="str">
        <x:v>EVT</x:v>
      </x:c>
      <x:c r="C80" s="14" t="str">
        <x:v>Eventos</x:v>
      </x:c>
      <x:c r="D80" s="14" t="str">
        <x:v>Planejamento / metas</x:v>
      </x:c>
      <x:c r="E80" s="14" t="str">
        <x:v>Web</x:v>
      </x:c>
      <x:c r="F80" s="14" t="str">
        <x:v>MVP</x:v>
      </x:c>
      <x:c r="G80" s="14" t="str">
        <x:v>Média</x:v>
      </x:c>
      <x:c r="H80" s="14" t="str">
        <x:v>Não</x:v>
      </x:c>
      <x:c r="I80" s="14" t="str">
        <x:v>CORE</x:v>
      </x:c>
      <x:c r="J80" s="14" t="str">
        <x:v>KPIs</x:v>
      </x:c>
    </x:row>
    <x:row r="81">
      <x:c r="A81" s="14" t="n">
        <x:v>76</x:v>
      </x:c>
      <x:c r="B81" s="14" t="str">
        <x:v>EVT</x:v>
      </x:c>
      <x:c r="C81" s="14" t="str">
        <x:v>Eventos</x:v>
      </x:c>
      <x:c r="D81" s="14" t="str">
        <x:v>Talentos / equipes</x:v>
      </x:c>
      <x:c r="E81" s="14" t="str">
        <x:v>Web</x:v>
      </x:c>
      <x:c r="F81" s="14" t="str">
        <x:v>MVP</x:v>
      </x:c>
      <x:c r="G81" s="14" t="str">
        <x:v>Alta</x:v>
      </x:c>
      <x:c r="H81" s="14" t="str">
        <x:v>Não</x:v>
      </x:c>
      <x:c r="I81" s="14" t="str">
        <x:v>CORE</x:v>
      </x:c>
      <x:c r="J81" s="14" t="str">
        <x:v>CAN</x:v>
      </x:c>
    </x:row>
    <x:row r="82">
      <x:c r="A82" s="14" t="n">
        <x:v>77</x:v>
      </x:c>
      <x:c r="B82" s="14" t="str">
        <x:v>EVT</x:v>
      </x:c>
      <x:c r="C82" s="14" t="str">
        <x:v>Eventos</x:v>
      </x:c>
      <x:c r="D82" s="14" t="str">
        <x:v>Fornecedores do evento</x:v>
      </x:c>
      <x:c r="E82" s="14" t="str">
        <x:v>Web</x:v>
      </x:c>
      <x:c r="F82" s="14" t="str">
        <x:v>MVP</x:v>
      </x:c>
      <x:c r="G82" s="14" t="str">
        <x:v>Alta</x:v>
      </x:c>
      <x:c r="H82" s="14" t="str">
        <x:v>Não</x:v>
      </x:c>
      <x:c r="I82" s="14" t="str">
        <x:v>CORE</x:v>
      </x:c>
      <x:c r="J82" s="14" t="str">
        <x:v>FOR</x:v>
      </x:c>
    </x:row>
    <x:row r="83">
      <x:c r="A83" s="14" t="n">
        <x:v>78</x:v>
      </x:c>
      <x:c r="B83" s="14" t="str">
        <x:v>EVT</x:v>
      </x:c>
      <x:c r="C83" s="14" t="str">
        <x:v>Eventos</x:v>
      </x:c>
      <x:c r="D83" s="14" t="str">
        <x:v>Demandas e contratações</x:v>
      </x:c>
      <x:c r="E83" s="14" t="str">
        <x:v>Web</x:v>
      </x:c>
      <x:c r="F83" s="14" t="str">
        <x:v>MVP</x:v>
      </x:c>
      <x:c r="G83" s="14" t="str">
        <x:v>Alta</x:v>
      </x:c>
      <x:c r="H83" s="14" t="str">
        <x:v>Não</x:v>
      </x:c>
      <x:c r="I83" s="14" t="str">
        <x:v>CORE</x:v>
      </x:c>
      <x:c r="J83" s="14" t="str">
        <x:v>Compras</x:v>
      </x:c>
    </x:row>
    <x:row r="84">
      <x:c r="A84" s="14" t="n">
        <x:v>79</x:v>
      </x:c>
      <x:c r="B84" s="14" t="str">
        <x:v>EVT</x:v>
      </x:c>
      <x:c r="C84" s="14" t="str">
        <x:v>Eventos</x:v>
      </x:c>
      <x:c r="D84" s="14" t="str">
        <x:v>Patrocínios / marcas</x:v>
      </x:c>
      <x:c r="E84" s="14" t="str">
        <x:v>Web</x:v>
      </x:c>
      <x:c r="F84" s="14" t="str">
        <x:v>Fase 2</x:v>
      </x:c>
      <x:c r="G84" s="14" t="str">
        <x:v>Alta</x:v>
      </x:c>
      <x:c r="H84" s="14" t="str">
        <x:v>Não</x:v>
      </x:c>
      <x:c r="I84" s="14" t="str">
        <x:v>CORE</x:v>
      </x:c>
      <x:c r="J84" s="14" t="str">
        <x:v>Retorno</x:v>
      </x:c>
    </x:row>
    <x:row r="85">
      <x:c r="A85" s="14" t="n">
        <x:v>80</x:v>
      </x:c>
      <x:c r="B85" s="14" t="str">
        <x:v>EVT</x:v>
      </x:c>
      <x:c r="C85" s="14" t="str">
        <x:v>Eventos</x:v>
      </x:c>
      <x:c r="D85" s="14" t="str">
        <x:v>Artistas / criadores</x:v>
      </x:c>
      <x:c r="E85" s="14" t="str">
        <x:v>Web</x:v>
      </x:c>
      <x:c r="F85" s="14" t="str">
        <x:v>Fase 2</x:v>
      </x:c>
      <x:c r="G85" s="14" t="str">
        <x:v>Média</x:v>
      </x:c>
      <x:c r="H85" s="14" t="str">
        <x:v>Não</x:v>
      </x:c>
      <x:c r="I85" s="14" t="str">
        <x:v>CORE</x:v>
      </x:c>
      <x:c r="J85" s="14" t="str">
        <x:v>Conexões</x:v>
      </x:c>
    </x:row>
    <x:row r="86">
      <x:c r="A86" s="14" t="n">
        <x:v>81</x:v>
      </x:c>
      <x:c r="B86" s="14" t="str">
        <x:v>EVT</x:v>
      </x:c>
      <x:c r="C86" s="14" t="str">
        <x:v>Eventos</x:v>
      </x:c>
      <x:c r="D86" s="14" t="str">
        <x:v>Pesquisa de público / mercado</x:v>
      </x:c>
      <x:c r="E86" s="14" t="str">
        <x:v>Web/Mobile</x:v>
      </x:c>
      <x:c r="F86" s="14" t="str">
        <x:v>MVP</x:v>
      </x:c>
      <x:c r="G86" s="14" t="str">
        <x:v>Alta</x:v>
      </x:c>
      <x:c r="H86" s="14" t="str">
        <x:v>Não</x:v>
      </x:c>
      <x:c r="I86" s="14" t="str">
        <x:v>CORE</x:v>
      </x:c>
      <x:c r="J86" s="14" t="str">
        <x:v>Insights</x:v>
      </x:c>
    </x:row>
    <x:row r="87">
      <x:c r="A87" s="14" t="n">
        <x:v>82</x:v>
      </x:c>
      <x:c r="B87" s="14" t="str">
        <x:v>EVT</x:v>
      </x:c>
      <x:c r="C87" s="14" t="str">
        <x:v>Eventos</x:v>
      </x:c>
      <x:c r="D87" s="14" t="str">
        <x:v>Acessibilidade</x:v>
      </x:c>
      <x:c r="E87" s="14" t="str">
        <x:v>Web</x:v>
      </x:c>
      <x:c r="F87" s="14" t="str">
        <x:v>MVP</x:v>
      </x:c>
      <x:c r="G87" s="14" t="str">
        <x:v>Média</x:v>
      </x:c>
      <x:c r="H87" s="14" t="str">
        <x:v>Não</x:v>
      </x:c>
      <x:c r="I87" s="14" t="str">
        <x:v>CORE</x:v>
      </x:c>
      <x:c r="J87" s="14" t="str">
        <x:v>Plano</x:v>
      </x:c>
    </x:row>
    <x:row r="88">
      <x:c r="A88" s="14" t="n">
        <x:v>83</x:v>
      </x:c>
      <x:c r="B88" s="14" t="str">
        <x:v>EVT</x:v>
      </x:c>
      <x:c r="C88" s="14" t="str">
        <x:v>Eventos</x:v>
      </x:c>
      <x:c r="D88" s="14" t="str">
        <x:v>Segurança / combate ao assédio</x:v>
      </x:c>
      <x:c r="E88" s="14" t="str">
        <x:v>Web/Mobile</x:v>
      </x:c>
      <x:c r="F88" s="14" t="str">
        <x:v>MVP</x:v>
      </x:c>
      <x:c r="G88" s="14" t="str">
        <x:v>Alta</x:v>
      </x:c>
      <x:c r="H88" s="14" t="str">
        <x:v>Não</x:v>
      </x:c>
      <x:c r="I88" s="14" t="str">
        <x:v>CORE</x:v>
      </x:c>
      <x:c r="J88" s="14" t="str">
        <x:v>Protocolos</x:v>
      </x:c>
    </x:row>
    <x:row r="89">
      <x:c r="A89" s="14" t="n">
        <x:v>84</x:v>
      </x:c>
      <x:c r="B89" s="14" t="str">
        <x:v>EVT</x:v>
      </x:c>
      <x:c r="C89" s="14" t="str">
        <x:v>Eventos</x:v>
      </x:c>
      <x:c r="D89" s="14" t="str">
        <x:v>Operação / checklists</x:v>
      </x:c>
      <x:c r="E89" s="14" t="str">
        <x:v>Web/Mobile</x:v>
      </x:c>
      <x:c r="F89" s="14" t="str">
        <x:v>Fase 2</x:v>
      </x:c>
      <x:c r="G89" s="14" t="str">
        <x:v>Alta</x:v>
      </x:c>
      <x:c r="H89" s="14" t="str">
        <x:v>Não</x:v>
      </x:c>
      <x:c r="I89" s="14" t="str">
        <x:v>CORE</x:v>
      </x:c>
      <x:c r="J89" s="14" t="str">
        <x:v>Execução</x:v>
      </x:c>
    </x:row>
    <x:row r="90">
      <x:c r="A90" s="14" t="n">
        <x:v>85</x:v>
      </x:c>
      <x:c r="B90" s="14" t="str">
        <x:v>EVT</x:v>
      </x:c>
      <x:c r="C90" s="14" t="str">
        <x:v>Eventos</x:v>
      </x:c>
      <x:c r="D90" s="14" t="str">
        <x:v>Indicadores em tempo real</x:v>
      </x:c>
      <x:c r="E90" s="14" t="str">
        <x:v>Web</x:v>
      </x:c>
      <x:c r="F90" s="14" t="str">
        <x:v>Fase 2</x:v>
      </x:c>
      <x:c r="G90" s="14" t="str">
        <x:v>Alta</x:v>
      </x:c>
      <x:c r="H90" s="14" t="str">
        <x:v>Parcial</x:v>
      </x:c>
      <x:c r="I90" s="14" t="str">
        <x:v>CORE</x:v>
      </x:c>
      <x:c r="J90" s="14" t="str">
        <x:v>Operação</x:v>
      </x:c>
    </x:row>
    <x:row r="91">
      <x:c r="A91" s="14" t="n">
        <x:v>86</x:v>
      </x:c>
      <x:c r="B91" s="14" t="str">
        <x:v>EVT</x:v>
      </x:c>
      <x:c r="C91" s="14" t="str">
        <x:v>Eventos</x:v>
      </x:c>
      <x:c r="D91" s="14" t="str">
        <x:v>ROI / impacto financeiro</x:v>
      </x:c>
      <x:c r="E91" s="14" t="str">
        <x:v>Web</x:v>
      </x:c>
      <x:c r="F91" s="14" t="str">
        <x:v>MVP</x:v>
      </x:c>
      <x:c r="G91" s="14" t="str">
        <x:v>Alta</x:v>
      </x:c>
      <x:c r="H91" s="14" t="str">
        <x:v>Não</x:v>
      </x:c>
      <x:c r="I91" s="14" t="str">
        <x:v>CORE</x:v>
      </x:c>
      <x:c r="J91" s="14" t="str">
        <x:v>Retorno</x:v>
      </x:c>
    </x:row>
    <x:row r="92">
      <x:c r="A92" s="14" t="n">
        <x:v>87</x:v>
      </x:c>
      <x:c r="B92" s="14" t="str">
        <x:v>EVT</x:v>
      </x:c>
      <x:c r="C92" s="14" t="str">
        <x:v>Eventos</x:v>
      </x:c>
      <x:c r="D92" s="14" t="str">
        <x:v>Relatório pós-evento</x:v>
      </x:c>
      <x:c r="E92" s="14" t="str">
        <x:v>Web</x:v>
      </x:c>
      <x:c r="F92" s="14" t="str">
        <x:v>MVP</x:v>
      </x:c>
      <x:c r="G92" s="14" t="str">
        <x:v>Média</x:v>
      </x:c>
      <x:c r="H92" s="14" t="str">
        <x:v>Não</x:v>
      </x:c>
      <x:c r="I92" s="14" t="str">
        <x:v>CORE</x:v>
      </x:c>
      <x:c r="J92" s="14" t="str">
        <x:v>Resultados</x:v>
      </x:c>
    </x:row>
    <x:row r="93">
      <x:c r="A93" s="14" t="n">
        <x:v>88</x:v>
      </x:c>
      <x:c r="B93" s="14" t="str">
        <x:v>COM</x:v>
      </x:c>
      <x:c r="C93" s="14" t="str">
        <x:v>Comunidades / Eu &amp; Eu / Cultura</x:v>
      </x:c>
      <x:c r="D93" s="14" t="str">
        <x:v>Meu perfil</x:v>
      </x:c>
      <x:c r="E93" s="14" t="str">
        <x:v>Web/Mobile</x:v>
      </x:c>
      <x:c r="F93" s="14" t="str">
        <x:v>MVP</x:v>
      </x:c>
      <x:c r="G93" s="14" t="str">
        <x:v>Baixa</x:v>
      </x:c>
      <x:c r="H93" s="14" t="str">
        <x:v>Não</x:v>
      </x:c>
      <x:c r="I93" s="14" t="str">
        <x:v>CORE</x:v>
      </x:c>
      <x:c r="J93" s="14" t="str">
        <x:v>Preferências</x:v>
      </x:c>
    </x:row>
    <x:row r="94">
      <x:c r="A94" s="14" t="n">
        <x:v>89</x:v>
      </x:c>
      <x:c r="B94" s="14" t="str">
        <x:v>COM</x:v>
      </x:c>
      <x:c r="C94" s="14" t="str">
        <x:v>Comunidades / Eu &amp; Eu / Cultura</x:v>
      </x:c>
      <x:c r="D94" s="14" t="str">
        <x:v>Objetivos</x:v>
      </x:c>
      <x:c r="E94" s="14" t="str">
        <x:v>Web/Mobile</x:v>
      </x:c>
      <x:c r="F94" s="14" t="str">
        <x:v>MVP</x:v>
      </x:c>
      <x:c r="G94" s="14" t="str">
        <x:v>Média</x:v>
      </x:c>
      <x:c r="H94" s="14" t="str">
        <x:v>Não</x:v>
      </x:c>
      <x:c r="I94" s="14" t="str">
        <x:v>CORE</x:v>
      </x:c>
      <x:c r="J94" s="14" t="str">
        <x:v>Metas</x:v>
      </x:c>
    </x:row>
    <x:row r="95">
      <x:c r="A95" s="14" t="n">
        <x:v>90</x:v>
      </x:c>
      <x:c r="B95" s="14" t="str">
        <x:v>COM</x:v>
      </x:c>
      <x:c r="C95" s="14" t="str">
        <x:v>Comunidades / Eu &amp; Eu / Cultura</x:v>
      </x:c>
      <x:c r="D95" s="14" t="str">
        <x:v>Plano de ação</x:v>
      </x:c>
      <x:c r="E95" s="14" t="str">
        <x:v>Web/Mobile</x:v>
      </x:c>
      <x:c r="F95" s="14" t="str">
        <x:v>MVP</x:v>
      </x:c>
      <x:c r="G95" s="14" t="str">
        <x:v>Média</x:v>
      </x:c>
      <x:c r="H95" s="14" t="str">
        <x:v>Não</x:v>
      </x:c>
      <x:c r="I95" s="14" t="str">
        <x:v>CORE</x:v>
      </x:c>
      <x:c r="J95" s="14" t="str">
        <x:v>Passos</x:v>
      </x:c>
    </x:row>
    <x:row r="96">
      <x:c r="A96" s="14" t="n">
        <x:v>91</x:v>
      </x:c>
      <x:c r="B96" s="14" t="str">
        <x:v>COM</x:v>
      </x:c>
      <x:c r="C96" s="14" t="str">
        <x:v>Comunidades / Eu &amp; Eu / Cultura</x:v>
      </x:c>
      <x:c r="D96" s="14" t="str">
        <x:v>Preparação / conteúdos</x:v>
      </x:c>
      <x:c r="E96" s="14" t="str">
        <x:v>Web/Mobile</x:v>
      </x:c>
      <x:c r="F96" s="14" t="str">
        <x:v>MVP</x:v>
      </x:c>
      <x:c r="G96" s="14" t="str">
        <x:v>Média</x:v>
      </x:c>
      <x:c r="H96" s="14" t="str">
        <x:v>Não</x:v>
      </x:c>
      <x:c r="I96" s="14" t="str">
        <x:v>CORE</x:v>
      </x:c>
      <x:c r="J96" s="14" t="str">
        <x:v>Trilhas</x:v>
      </x:c>
    </x:row>
    <x:row r="97">
      <x:c r="A97" s="14" t="n">
        <x:v>92</x:v>
      </x:c>
      <x:c r="B97" s="14" t="str">
        <x:v>COM</x:v>
      </x:c>
      <x:c r="C97" s="14" t="str">
        <x:v>Comunidades / Eu &amp; Eu / Cultura</x:v>
      </x:c>
      <x:c r="D97" s="14" t="str">
        <x:v>Mentoria</x:v>
      </x:c>
      <x:c r="E97" s="14" t="str">
        <x:v>Web/Mobile</x:v>
      </x:c>
      <x:c r="F97" s="14" t="str">
        <x:v>Fase 2</x:v>
      </x:c>
      <x:c r="G97" s="14" t="str">
        <x:v>Média</x:v>
      </x:c>
      <x:c r="H97" s="14" t="str">
        <x:v>Não</x:v>
      </x:c>
      <x:c r="I97" s="14" t="str">
        <x:v>CORE</x:v>
      </x:c>
      <x:c r="J97" s="14" t="str">
        <x:v>Conexões</x:v>
      </x:c>
    </x:row>
    <x:row r="98">
      <x:c r="A98" s="14" t="n">
        <x:v>93</x:v>
      </x:c>
      <x:c r="B98" s="14" t="str">
        <x:v>COM</x:v>
      </x:c>
      <x:c r="C98" s="14" t="str">
        <x:v>Comunidades / Eu &amp; Eu / Cultura</x:v>
      </x:c>
      <x:c r="D98" s="14" t="str">
        <x:v>Saúde &amp; cuidado</x:v>
      </x:c>
      <x:c r="E98" s="14" t="str">
        <x:v>Web/Mobile</x:v>
      </x:c>
      <x:c r="F98" s="14" t="str">
        <x:v>Fase 2</x:v>
      </x:c>
      <x:c r="G98" s="14" t="str">
        <x:v>Alta</x:v>
      </x:c>
      <x:c r="H98" s="14" t="str">
        <x:v>Não</x:v>
      </x:c>
      <x:c r="I98" s="14" t="str">
        <x:v>CORE</x:v>
      </x:c>
      <x:c r="J98" s="14" t="str">
        <x:v>Recursos</x:v>
      </x:c>
    </x:row>
    <x:row r="99">
      <x:c r="A99" s="14" t="n">
        <x:v>94</x:v>
      </x:c>
      <x:c r="B99" s="14" t="str">
        <x:v>COM</x:v>
      </x:c>
      <x:c r="C99" s="14" t="str">
        <x:v>Comunidades / Eu &amp; Eu / Cultura</x:v>
      </x:c>
      <x:c r="D99" s="14" t="str">
        <x:v>Eventos da comunidade</x:v>
      </x:c>
      <x:c r="E99" s="14" t="str">
        <x:v>Web/Mobile</x:v>
      </x:c>
      <x:c r="F99" s="14" t="str">
        <x:v>MVP</x:v>
      </x:c>
      <x:c r="G99" s="14" t="str">
        <x:v>Média</x:v>
      </x:c>
      <x:c r="H99" s="14" t="str">
        <x:v>Não</x:v>
      </x:c>
      <x:c r="I99" s="14" t="str">
        <x:v>CORE</x:v>
      </x:c>
      <x:c r="J99" s="14" t="str">
        <x:v>Agenda</x:v>
      </x:c>
    </x:row>
    <x:row r="100">
      <x:c r="A100" s="14" t="n">
        <x:v>95</x:v>
      </x:c>
      <x:c r="B100" s="14" t="str">
        <x:v>COM</x:v>
      </x:c>
      <x:c r="C100" s="14" t="str">
        <x:v>Comunidades / Eu &amp; Eu / Cultura</x:v>
      </x:c>
      <x:c r="D100" s="14" t="str">
        <x:v>Conexões com empresas</x:v>
      </x:c>
      <x:c r="E100" s="14" t="str">
        <x:v>Web/Mobile</x:v>
      </x:c>
      <x:c r="F100" s="14" t="str">
        <x:v>MVP</x:v>
      </x:c>
      <x:c r="G100" s="14" t="str">
        <x:v>Alta</x:v>
      </x:c>
      <x:c r="H100" s="14" t="str">
        <x:v>Não</x:v>
      </x:c>
      <x:c r="I100" s="14" t="str">
        <x:v>CORE</x:v>
      </x:c>
      <x:c r="J100" s="14" t="str">
        <x:v>Oportunidades</x:v>
      </x:c>
    </x:row>
    <x:row r="101">
      <x:c r="A101" s="14" t="n">
        <x:v>96</x:v>
      </x:c>
      <x:c r="B101" s="14" t="str">
        <x:v>COM</x:v>
      </x:c>
      <x:c r="C101" s="14" t="str">
        <x:v>Comunidades / Eu &amp; Eu / Cultura</x:v>
      </x:c>
      <x:c r="D101" s="14" t="str">
        <x:v>Acadêmico</x:v>
      </x:c>
      <x:c r="E101" s="14" t="str">
        <x:v>Web/Mobile</x:v>
      </x:c>
      <x:c r="F101" s="14" t="str">
        <x:v>Fase 2</x:v>
      </x:c>
      <x:c r="G101" s="14" t="str">
        <x:v>Média</x:v>
      </x:c>
      <x:c r="H101" s="14" t="str">
        <x:v>Não</x:v>
      </x:c>
      <x:c r="I101" s="14" t="str">
        <x:v>CORE</x:v>
      </x:c>
      <x:c r="J101" s="14" t="str">
        <x:v>Formação</x:v>
      </x:c>
    </x:row>
  </x:sheetData>
  <x:mergeCells>
    <x:mergeCell ref="A1:J2"/>
  </x:mergeCells>
  <x:conditionalFormatting sqref="F6:F101">
    <x:cfRule type="expression" dxfId="0" priority="1">
      <x:formula>F6="MVP"</x:formula>
    </x:cfRule>
    <x:cfRule type="expression" dxfId="1" priority="2">
      <x:formula>F6="Fase 2"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14" hidden="0" customWidth="1"/>
    <x:col min="4" max="4" width="12" hidden="0" customWidth="1"/>
    <x:col min="5" max="5" width="12" hidden="0" customWidth="1"/>
    <x:col min="6" max="6" width="18" hidden="0" customWidth="1"/>
    <x:col min="7" max="7" width="16" hidden="0" customWidth="1"/>
    <x:col min="8" max="8" width="48" hidden="0" customWidth="1"/>
  </x:cols>
  <x:sheetData>
    <x:row r="1">
      <x:c r="A1" s="3" t="str">
        <x:v>RESUMO DE ESCOPO POR MÓDULO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5">
      <x:c r="A5" s="11" t="str">
        <x:v>Código</x:v>
      </x:c>
      <x:c r="B5" s="11" t="str">
        <x:v>Módulo</x:v>
      </x:c>
      <x:c r="C5" s="11" t="str">
        <x:v>Total telas</x:v>
      </x:c>
      <x:c r="D5" s="11" t="str">
        <x:v>MVP</x:v>
      </x:c>
      <x:c r="E5" s="11" t="str">
        <x:v>Fase 2</x:v>
      </x:c>
      <x:c r="F5" s="11" t="str">
        <x:v>Alta/Muito alta</x:v>
      </x:c>
      <x:c r="G5" s="11" t="str">
        <x:v>Standalone?</x:v>
      </x:c>
      <x:c r="H5" s="11" t="str">
        <x:v>Leitura</x:v>
      </x:c>
    </x:row>
    <x:row r="6">
      <x:c r="A6" s="14" t="str">
        <x:v>CORE</x:v>
      </x:c>
      <x:c r="B6" s="14" t="str">
        <x:v>Core / Plataforma</x:v>
      </x:c>
      <x:c r="C6" s="14" t="n">
        <x:f>COUNTIF('02_Inventario_Paginas'!$B$6:$B$101,A6)</x:f>
        <x:v>12</x:v>
      </x:c>
      <x:c r="D6" s="14" t="n">
        <x:f>COUNTIFS('02_Inventario_Paginas'!$B$6:$B$101,A6,'02_Inventario_Paginas'!$F$6:$F$101,"MVP")</x:f>
        <x:v>10</x:v>
      </x:c>
      <x:c r="E6" s="14" t="n">
        <x:f>COUNTIFS('02_Inventario_Paginas'!$B$6:$B$101,A6,'02_Inventario_Paginas'!$F$6:$F$101,"Fase 2")</x:f>
        <x:v>2</x:v>
      </x:c>
      <x:c r="F6" s="14" t="n">
        <x:f>COUNTIFS('02_Inventario_Paginas'!$B$6:$B$101,A6,'02_Inventario_Paginas'!$G$6:$G$101,"Alta")+COUNTIFS('02_Inventario_Paginas'!$B$6:$B$101,A6,'02_Inventario_Paginas'!$G$6:$G$101,"Muito alta")</x:f>
        <x:v>6</x:v>
      </x:c>
      <x:c r="G6" s="14" t="str">
        <x:v>Sim</x:v>
      </x:c>
      <x:c r="H6" s="14" t="str">
        <x:v>Obrigatório para qualquer implantação.</x:v>
      </x:c>
    </x:row>
    <x:row r="7">
      <x:c r="A7" s="14" t="str">
        <x:v>ED</x:v>
      </x:c>
      <x:c r="B7" s="14" t="str">
        <x:v>Estratégia &amp; Dados</x:v>
      </x:c>
      <x:c r="C7" s="14" t="n">
        <x:f>COUNTIF('02_Inventario_Paginas'!$B$6:$B$101,A7)</x:f>
        <x:v>11</x:v>
      </x:c>
      <x:c r="D7" s="14" t="n">
        <x:f>COUNTIFS('02_Inventario_Paginas'!$B$6:$B$101,A7,'02_Inventario_Paginas'!$F$6:$F$101,"MVP")</x:f>
        <x:v>9</x:v>
      </x:c>
      <x:c r="E7" s="14" t="n">
        <x:f>COUNTIFS('02_Inventario_Paginas'!$B$6:$B$101,A7,'02_Inventario_Paginas'!$F$6:$F$101,"Fase 2")</x:f>
        <x:v>2</x:v>
      </x:c>
      <x:c r="F7" s="14" t="n">
        <x:f>COUNTIFS('02_Inventario_Paginas'!$B$6:$B$101,A7,'02_Inventario_Paginas'!$G$6:$G$101,"Alta")+COUNTIFS('02_Inventario_Paginas'!$B$6:$B$101,A7,'02_Inventario_Paginas'!$G$6:$G$101,"Muito alta")</x:f>
        <x:v>9</x:v>
      </x:c>
      <x:c r="G7" s="14" t="str">
        <x:v>Sim</x:v>
      </x:c>
      <x:c r="H7" s="14" t="str">
        <x:v>Pode ser vendido sozinho.</x:v>
      </x:c>
    </x:row>
    <x:row r="8">
      <x:c r="A8" s="14" t="str">
        <x:v>COL</x:v>
      </x:c>
      <x:c r="B8" s="14" t="str">
        <x:v>Colaboradores / Meu Time</x:v>
      </x:c>
      <x:c r="C8" s="14" t="n">
        <x:f>COUNTIF('02_Inventario_Paginas'!$B$6:$B$101,A8)</x:f>
        <x:v>11</x:v>
      </x:c>
      <x:c r="D8" s="14" t="n">
        <x:f>COUNTIFS('02_Inventario_Paginas'!$B$6:$B$101,A8,'02_Inventario_Paginas'!$F$6:$F$101,"MVP")</x:f>
        <x:v>7</x:v>
      </x:c>
      <x:c r="E8" s="14" t="n">
        <x:f>COUNTIFS('02_Inventario_Paginas'!$B$6:$B$101,A8,'02_Inventario_Paginas'!$F$6:$F$101,"Fase 2")</x:f>
        <x:v>4</x:v>
      </x:c>
      <x:c r="F8" s="14" t="n">
        <x:f>COUNTIFS('02_Inventario_Paginas'!$B$6:$B$101,A8,'02_Inventario_Paginas'!$G$6:$G$101,"Alta")+COUNTIFS('02_Inventario_Paginas'!$B$6:$B$101,A8,'02_Inventario_Paginas'!$G$6:$G$101,"Muito alta")</x:f>
        <x:v>4</x:v>
      </x:c>
      <x:c r="G8" s="14" t="str">
        <x:v>Sim</x:v>
      </x:c>
      <x:c r="H8" s="14" t="str">
        <x:v>Pode operar sem marketplace externo.</x:v>
      </x:c>
    </x:row>
    <x:row r="9">
      <x:c r="A9" s="14" t="str">
        <x:v>CAN</x:v>
      </x:c>
      <x:c r="B9" s="14" t="str">
        <x:v>Candidatos &amp; Carreira</x:v>
      </x:c>
      <x:c r="C9" s="14" t="n">
        <x:f>COUNTIF('02_Inventario_Paginas'!$B$6:$B$101,A9)</x:f>
        <x:v>13</x:v>
      </x:c>
      <x:c r="D9" s="14" t="n">
        <x:f>COUNTIFS('02_Inventario_Paginas'!$B$6:$B$101,A9,'02_Inventario_Paginas'!$F$6:$F$101,"MVP")</x:f>
        <x:v>9</x:v>
      </x:c>
      <x:c r="E9" s="14" t="n">
        <x:f>COUNTIFS('02_Inventario_Paginas'!$B$6:$B$101,A9,'02_Inventario_Paginas'!$F$6:$F$101,"Fase 2")</x:f>
        <x:v>4</x:v>
      </x:c>
      <x:c r="F9" s="14" t="n">
        <x:f>COUNTIFS('02_Inventario_Paginas'!$B$6:$B$101,A9,'02_Inventario_Paginas'!$G$6:$G$101,"Alta")+COUNTIFS('02_Inventario_Paginas'!$B$6:$B$101,A9,'02_Inventario_Paginas'!$G$6:$G$101,"Muito alta")</x:f>
        <x:v>5</x:v>
      </x:c>
      <x:c r="G9" s="14" t="str">
        <x:v>Sim</x:v>
      </x:c>
      <x:c r="H9" s="14" t="str">
        <x:v>Vertical de empregabilidade.</x:v>
      </x:c>
    </x:row>
    <x:row r="10">
      <x:c r="A10" s="14" t="str">
        <x:v>FOR</x:v>
      </x:c>
      <x:c r="B10" s="14" t="str">
        <x:v>Fornecedores &amp; Negócios</x:v>
      </x:c>
      <x:c r="C10" s="14" t="n">
        <x:f>COUNTIF('02_Inventario_Paginas'!$B$6:$B$101,A10)</x:f>
        <x:v>14</x:v>
      </x:c>
      <x:c r="D10" s="14" t="n">
        <x:f>COUNTIFS('02_Inventario_Paginas'!$B$6:$B$101,A10,'02_Inventario_Paginas'!$F$6:$F$101,"MVP")</x:f>
        <x:v>10</x:v>
      </x:c>
      <x:c r="E10" s="14" t="n">
        <x:f>COUNTIFS('02_Inventario_Paginas'!$B$6:$B$101,A10,'02_Inventario_Paginas'!$F$6:$F$101,"Fase 2")</x:f>
        <x:v>4</x:v>
      </x:c>
      <x:c r="F10" s="14" t="n">
        <x:f>COUNTIFS('02_Inventario_Paginas'!$B$6:$B$101,A10,'02_Inventario_Paginas'!$G$6:$G$101,"Alta")+COUNTIFS('02_Inventario_Paginas'!$B$6:$B$101,A10,'02_Inventario_Paginas'!$G$6:$G$101,"Muito alta")</x:f>
        <x:v>9</x:v>
      </x:c>
      <x:c r="G10" s="14" t="str">
        <x:v>Sim</x:v>
      </x:c>
      <x:c r="H10" s="14" t="str">
        <x:v>Pode operar sozinho para acesso a mercado.</x:v>
      </x:c>
    </x:row>
    <x:row r="11">
      <x:c r="A11" s="14" t="str">
        <x:v>ACA</x:v>
      </x:c>
      <x:c r="B11" s="14" t="str">
        <x:v>Acadêmico / Universidades</x:v>
      </x:c>
      <x:c r="C11" s="14" t="n">
        <x:f>COUNTIF('02_Inventario_Paginas'!$B$6:$B$101,A11)</x:f>
        <x:v>12</x:v>
      </x:c>
      <x:c r="D11" s="14" t="n">
        <x:f>COUNTIFS('02_Inventario_Paginas'!$B$6:$B$101,A11,'02_Inventario_Paginas'!$F$6:$F$101,"MVP")</x:f>
        <x:v>8</x:v>
      </x:c>
      <x:c r="E11" s="14" t="n">
        <x:f>COUNTIFS('02_Inventario_Paginas'!$B$6:$B$101,A11,'02_Inventario_Paginas'!$F$6:$F$101,"Fase 2")</x:f>
        <x:v>4</x:v>
      </x:c>
      <x:c r="F11" s="14" t="n">
        <x:f>COUNTIFS('02_Inventario_Paginas'!$B$6:$B$101,A11,'02_Inventario_Paginas'!$G$6:$G$101,"Alta")+COUNTIFS('02_Inventario_Paginas'!$B$6:$B$101,A11,'02_Inventario_Paginas'!$G$6:$G$101,"Muito alta")</x:f>
        <x:v>6</x:v>
      </x:c>
      <x:c r="G11" s="14" t="str">
        <x:v>Sim</x:v>
      </x:c>
      <x:c r="H11" s="14" t="str">
        <x:v>Pode ser vendido sozinho para universidade.</x:v>
      </x:c>
    </x:row>
    <x:row r="12">
      <x:c r="A12" s="14" t="str">
        <x:v>EVT</x:v>
      </x:c>
      <x:c r="B12" s="14" t="str">
        <x:v>Eventos</x:v>
      </x:c>
      <x:c r="C12" s="14" t="n">
        <x:f>COUNTIF('02_Inventario_Paginas'!$B$6:$B$101,A12)</x:f>
        <x:v>14</x:v>
      </x:c>
      <x:c r="D12" s="14" t="n">
        <x:f>COUNTIFS('02_Inventario_Paginas'!$B$6:$B$101,A12,'02_Inventario_Paginas'!$F$6:$F$101,"MVP")</x:f>
        <x:v>10</x:v>
      </x:c>
      <x:c r="E12" s="14" t="n">
        <x:f>COUNTIFS('02_Inventario_Paginas'!$B$6:$B$101,A12,'02_Inventario_Paginas'!$F$6:$F$101,"Fase 2")</x:f>
        <x:v>4</x:v>
      </x:c>
      <x:c r="F12" s="14" t="n">
        <x:f>COUNTIFS('02_Inventario_Paginas'!$B$6:$B$101,A12,'02_Inventario_Paginas'!$G$6:$G$101,"Alta")+COUNTIFS('02_Inventario_Paginas'!$B$6:$B$101,A12,'02_Inventario_Paginas'!$G$6:$G$101,"Muito alta")</x:f>
        <x:v>10</x:v>
      </x:c>
      <x:c r="G12" s="14" t="str">
        <x:v>Parcial</x:v>
      </x:c>
      <x:c r="H12" s="14" t="str">
        <x:v>Pode começar standalone, mas ganha valor com outros módulos.</x:v>
      </x:c>
    </x:row>
    <x:row r="13">
      <x:c r="A13" s="14" t="str">
        <x:v>COM</x:v>
      </x:c>
      <x:c r="B13" s="14" t="str">
        <x:v>Comunidades / Eu &amp; Eu / Cultura</x:v>
      </x:c>
      <x:c r="C13" s="14" t="n">
        <x:f>COUNTIF('02_Inventario_Paginas'!$B$6:$B$101,A13)</x:f>
        <x:v>9</x:v>
      </x:c>
      <x:c r="D13" s="14" t="n">
        <x:f>COUNTIFS('02_Inventario_Paginas'!$B$6:$B$101,A13,'02_Inventario_Paginas'!$F$6:$F$101,"MVP")</x:f>
        <x:v>6</x:v>
      </x:c>
      <x:c r="E13" s="14" t="n">
        <x:f>COUNTIFS('02_Inventario_Paginas'!$B$6:$B$101,A13,'02_Inventario_Paginas'!$F$6:$F$101,"Fase 2")</x:f>
        <x:v>3</x:v>
      </x:c>
      <x:c r="F13" s="14" t="n">
        <x:f>COUNTIFS('02_Inventario_Paginas'!$B$6:$B$101,A13,'02_Inventario_Paginas'!$G$6:$G$101,"Alta")+COUNTIFS('02_Inventario_Paginas'!$B$6:$B$101,A13,'02_Inventario_Paginas'!$G$6:$G$101,"Muito alta")</x:f>
        <x:v>2</x:v>
      </x:c>
      <x:c r="G13" s="14" t="str">
        <x:v>Sim</x:v>
      </x:c>
      <x:c r="H13" s="14" t="str">
        <x:v>Camada B2C; não é pré-requisito B2B.</x:v>
      </x:c>
    </x:row>
  </x:sheetData>
  <x:mergeCells>
    <x:mergeCell ref="A1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</x:cols>
  <x:sheetData>
    <x:row r="1">
      <x:c r="A1" s="3" t="str">
        <x:v>MATRIZ DE INTEGRAÇÃO ENTRE FRENTES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3">
      <x:c r="A3" s="7" t="str">
        <x:v>3 = mesmo módulo | 2 = integração direta/forte | 1 = opcional/troca de dados | 0 = não precisa conversar diretamente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5">
      <x:c r="A5" s="11" t="str">
        <x:v>Código</x:v>
      </x:c>
      <x:c r="B5" s="11" t="str">
        <x:v>Módulo</x:v>
      </x:c>
      <x:c r="C5" s="11" t="str">
        <x:v>CORE</x:v>
      </x:c>
      <x:c r="D5" s="11" t="str">
        <x:v>ED</x:v>
      </x:c>
      <x:c r="E5" s="11" t="str">
        <x:v>COL</x:v>
      </x:c>
      <x:c r="F5" s="11" t="str">
        <x:v>CAN</x:v>
      </x:c>
      <x:c r="G5" s="11" t="str">
        <x:v>FOR</x:v>
      </x:c>
      <x:c r="H5" s="11" t="str">
        <x:v>ACA</x:v>
      </x:c>
      <x:c r="I5" s="11" t="str">
        <x:v>EVT</x:v>
      </x:c>
      <x:c r="J5" s="11" t="str">
        <x:v>COM</x:v>
      </x:c>
    </x:row>
    <x:row r="6">
      <x:c r="A6" t="str">
        <x:v>CORE</x:v>
      </x:c>
      <x:c r="B6" t="str">
        <x:v>Core / Plataforma</x:v>
      </x:c>
      <x:c r="C6" t="n">
        <x:v>3</x:v>
      </x:c>
      <x:c r="D6" t="n">
        <x:v>2</x:v>
      </x:c>
      <x:c r="E6" t="n">
        <x:v>2</x:v>
      </x:c>
      <x:c r="F6" t="n">
        <x:v>2</x:v>
      </x:c>
      <x:c r="G6" t="n">
        <x:v>2</x:v>
      </x:c>
      <x:c r="H6" t="n">
        <x:v>2</x:v>
      </x:c>
      <x:c r="I6" t="n">
        <x:v>2</x:v>
      </x:c>
      <x:c r="J6" t="n">
        <x:v>2</x:v>
      </x:c>
    </x:row>
    <x:row r="7">
      <x:c r="A7" t="str">
        <x:v>ED</x:v>
      </x:c>
      <x:c r="B7" t="str">
        <x:v>Estratégia &amp; Dados</x:v>
      </x:c>
      <x:c r="C7" t="n">
        <x:v>2</x:v>
      </x:c>
      <x:c r="D7" t="n">
        <x:v>3</x:v>
      </x:c>
      <x:c r="E7" t="n">
        <x:v>2</x:v>
      </x:c>
      <x:c r="F7" t="n">
        <x:v>1</x:v>
      </x:c>
      <x:c r="G7" t="n">
        <x:v>1</x:v>
      </x:c>
      <x:c r="H7" t="n">
        <x:v>1</x:v>
      </x:c>
      <x:c r="I7" t="n">
        <x:v>2</x:v>
      </x:c>
      <x:c r="J7" t="n">
        <x:v>1</x:v>
      </x:c>
    </x:row>
    <x:row r="8">
      <x:c r="A8" t="str">
        <x:v>COL</x:v>
      </x:c>
      <x:c r="B8" t="str">
        <x:v>Colaboradores / Meu Time</x:v>
      </x:c>
      <x:c r="C8" t="n">
        <x:v>2</x:v>
      </x:c>
      <x:c r="D8" t="n">
        <x:v>2</x:v>
      </x:c>
      <x:c r="E8" t="n">
        <x:v>3</x:v>
      </x:c>
      <x:c r="F8" t="n">
        <x:v>1</x:v>
      </x:c>
      <x:c r="G8" t="n">
        <x:v>0</x:v>
      </x:c>
      <x:c r="H8" t="n">
        <x:v>1</x:v>
      </x:c>
      <x:c r="I8" t="n">
        <x:v>1</x:v>
      </x:c>
      <x:c r="J8" t="n">
        <x:v>1</x:v>
      </x:c>
    </x:row>
    <x:row r="9">
      <x:c r="A9" t="str">
        <x:v>CAN</x:v>
      </x:c>
      <x:c r="B9" t="str">
        <x:v>Candidatos &amp; Carreira</x:v>
      </x:c>
      <x:c r="C9" t="n">
        <x:v>2</x:v>
      </x:c>
      <x:c r="D9" t="n">
        <x:v>1</x:v>
      </x:c>
      <x:c r="E9" t="n">
        <x:v>1</x:v>
      </x:c>
      <x:c r="F9" t="n">
        <x:v>3</x:v>
      </x:c>
      <x:c r="G9" t="n">
        <x:v>0</x:v>
      </x:c>
      <x:c r="H9" t="n">
        <x:v>2</x:v>
      </x:c>
      <x:c r="I9" t="n">
        <x:v>2</x:v>
      </x:c>
      <x:c r="J9" t="n">
        <x:v>2</x:v>
      </x:c>
    </x:row>
    <x:row r="10">
      <x:c r="A10" t="str">
        <x:v>FOR</x:v>
      </x:c>
      <x:c r="B10" t="str">
        <x:v>Fornecedores &amp; Negócios</x:v>
      </x:c>
      <x:c r="C10" t="n">
        <x:v>2</x:v>
      </x:c>
      <x:c r="D10" t="n">
        <x:v>1</x:v>
      </x:c>
      <x:c r="E10" t="n">
        <x:v>0</x:v>
      </x:c>
      <x:c r="F10" t="n">
        <x:v>0</x:v>
      </x:c>
      <x:c r="G10" t="n">
        <x:v>3</x:v>
      </x:c>
      <x:c r="H10" t="n">
        <x:v>1</x:v>
      </x:c>
      <x:c r="I10" t="n">
        <x:v>2</x:v>
      </x:c>
      <x:c r="J10" t="n">
        <x:v>1</x:v>
      </x:c>
    </x:row>
    <x:row r="11">
      <x:c r="A11" t="str">
        <x:v>ACA</x:v>
      </x:c>
      <x:c r="B11" t="str">
        <x:v>Acadêmico / Universidades</x:v>
      </x:c>
      <x:c r="C11" t="n">
        <x:v>2</x:v>
      </x:c>
      <x:c r="D11" t="n">
        <x:v>1</x:v>
      </x:c>
      <x:c r="E11" t="n">
        <x:v>1</x:v>
      </x:c>
      <x:c r="F11" t="n">
        <x:v>2</x:v>
      </x:c>
      <x:c r="G11" t="n">
        <x:v>1</x:v>
      </x:c>
      <x:c r="H11" t="n">
        <x:v>3</x:v>
      </x:c>
      <x:c r="I11" t="n">
        <x:v>1</x:v>
      </x:c>
      <x:c r="J11" t="n">
        <x:v>2</x:v>
      </x:c>
    </x:row>
    <x:row r="12">
      <x:c r="A12" t="str">
        <x:v>EVT</x:v>
      </x:c>
      <x:c r="B12" t="str">
        <x:v>Eventos</x:v>
      </x:c>
      <x:c r="C12" t="n">
        <x:v>2</x:v>
      </x:c>
      <x:c r="D12" t="n">
        <x:v>2</x:v>
      </x:c>
      <x:c r="E12" t="n">
        <x:v>1</x:v>
      </x:c>
      <x:c r="F12" t="n">
        <x:v>2</x:v>
      </x:c>
      <x:c r="G12" t="n">
        <x:v>2</x:v>
      </x:c>
      <x:c r="H12" t="n">
        <x:v>1</x:v>
      </x:c>
      <x:c r="I12" t="n">
        <x:v>3</x:v>
      </x:c>
      <x:c r="J12" t="n">
        <x:v>2</x:v>
      </x:c>
    </x:row>
    <x:row r="13">
      <x:c r="A13" t="str">
        <x:v>COM</x:v>
      </x:c>
      <x:c r="B13" t="str">
        <x:v>Comunidades / Eu &amp; Eu / Cultura</x:v>
      </x:c>
      <x:c r="C13" t="n">
        <x:v>2</x:v>
      </x:c>
      <x:c r="D13" t="n">
        <x:v>1</x:v>
      </x:c>
      <x:c r="E13" t="n">
        <x:v>1</x:v>
      </x:c>
      <x:c r="F13" t="n">
        <x:v>2</x:v>
      </x:c>
      <x:c r="G13" t="n">
        <x:v>1</x:v>
      </x:c>
      <x:c r="H13" t="n">
        <x:v>2</x:v>
      </x:c>
      <x:c r="I13" t="n">
        <x:v>2</x:v>
      </x:c>
      <x:c r="J13" t="n">
        <x:v>3</x:v>
      </x:c>
    </x:row>
  </x:sheetData>
  <x:mergeCells>
    <x:mergeCell ref="A1:J2"/>
    <x:mergeCell ref="A3:J3"/>
  </x:mergeCells>
  <x:conditionalFormatting sqref="C6:J13">
    <x:cfRule type="cellIs" dxfId="2" priority="1">
      <x:formula>2</x:formula>
    </x:cfRule>
    <x:cfRule type="cellIs" dxfId="3" priority="2">
      <x:formula>1</x:formula>
    </x:cfRule>
    <x:cfRule type="cellIs" dxfId="4" priority="3">
      <x:formula>0</x:formula>
    </x:cfRule>
    <x:cfRule type="cellIs" dxfId="5" priority="4">
      <x:formula>3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2" hidden="0" customWidth="1"/>
    <x:col min="4" max="4" width="38" hidden="0" customWidth="1"/>
    <x:col min="5" max="5" width="38" hidden="0" customWidth="1"/>
    <x:col min="6" max="6" width="15" hidden="0" customWidth="1"/>
    <x:col min="7" max="7" width="16" hidden="0" customWidth="1"/>
    <x:col min="8" max="8" width="48" hidden="0" customWidth="1"/>
  </x:cols>
  <x:sheetData>
    <x:row r="1">
      <x:c r="A1" s="3" t="str">
        <x:v>O QUE CONVERSA DIRETAMENTE — E O QUE NÃO PRECISA</x:v>
      </x:c>
      <x:c r="B1" s="3"/>
      <x:c r="C1" s="3"/>
      <x:c r="D1" s="3"/>
      <x:c r="E1" s="3"/>
      <x:c r="F1" s="3"/>
      <x:c r="G1" s="3"/>
      <x:c r="H1" s="3"/>
    </x:row>
    <x:row r="2">
      <x:c r="A2" s="3"/>
      <x:c r="B2" s="3"/>
      <x:c r="C2" s="3"/>
      <x:c r="D2" s="3"/>
      <x:c r="E2" s="3"/>
      <x:c r="F2" s="3"/>
      <x:c r="G2" s="3"/>
      <x:c r="H2" s="3"/>
    </x:row>
    <x:row r="5">
      <x:c r="A5" s="11" t="str">
        <x:v>Origem</x:v>
      </x:c>
      <x:c r="B5" s="11" t="str">
        <x:v>Destino</x:v>
      </x:c>
      <x:c r="C5" s="11" t="str">
        <x:v>Tipo</x:v>
      </x:c>
      <x:c r="D5" s="11" t="str">
        <x:v>Dado compartilhado</x:v>
      </x:c>
      <x:c r="E5" s="11" t="str">
        <x:v>Por que integrar</x:v>
      </x:c>
      <x:c r="F5" s="11" t="str">
        <x:v>Obrigatória?</x:v>
      </x:c>
      <x:c r="G5" s="11" t="str">
        <x:v>Funciona sem?</x:v>
      </x:c>
      <x:c r="H5" s="11" t="str">
        <x:v>Exemplo</x:v>
      </x:c>
    </x:row>
    <x:row r="6">
      <x:c r="A6" s="14" t="str">
        <x:v>Estratégia &amp; Dados</x:v>
      </x:c>
      <x:c r="B6" s="14" t="str">
        <x:v>Colaboradores</x:v>
      </x:c>
      <x:c r="C6" s="14" t="str">
        <x:v>Direta</x:v>
      </x:c>
      <x:c r="D6" s="14" t="str">
        <x:v>KPIs, skills, desempenho, liderança</x:v>
      </x:c>
      <x:c r="E6" s="14" t="str">
        <x:v>Enriquece pessoas x negócio</x:v>
      </x:c>
      <x:c r="F6" s="14" t="str">
        <x:v>Não</x:v>
      </x:c>
      <x:c r="G6" s="14" t="str">
        <x:v>Sim</x:v>
      </x:c>
      <x:c r="H6" s="14" t="str">
        <x:v>ED pode usar RHIS/ERP/BI sem COL.</x:v>
      </x:c>
    </x:row>
    <x:row r="7">
      <x:c r="A7" s="14" t="str">
        <x:v>Estratégia &amp; Dados</x:v>
      </x:c>
      <x:c r="B7" s="14" t="str">
        <x:v>Eventos</x:v>
      </x:c>
      <x:c r="C7" s="14" t="str">
        <x:v>Direta</x:v>
      </x:c>
      <x:c r="D7" s="14" t="str">
        <x:v>Pesquisa, receita, custos, fornecedores, equipes</x:v>
      </x:c>
      <x:c r="E7" s="14" t="str">
        <x:v>Conecta operação ao ROI</x:v>
      </x:c>
      <x:c r="F7" s="14" t="str">
        <x:v>Não</x:v>
      </x:c>
      <x:c r="G7" s="14" t="str">
        <x:v>Sim</x:v>
      </x:c>
      <x:c r="H7" s="14" t="str">
        <x:v>EVT pode enviar dados agregados.</x:v>
      </x:c>
    </x:row>
    <x:row r="8">
      <x:c r="A8" s="14" t="str">
        <x:v>Estratégia &amp; Dados</x:v>
      </x:c>
      <x:c r="B8" s="14" t="str">
        <x:v>Fornecedores</x:v>
      </x:c>
      <x:c r="C8" s="14" t="str">
        <x:v>Opcional</x:v>
      </x:c>
      <x:c r="D8" s="14" t="str">
        <x:v>Spend, conversão, impacto</x:v>
      </x:c>
      <x:c r="E8" s="14" t="str">
        <x:v>Analisa cadeia e negócios</x:v>
      </x:c>
      <x:c r="F8" s="14" t="str">
        <x:v>Não</x:v>
      </x:c>
      <x:c r="G8" s="14" t="str">
        <x:v>Sim</x:v>
      </x:c>
      <x:c r="H8" s="14" t="str">
        <x:v>ED não depende do marketplace B2B.</x:v>
      </x:c>
    </x:row>
    <x:row r="9">
      <x:c r="A9" s="14" t="str">
        <x:v>Estratégia &amp; Dados</x:v>
      </x:c>
      <x:c r="B9" s="14" t="str">
        <x:v>Candidatos</x:v>
      </x:c>
      <x:c r="C9" s="14" t="str">
        <x:v>Opcional</x:v>
      </x:c>
      <x:c r="D9" s="14" t="str">
        <x:v>Funil, contratação, skills</x:v>
      </x:c>
      <x:c r="E9" s="14" t="str">
        <x:v>Relaciona atração e performance</x:v>
      </x:c>
      <x:c r="F9" s="14" t="str">
        <x:v>Não</x:v>
      </x:c>
      <x:c r="G9" s="14" t="str">
        <x:v>Sim</x:v>
      </x:c>
      <x:c r="H9" s="14" t="str">
        <x:v>Pode usar ATS existente.</x:v>
      </x:c>
    </x:row>
    <x:row r="10">
      <x:c r="A10" s="14" t="str">
        <x:v>Candidatos</x:v>
      </x:c>
      <x:c r="B10" s="14" t="str">
        <x:v>Acadêmico</x:v>
      </x:c>
      <x:c r="C10" s="14" t="str">
        <x:v>Direta</x:v>
      </x:c>
      <x:c r="D10" s="14" t="str">
        <x:v>Perfil, skills, formação, projetos, estágio</x:v>
      </x:c>
      <x:c r="E10" s="14" t="str">
        <x:v>Formação -&gt; empregabilidade</x:v>
      </x:c>
      <x:c r="F10" s="14" t="str">
        <x:v>Não</x:v>
      </x:c>
      <x:c r="G10" s="14" t="str">
        <x:v>Sim</x:v>
      </x:c>
      <x:c r="H10" s="14" t="str">
        <x:v>ACA pode ter oportunidades próprias.</x:v>
      </x:c>
    </x:row>
    <x:row r="11">
      <x:c r="A11" s="14" t="str">
        <x:v>Candidatos</x:v>
      </x:c>
      <x:c r="B11" s="14" t="str">
        <x:v>Eventos</x:v>
      </x:c>
      <x:c r="C11" s="14" t="str">
        <x:v>Direta</x:v>
      </x:c>
      <x:c r="D11" s="14" t="str">
        <x:v>Talentos temporários e vagas</x:v>
      </x:c>
      <x:c r="E11" s="14" t="str">
        <x:v>Contratação para eventos</x:v>
      </x:c>
      <x:c r="F11" s="14" t="str">
        <x:v>Não</x:v>
      </x:c>
      <x:c r="G11" s="14" t="str">
        <x:v>Sim</x:v>
      </x:c>
      <x:c r="H11" s="14" t="str">
        <x:v>EVT pode integrar ATS externo.</x:v>
      </x:c>
    </x:row>
    <x:row r="12">
      <x:c r="A12" s="14" t="str">
        <x:v>Fornecedores</x:v>
      </x:c>
      <x:c r="B12" s="14" t="str">
        <x:v>Eventos</x:v>
      </x:c>
      <x:c r="C12" s="14" t="str">
        <x:v>Direta</x:v>
      </x:c>
      <x:c r="D12" s="14" t="str">
        <x:v>Fornecedores, demandas, docs, contratos</x:v>
      </x:c>
      <x:c r="E12" s="14" t="str">
        <x:v>Compras do evento</x:v>
      </x:c>
      <x:c r="F12" s="14" t="str">
        <x:v>Não</x:v>
      </x:c>
      <x:c r="G12" s="14" t="str">
        <x:v>Sim</x:v>
      </x:c>
      <x:c r="H12" s="14" t="str">
        <x:v>EVT pode cadastrar base própria.</x:v>
      </x:c>
    </x:row>
    <x:row r="13">
      <x:c r="A13" s="14" t="str">
        <x:v>Acadêmico</x:v>
      </x:c>
      <x:c r="B13" s="14" t="str">
        <x:v>Empresas/Candidatos</x:v>
      </x:c>
      <x:c r="C13" s="14" t="str">
        <x:v>Direta</x:v>
      </x:c>
      <x:c r="D13" s="14" t="str">
        <x:v>Projetos, bolsas, estágios, pesquisa</x:v>
      </x:c>
      <x:c r="E13" s="14" t="str">
        <x:v>Universidade -&gt; mercado</x:v>
      </x:c>
      <x:c r="F13" s="14" t="str">
        <x:v>Não</x:v>
      </x:c>
      <x:c r="G13" s="14" t="str">
        <x:v>Sim</x:v>
      </x:c>
      <x:c r="H13" s="14" t="str">
        <x:v>ACA pode começar isolado.</x:v>
      </x:c>
    </x:row>
    <x:row r="14">
      <x:c r="A14" s="14" t="str">
        <x:v>Comunidades</x:v>
      </x:c>
      <x:c r="B14" s="14" t="str">
        <x:v>Candidatos</x:v>
      </x:c>
      <x:c r="C14" s="14" t="str">
        <x:v>Direta c/ consentimento</x:v>
      </x:c>
      <x:c r="D14" s="14" t="str">
        <x:v>Perfil, objetivos, preparação</x:v>
      </x:c>
      <x:c r="E14" s="14" t="str">
        <x:v>Evita recadastro</x:v>
      </x:c>
      <x:c r="F14" s="14" t="str">
        <x:v>Não</x:v>
      </x:c>
      <x:c r="G14" s="14" t="str">
        <x:v>Sim</x:v>
      </x:c>
      <x:c r="H14" s="14" t="str">
        <x:v>CAN pode ter onboarding próprio.</x:v>
      </x:c>
    </x:row>
    <x:row r="15">
      <x:c r="A15" s="14" t="str">
        <x:v>Comunidades</x:v>
      </x:c>
      <x:c r="B15" s="14" t="str">
        <x:v>Eventos</x:v>
      </x:c>
      <x:c r="C15" s="14" t="str">
        <x:v>Direta c/ consentimento</x:v>
      </x:c>
      <x:c r="D15" s="14" t="str">
        <x:v>Interesses, presença, pesquisa</x:v>
      </x:c>
      <x:c r="E15" s="14" t="str">
        <x:v>Personaliza experiência</x:v>
      </x:c>
      <x:c r="F15" s="14" t="str">
        <x:v>Não</x:v>
      </x:c>
      <x:c r="G15" s="14" t="str">
        <x:v>Sim</x:v>
      </x:c>
      <x:c r="H15" s="14" t="str">
        <x:v>EVT pode operar com base própria.</x:v>
      </x:c>
    </x:row>
    <x:row r="16">
      <x:c r="A16" s="14" t="str">
        <x:v>Candidatos</x:v>
      </x:c>
      <x:c r="B16" s="14" t="str">
        <x:v>Fornecedores</x:v>
      </x:c>
      <x:c r="C16" s="14" t="str">
        <x:v>Sem integração direta</x:v>
      </x:c>
      <x:c r="D16" s="14" t="str">
        <x:v>-</x:v>
      </x:c>
      <x:c r="E16" s="14" t="str">
        <x:v>Marketplaces diferentes</x:v>
      </x:c>
      <x:c r="F16" s="14" t="str">
        <x:v>Não</x:v>
      </x:c>
      <x:c r="G16" s="14" t="str">
        <x:v>Sim</x:v>
      </x:c>
      <x:c r="H16" s="14" t="str">
        <x:v>Cruza apenas em casos via Core/Eventos.</x:v>
      </x:c>
    </x:row>
  </x:sheetData>
  <x:mergeCells>
    <x:mergeCell ref="A1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58" hidden="0" customWidth="1"/>
  </x:cols>
  <x:sheetData>
    <x:row r="1">
      <x:c r="A1" s="3" t="str">
        <x:v>CENÁRIOS DE IMPLANTAÇÃO MODULAR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</x:row>
    <x:row r="5">
      <x:c r="A5" s="11" t="str">
        <x:v>Cenário</x:v>
      </x:c>
      <x:c r="B5" s="11" t="str">
        <x:v>CORE</x:v>
      </x:c>
      <x:c r="C5" s="11" t="str">
        <x:v>ED</x:v>
      </x:c>
      <x:c r="D5" s="11" t="str">
        <x:v>COL</x:v>
      </x:c>
      <x:c r="E5" s="11" t="str">
        <x:v>CAN</x:v>
      </x:c>
      <x:c r="F5" s="11" t="str">
        <x:v>FOR</x:v>
      </x:c>
      <x:c r="G5" s="11" t="str">
        <x:v>ACA</x:v>
      </x:c>
      <x:c r="H5" s="11" t="str">
        <x:v>EVT</x:v>
      </x:c>
      <x:c r="I5" s="11" t="str">
        <x:v>COM</x:v>
      </x:c>
      <x:c r="J5" s="11" t="str">
        <x:v>Leitura</x:v>
      </x:c>
    </x:row>
    <x:row r="6">
      <x:c r="A6" s="14" t="str">
        <x:v>Estratégia &amp; Dados standalone</x:v>
      </x:c>
      <x:c r="B6" s="14" t="str">
        <x:v>✓</x:v>
      </x:c>
      <x:c r="C6" s="14" t="str">
        <x:v>✓</x:v>
      </x:c>
      <x:c r="D6" s="14" t="str"/>
      <x:c r="E6" s="14" t="str"/>
      <x:c r="F6" s="14" t="str"/>
      <x:c r="G6" s="14" t="str"/>
      <x:c r="H6" s="14" t="str"/>
      <x:c r="I6" s="14" t="str"/>
      <x:c r="J6" s="14" t="str">
        <x:v>Dados do cliente entram por integrações; não exige marketplaces.</x:v>
      </x:c>
    </x:row>
    <x:row r="7">
      <x:c r="A7" s="14" t="str">
        <x:v>Gestão de pessoas completa</x:v>
      </x:c>
      <x:c r="B7" s="14" t="str">
        <x:v>✓</x:v>
      </x:c>
      <x:c r="C7" s="14" t="str">
        <x:v>✓</x:v>
      </x:c>
      <x:c r="D7" s="14" t="str">
        <x:v>✓</x:v>
      </x:c>
      <x:c r="E7" s="14" t="str"/>
      <x:c r="F7" s="14" t="str"/>
      <x:c r="G7" s="14" t="str"/>
      <x:c r="H7" s="14" t="str"/>
      <x:c r="I7" s="14" t="str"/>
      <x:c r="J7" s="14" t="str">
        <x:v>ED + jornada interna.</x:v>
      </x:c>
    </x:row>
    <x:row r="8">
      <x:c r="A8" s="14" t="str">
        <x:v>Empregabilidade / Firjan</x:v>
      </x:c>
      <x:c r="B8" s="14" t="str">
        <x:v>✓</x:v>
      </x:c>
      <x:c r="C8" s="14" t="str"/>
      <x:c r="D8" s="14" t="str"/>
      <x:c r="E8" s="14" t="str">
        <x:v>✓</x:v>
      </x:c>
      <x:c r="F8" s="14" t="str"/>
      <x:c r="G8" s="14" t="str"/>
      <x:c r="H8" s="14" t="str"/>
      <x:c r="I8" s="14" t="str">
        <x:v>Opcional</x:v>
      </x:c>
      <x:c r="J8" s="14" t="str">
        <x:v>Formação + candidatos + vagas; COM pode apoiar preparação.</x:v>
      </x:c>
    </x:row>
    <x:row r="9">
      <x:c r="A9" s="14" t="str">
        <x:v>Fornecedores / Sebrae-GINGA</x:v>
      </x:c>
      <x:c r="B9" s="14" t="str">
        <x:v>✓</x:v>
      </x:c>
      <x:c r="C9" s="14" t="str">
        <x:v>Opcional</x:v>
      </x:c>
      <x:c r="D9" s="14" t="str"/>
      <x:c r="E9" s="14" t="str"/>
      <x:c r="F9" s="14" t="str">
        <x:v>✓</x:v>
      </x:c>
      <x:c r="G9" s="14" t="str"/>
      <x:c r="H9" s="14" t="str">
        <x:v>Opcional</x:v>
      </x:c>
      <x:c r="I9" s="14" t="str"/>
      <x:c r="J9" s="14" t="str">
        <x:v>Match B2B; ED mede impacto e EVT pode ativar GINGA.</x:v>
      </x:c>
    </x:row>
    <x:row r="10">
      <x:c r="A10" s="14" t="str">
        <x:v>Universidade / Mackenzie</x:v>
      </x:c>
      <x:c r="B10" s="14" t="str">
        <x:v>✓</x:v>
      </x:c>
      <x:c r="C10" s="14" t="str">
        <x:v>Opcional</x:v>
      </x:c>
      <x:c r="D10" s="14" t="str"/>
      <x:c r="E10" s="14" t="str">
        <x:v>✓</x:v>
      </x:c>
      <x:c r="F10" s="14" t="str"/>
      <x:c r="G10" s="14" t="str">
        <x:v>✓</x:v>
      </x:c>
      <x:c r="H10" s="14" t="str">
        <x:v>Opcional</x:v>
      </x:c>
      <x:c r="I10" s="14" t="str"/>
      <x:c r="J10" s="14" t="str">
        <x:v>ACA standalone; CAN amplia carreira/estágio.</x:v>
      </x:c>
    </x:row>
    <x:row r="11">
      <x:c r="A11" s="14" t="str">
        <x:v>HUB Eventos</x:v>
      </x:c>
      <x:c r="B11" s="14" t="str">
        <x:v>✓</x:v>
      </x:c>
      <x:c r="C11" s="14" t="str">
        <x:v>Opcional</x:v>
      </x:c>
      <x:c r="D11" s="14" t="str"/>
      <x:c r="E11" s="14" t="str">
        <x:v>✓</x:v>
      </x:c>
      <x:c r="F11" s="14" t="str">
        <x:v>✓</x:v>
      </x:c>
      <x:c r="G11" s="14" t="str"/>
      <x:c r="H11" s="14" t="str">
        <x:v>✓</x:v>
      </x:c>
      <x:c r="I11" s="14" t="str">
        <x:v>Opcional</x:v>
      </x:c>
      <x:c r="J11" s="14" t="str">
        <x:v>Orquestra talentos, fornecedores, pesquisa e ROI.</x:v>
      </x:c>
    </x:row>
    <x:row r="12">
      <x:c r="A12" s="14" t="str">
        <x:v>Ecossistema completo</x:v>
      </x:c>
      <x:c r="B12" s="14" t="str">
        <x:v>✓</x:v>
      </x:c>
      <x:c r="C12" s="14" t="str">
        <x:v>✓</x:v>
      </x:c>
      <x:c r="D12" s="14" t="str">
        <x:v>✓</x:v>
      </x:c>
      <x:c r="E12" s="14" t="str">
        <x:v>✓</x:v>
      </x:c>
      <x:c r="F12" s="14" t="str">
        <x:v>✓</x:v>
      </x:c>
      <x:c r="G12" s="14" t="str">
        <x:v>✓</x:v>
      </x:c>
      <x:c r="H12" s="14" t="str">
        <x:v>✓</x:v>
      </x:c>
      <x:c r="I12" s="14" t="str">
        <x:v>✓</x:v>
      </x:c>
      <x:c r="J12" s="14" t="str">
        <x:v>Máxima inteligência de rede, com consentimento e governança.</x:v>
      </x:c>
    </x:row>
  </x:sheetData>
  <x:mergeCells>
    <x:mergeCell ref="A1:J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12" hidden="0" customWidth="1"/>
    <x:col min="4" max="4" width="14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6" hidden="0" customWidth="1"/>
    <x:col min="11" max="11" width="18" hidden="0" customWidth="1"/>
    <x:col min="12" max="12" width="48" hidden="0" customWidth="1"/>
  </x:cols>
  <x:sheetData>
    <x:row r="1">
      <x:c r="A1" s="3" t="str">
        <x:v>BASE PARA A PRÓXIMA ETAPA DE PRECIFICAÇÃO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7" t="str">
        <x:v>Sem valores ainda: drivers que serão convertidos em horas, equipe, infraestrutura, licenças e custos recorrentes.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5">
      <x:c r="A5" s="11" t="str">
        <x:v>Código</x:v>
      </x:c>
      <x:c r="B5" s="11" t="str">
        <x:v>Módulo</x:v>
      </x:c>
      <x:c r="C5" s="11" t="str">
        <x:v>Telas</x:v>
      </x:c>
      <x:c r="D5" s="11" t="str">
        <x:v>Complexas</x:v>
      </x:c>
      <x:c r="E5" s="11" t="str">
        <x:v>Integrações diretas</x:v>
      </x:c>
      <x:c r="F5" s="11" t="str">
        <x:v>IA/matching</x:v>
      </x:c>
      <x:c r="G5" s="11" t="str">
        <x:v>Dados/BI</x:v>
      </x:c>
      <x:c r="H5" s="11" t="str">
        <x:v>Mensageria</x:v>
      </x:c>
      <x:c r="I5" s="11" t="str">
        <x:v>Mobile</x:v>
      </x:c>
      <x:c r="J5" s="11" t="str">
        <x:v>Compliance</x:v>
      </x:c>
      <x:c r="K5" s="11" t="str">
        <x:v>Operação humana</x:v>
      </x:c>
      <x:c r="L5" s="11" t="str">
        <x:v>Observação</x:v>
      </x:c>
    </x:row>
    <x:row r="6">
      <x:c r="A6" s="14" t="str">
        <x:v>CORE</x:v>
      </x:c>
      <x:c r="B6" s="14" t="str">
        <x:v>Core / Plataforma</x:v>
      </x:c>
      <x:c r="C6" s="14" t="n">
        <x:f>COUNTIF('02_Inventario_Paginas'!$B$6:$B$101,A6)</x:f>
        <x:v>12</x:v>
      </x:c>
      <x:c r="D6" s="14" t="n">
        <x:f>COUNTIFS('02_Inventario_Paginas'!$B$6:$B$101,A6,'02_Inventario_Paginas'!$G$6:$G$101,"Alta")+COUNTIFS('02_Inventario_Paginas'!$B$6:$B$101,A6,'02_Inventario_Paginas'!$G$6:$G$101,"Muito alta")</x:f>
        <x:v>6</x:v>
      </x:c>
      <x:c r="E6" s="14" t="n">
        <x:v>7</x:v>
      </x:c>
      <x:c r="F6" s="14" t="str">
        <x:v>Não</x:v>
      </x:c>
      <x:c r="G6" s="14" t="str">
        <x:v>Média</x:v>
      </x:c>
      <x:c r="H6" s="14" t="str">
        <x:v>Alta</x:v>
      </x:c>
      <x:c r="I6" s="14" t="str">
        <x:v>Sim</x:v>
      </x:c>
      <x:c r="J6" s="14" t="str">
        <x:v>Muito alta</x:v>
      </x:c>
      <x:c r="K6" s="14" t="str">
        <x:v>Média</x:v>
      </x:c>
      <x:c r="L6" s="14" t="str">
        <x:v>Infraestrutura transversal</x:v>
      </x:c>
    </x:row>
    <x:row r="7">
      <x:c r="A7" s="14" t="str">
        <x:v>ED</x:v>
      </x:c>
      <x:c r="B7" s="14" t="str">
        <x:v>Estratégia &amp; Dados</x:v>
      </x:c>
      <x:c r="C7" s="14" t="n">
        <x:f>COUNTIF('02_Inventario_Paginas'!$B$6:$B$101,A7)</x:f>
        <x:v>11</x:v>
      </x:c>
      <x:c r="D7" s="14" t="n">
        <x:f>COUNTIFS('02_Inventario_Paginas'!$B$6:$B$101,A7,'02_Inventario_Paginas'!$G$6:$G$101,"Alta")+COUNTIFS('02_Inventario_Paginas'!$B$6:$B$101,A7,'02_Inventario_Paginas'!$G$6:$G$101,"Muito alta")</x:f>
        <x:v>9</x:v>
      </x:c>
      <x:c r="E7" s="14" t="n">
        <x:v>3</x:v>
      </x:c>
      <x:c r="F7" s="14" t="str">
        <x:v>Alta</x:v>
      </x:c>
      <x:c r="G7" s="14" t="str">
        <x:v>Muito alta</x:v>
      </x:c>
      <x:c r="H7" s="14" t="str">
        <x:v>Baixa</x:v>
      </x:c>
      <x:c r="I7" s="14" t="str">
        <x:v>Não</x:v>
      </x:c>
      <x:c r="J7" s="14" t="str">
        <x:v>Alta</x:v>
      </x:c>
      <x:c r="K7" s="14" t="str">
        <x:v>Baixa</x:v>
      </x:c>
      <x:c r="L7" s="14" t="str">
        <x:v>Peso em dados, integrações e analytics</x:v>
      </x:c>
    </x:row>
    <x:row r="8">
      <x:c r="A8" s="14" t="str">
        <x:v>COL</x:v>
      </x:c>
      <x:c r="B8" s="14" t="str">
        <x:v>Colaboradores / Meu Time</x:v>
      </x:c>
      <x:c r="C8" s="14" t="n">
        <x:f>COUNTIF('02_Inventario_Paginas'!$B$6:$B$101,A8)</x:f>
        <x:v>11</x:v>
      </x:c>
      <x:c r="D8" s="14" t="n">
        <x:f>COUNTIFS('02_Inventario_Paginas'!$B$6:$B$101,A8,'02_Inventario_Paginas'!$G$6:$G$101,"Alta")+COUNTIFS('02_Inventario_Paginas'!$B$6:$B$101,A8,'02_Inventario_Paginas'!$G$6:$G$101,"Muito alta")</x:f>
        <x:v>4</x:v>
      </x:c>
      <x:c r="E8" s="14" t="n">
        <x:v>2</x:v>
      </x:c>
      <x:c r="F8" s="14" t="str">
        <x:v>Média</x:v>
      </x:c>
      <x:c r="G8" s="14" t="str">
        <x:v>Alta</x:v>
      </x:c>
      <x:c r="H8" s="14" t="str">
        <x:v>Média</x:v>
      </x:c>
      <x:c r="I8" s="14" t="str">
        <x:v>Sim</x:v>
      </x:c>
      <x:c r="J8" s="14" t="str">
        <x:v>Alta</x:v>
      </x:c>
      <x:c r="K8" s="14" t="str">
        <x:v>Média</x:v>
      </x:c>
      <x:c r="L8" s="14" t="str">
        <x:v>Dados sensíveis e ciclos internos</x:v>
      </x:c>
    </x:row>
    <x:row r="9">
      <x:c r="A9" s="14" t="str">
        <x:v>CAN</x:v>
      </x:c>
      <x:c r="B9" s="14" t="str">
        <x:v>Candidatos &amp; Carreira</x:v>
      </x:c>
      <x:c r="C9" s="14" t="n">
        <x:f>COUNTIF('02_Inventario_Paginas'!$B$6:$B$101,A9)</x:f>
        <x:v>13</x:v>
      </x:c>
      <x:c r="D9" s="14" t="n">
        <x:f>COUNTIFS('02_Inventario_Paginas'!$B$6:$B$101,A9,'02_Inventario_Paginas'!$G$6:$G$101,"Alta")+COUNTIFS('02_Inventario_Paginas'!$B$6:$B$101,A9,'02_Inventario_Paginas'!$G$6:$G$101,"Muito alta")</x:f>
        <x:v>5</x:v>
      </x:c>
      <x:c r="E9" s="14" t="n">
        <x:v>4</x:v>
      </x:c>
      <x:c r="F9" s="14" t="str">
        <x:v>Muito alta</x:v>
      </x:c>
      <x:c r="G9" s="14" t="str">
        <x:v>Alta</x:v>
      </x:c>
      <x:c r="H9" s="14" t="str">
        <x:v>Alta</x:v>
      </x:c>
      <x:c r="I9" s="14" t="str">
        <x:v>Sim</x:v>
      </x:c>
      <x:c r="J9" s="14" t="str">
        <x:v>Alta</x:v>
      </x:c>
      <x:c r="K9" s="14" t="str">
        <x:v>Alta</x:v>
      </x:c>
      <x:c r="L9" s="14" t="str">
        <x:v>Marketplace, matching e alto volume</x:v>
      </x:c>
    </x:row>
    <x:row r="10">
      <x:c r="A10" s="14" t="str">
        <x:v>FOR</x:v>
      </x:c>
      <x:c r="B10" s="14" t="str">
        <x:v>Fornecedores &amp; Negócios</x:v>
      </x:c>
      <x:c r="C10" s="14" t="n">
        <x:f>COUNTIF('02_Inventario_Paginas'!$B$6:$B$101,A10)</x:f>
        <x:v>14</x:v>
      </x:c>
      <x:c r="D10" s="14" t="n">
        <x:f>COUNTIFS('02_Inventario_Paginas'!$B$6:$B$101,A10,'02_Inventario_Paginas'!$G$6:$G$101,"Alta")+COUNTIFS('02_Inventario_Paginas'!$B$6:$B$101,A10,'02_Inventario_Paginas'!$G$6:$G$101,"Muito alta")</x:f>
        <x:v>9</x:v>
      </x:c>
      <x:c r="E10" s="14" t="n">
        <x:v>2</x:v>
      </x:c>
      <x:c r="F10" s="14" t="str">
        <x:v>Muito alta</x:v>
      </x:c>
      <x:c r="G10" s="14" t="str">
        <x:v>Alta</x:v>
      </x:c>
      <x:c r="H10" s="14" t="str">
        <x:v>Alta</x:v>
      </x:c>
      <x:c r="I10" s="14" t="str">
        <x:v>Responsivo</x:v>
      </x:c>
      <x:c r="J10" s="14" t="str">
        <x:v>Alta</x:v>
      </x:c>
      <x:c r="K10" s="14" t="str">
        <x:v>Alta</x:v>
      </x:c>
      <x:c r="L10" s="14" t="str">
        <x:v>B2B, documentos e negociação</x:v>
      </x:c>
    </x:row>
    <x:row r="11">
      <x:c r="A11" s="14" t="str">
        <x:v>ACA</x:v>
      </x:c>
      <x:c r="B11" s="14" t="str">
        <x:v>Acadêmico / Universidades</x:v>
      </x:c>
      <x:c r="C11" s="14" t="n">
        <x:f>COUNTIF('02_Inventario_Paginas'!$B$6:$B$101,A11)</x:f>
        <x:v>12</x:v>
      </x:c>
      <x:c r="D11" s="14" t="n">
        <x:f>COUNTIFS('02_Inventario_Paginas'!$B$6:$B$101,A11,'02_Inventario_Paginas'!$G$6:$G$101,"Alta")+COUNTIFS('02_Inventario_Paginas'!$B$6:$B$101,A11,'02_Inventario_Paginas'!$G$6:$G$101,"Muito alta")</x:f>
        <x:v>6</x:v>
      </x:c>
      <x:c r="E11" s="14" t="n">
        <x:v>3</x:v>
      </x:c>
      <x:c r="F11" s="14" t="str">
        <x:v>Alta</x:v>
      </x:c>
      <x:c r="G11" s="14" t="str">
        <x:v>Alta</x:v>
      </x:c>
      <x:c r="H11" s="14" t="str">
        <x:v>Média</x:v>
      </x:c>
      <x:c r="I11" s="14" t="str">
        <x:v>Sim</x:v>
      </x:c>
      <x:c r="J11" s="14" t="str">
        <x:v>Alta</x:v>
      </x:c>
      <x:c r="K11" s="14" t="str">
        <x:v>Média</x:v>
      </x:c>
      <x:c r="L11" s="14" t="str">
        <x:v>Entidades acadêmicas e matching</x:v>
      </x:c>
    </x:row>
    <x:row r="12">
      <x:c r="A12" s="14" t="str">
        <x:v>EVT</x:v>
      </x:c>
      <x:c r="B12" s="14" t="str">
        <x:v>Eventos</x:v>
      </x:c>
      <x:c r="C12" s="14" t="n">
        <x:f>COUNTIF('02_Inventario_Paginas'!$B$6:$B$101,A12)</x:f>
        <x:v>14</x:v>
      </x:c>
      <x:c r="D12" s="14" t="n">
        <x:f>COUNTIFS('02_Inventario_Paginas'!$B$6:$B$101,A12,'02_Inventario_Paginas'!$G$6:$G$101,"Alta")+COUNTIFS('02_Inventario_Paginas'!$B$6:$B$101,A12,'02_Inventario_Paginas'!$G$6:$G$101,"Muito alta")</x:f>
        <x:v>10</x:v>
      </x:c>
      <x:c r="E12" s="14" t="n">
        <x:v>5</x:v>
      </x:c>
      <x:c r="F12" s="14" t="str">
        <x:v>Alta</x:v>
      </x:c>
      <x:c r="G12" s="14" t="str">
        <x:v>Muito alta</x:v>
      </x:c>
      <x:c r="H12" s="14" t="str">
        <x:v>Alta</x:v>
      </x:c>
      <x:c r="I12" s="14" t="str">
        <x:v>Sim</x:v>
      </x:c>
      <x:c r="J12" s="14" t="str">
        <x:v>Muito alta</x:v>
      </x:c>
      <x:c r="K12" s="14" t="str">
        <x:v>Muito alta</x:v>
      </x:c>
      <x:c r="L12" s="14" t="str">
        <x:v>Tempo real, pesquisa e operação</x:v>
      </x:c>
    </x:row>
    <x:row r="13">
      <x:c r="A13" s="14" t="str">
        <x:v>COM</x:v>
      </x:c>
      <x:c r="B13" s="14" t="str">
        <x:v>Comunidades / Eu &amp; Eu / Cultura</x:v>
      </x:c>
      <x:c r="C13" s="14" t="n">
        <x:f>COUNTIF('02_Inventario_Paginas'!$B$6:$B$101,A13)</x:f>
        <x:v>9</x:v>
      </x:c>
      <x:c r="D13" s="14" t="n">
        <x:f>COUNTIFS('02_Inventario_Paginas'!$B$6:$B$101,A13,'02_Inventario_Paginas'!$G$6:$G$101,"Alta")+COUNTIFS('02_Inventario_Paginas'!$B$6:$B$101,A13,'02_Inventario_Paginas'!$G$6:$G$101,"Muito alta")</x:f>
        <x:v>2</x:v>
      </x:c>
      <x:c r="E13" s="14" t="n">
        <x:v>4</x:v>
      </x:c>
      <x:c r="F13" s="14" t="str">
        <x:v>Média</x:v>
      </x:c>
      <x:c r="G13" s="14" t="str">
        <x:v>Média</x:v>
      </x:c>
      <x:c r="H13" s="14" t="str">
        <x:v>Alta</x:v>
      </x:c>
      <x:c r="I13" s="14" t="str">
        <x:v>Sim</x:v>
      </x:c>
      <x:c r="J13" s="14" t="str">
        <x:v>Alta</x:v>
      </x:c>
      <x:c r="K13" s="14" t="str">
        <x:v>Alta</x:v>
      </x:c>
      <x:c r="L13" s="14" t="str">
        <x:v>B2C e engajamento</x:v>
      </x:c>
    </x:row>
  </x:sheetData>
  <x:mergeCells>
    <x:mergeCell ref="A1:L2"/>
    <x:mergeCell ref="A3:L3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22" hidden="0" customWidth="1"/>
    <x:col min="5" max="5" width="26" hidden="0" customWidth="1"/>
    <x:col min="6" max="6" width="50" hidden="0" customWidth="1"/>
    <x:col min="7" max="7" width="12" hidden="0" customWidth="1"/>
    <x:col min="8" max="8" width="12" hidden="0" customWidth="1"/>
  </x:cols>
  <x:sheetData>
    <x:row r="1">
      <x:c r="A1" s="40" t="str">
        <x:v>PREMISSAS PARA DIMENSIONAMENTO DE CUSTO</x:v>
      </x:c>
      <x:c r="B1" s="40"/>
      <x:c r="C1" s="40"/>
      <x:c r="D1" s="40"/>
      <x:c r="E1" s="40"/>
      <x:c r="F1" s="40"/>
      <x:c r="G1" s="14"/>
      <x:c r="H1" s="14"/>
    </x:row>
    <x:row r="2">
      <x:c r="A2" s="40"/>
      <x:c r="B2" s="40"/>
      <x:c r="C2" s="40"/>
      <x:c r="D2" s="40"/>
      <x:c r="E2" s="40"/>
      <x:c r="F2" s="40"/>
      <x:c r="G2" s="14"/>
      <x:c r="H2" s="14"/>
    </x:row>
    <x:row r="3">
      <x:c r="A3" s="31" t="str">
        <x:v>Premissas iniciais editáveis. Não são orçamento de fornecedor: servem para transformar as 96 telas do escopo em uma primeira ordem de grandeza e depois calibrar com cotações reais.</x:v>
      </x:c>
      <x:c r="B3" s="31"/>
      <x:c r="C3" s="31"/>
      <x:c r="D3" s="31"/>
      <x:c r="E3" s="31"/>
      <x:c r="F3" s="31"/>
      <x:c r="G3" s="14"/>
      <x:c r="H3" s="14"/>
    </x:row>
    <x:row r="4">
      <x:c r="A4" s="14"/>
      <x:c r="B4" s="14"/>
      <x:c r="C4" s="14"/>
      <x:c r="D4" s="14"/>
      <x:c r="E4" s="14"/>
      <x:c r="F4" s="14"/>
      <x:c r="G4" s="14"/>
      <x:c r="H4" s="14"/>
    </x:row>
    <x:row r="5">
      <x:c r="A5" s="41" t="str">
        <x:v>Complexidade da tela</x:v>
      </x:c>
      <x:c r="B5" s="41" t="str">
        <x:v>Multiplicador</x:v>
      </x:c>
      <x:c r="C5" s="41" t="str">
        <x:v>Uso</x:v>
      </x:c>
      <x:c r="D5" s="14"/>
      <x:c r="E5" s="41" t="str">
        <x:v>Premissa geral</x:v>
      </x:c>
      <x:c r="F5" s="41" t="str">
        <x:v>Valor</x:v>
      </x:c>
      <x:c r="G5" s="14"/>
      <x:c r="H5" s="14"/>
    </x:row>
    <x:row r="6">
      <x:c r="A6" s="14" t="str">
        <x:v>Baixa</x:v>
      </x:c>
      <x:c r="B6" s="42" t="n">
        <x:v>0.65</x:v>
      </x:c>
      <x:c r="C6" s="14" t="str">
        <x:v>Tela simples / leitura / formulário básico</x:v>
      </x:c>
      <x:c r="D6" s="14"/>
      <x:c r="E6" s="14" t="str">
        <x:v>Contingência desenvolvimento</x:v>
      </x:c>
      <x:c r="F6" s="43" t="n">
        <x:v>0.15</x:v>
      </x:c>
      <x:c r="G6" s="14"/>
      <x:c r="H6" s="14"/>
    </x:row>
    <x:row r="7">
      <x:c r="A7" s="14" t="str">
        <x:v>Média</x:v>
      </x:c>
      <x:c r="B7" s="42" t="n">
        <x:v>1</x:v>
      </x:c>
      <x:c r="C7" s="14" t="str">
        <x:v>Fluxo padrão</x:v>
      </x:c>
      <x:c r="D7" s="14"/>
      <x:c r="E7" s="14" t="str">
        <x:v>Gestão/arquitetura sobre build</x:v>
      </x:c>
      <x:c r="F7" s="43" t="n">
        <x:v>0.12</x:v>
      </x:c>
      <x:c r="G7" s="14"/>
      <x:c r="H7" s="14"/>
    </x:row>
    <x:row r="8">
      <x:c r="A8" s="14" t="str">
        <x:v>Alta</x:v>
      </x:c>
      <x:c r="B8" s="42" t="n">
        <x:v>1.55</x:v>
      </x:c>
      <x:c r="C8" s="14" t="str">
        <x:v>Regras, integrações ou visualizações complexas</x:v>
      </x:c>
      <x:c r="D8" s="14"/>
      <x:c r="E8" s="14" t="str">
        <x:v>Meses de construção</x:v>
      </x:c>
      <x:c r="F8" s="44" t="n">
        <x:v>9</x:v>
      </x:c>
      <x:c r="G8" s="14"/>
      <x:c r="H8" s="14"/>
    </x:row>
    <x:row r="9">
      <x:c r="A9" s="14" t="str">
        <x:v>Muito alta</x:v>
      </x:c>
      <x:c r="B9" s="42" t="n">
        <x:v>2.2</x:v>
      </x:c>
      <x:c r="C9" s="14" t="str">
        <x:v>Matching, analytics avançado, simulação ou lógica intensa</x:v>
      </x:c>
      <x:c r="D9" s="14"/>
      <x:c r="E9" s="14" t="str">
        <x:v>Meses de operação/ano</x:v>
      </x:c>
      <x:c r="F9" s="44" t="n">
        <x:v>12</x:v>
      </x:c>
      <x:c r="G9" s="14"/>
      <x:c r="H9" s="14"/>
    </x:row>
    <x:row r="10">
      <x:c r="A10" s="14"/>
      <x:c r="B10" s="14"/>
      <x:c r="C10" s="14"/>
      <x:c r="D10" s="14"/>
      <x:c r="E10" s="14" t="str">
        <x:v>Fator Fase 2 vs. MVP</x:v>
      </x:c>
      <x:c r="F10" s="43" t="n">
        <x:v>0.9</x:v>
      </x:c>
      <x:c r="G10" s="14"/>
      <x:c r="H10" s="14"/>
    </x:row>
    <x:row r="11">
      <x:c r="A11" s="14"/>
      <x:c r="B11" s="14"/>
      <x:c r="C11" s="14"/>
      <x:c r="D11" s="14"/>
      <x:c r="E11" s="14" t="str">
        <x:v>Reuso parcial de tela</x:v>
      </x:c>
      <x:c r="F11" s="43" t="n">
        <x:v>0.55</x:v>
      </x:c>
      <x:c r="G11" s="14"/>
      <x:c r="H11" s="14"/>
    </x:row>
    <x:row r="12">
      <x:c r="A12" s="41" t="str">
        <x:v>Disciplina</x:v>
      </x:c>
      <x:c r="B12" s="41" t="str">
        <x:v>Horas base / tela média</x:v>
      </x:c>
      <x:c r="C12" s="41" t="str">
        <x:v>Rate R$/h</x:v>
      </x:c>
      <x:c r="D12" s="41" t="str">
        <x:v>Mensalidade base R$</x:v>
      </x:c>
      <x:c r="E12" s="41" t="str">
        <x:v>Driver mensal</x:v>
      </x:c>
      <x:c r="F12" s="45" t="str">
        <x:v>Observação</x:v>
      </x:c>
      <x:c r="G12" s="41" t="str"/>
      <x:c r="H12" s="41" t="str"/>
    </x:row>
    <x:row r="13">
      <x:c r="A13" s="14" t="str">
        <x:v>UX/UI</x:v>
      </x:c>
      <x:c r="B13" s="44" t="n">
        <x:v>22</x:v>
      </x:c>
      <x:c r="C13" s="46" t="n">
        <x:v>180</x:v>
      </x:c>
      <x:c r="D13" s="14" t="n">
        <x:v>0</x:v>
      </x:c>
      <x:c r="E13" s="14" t="str">
        <x:v>Build</x:v>
      </x:c>
      <x:c r="F13" s="14" t="str">
        <x:v>Pesquisa, fluxo, wireframe, design e handoff</x:v>
      </x:c>
      <x:c r="G13" s="14"/>
      <x:c r="H13" s="14"/>
    </x:row>
    <x:row r="14">
      <x:c r="A14" s="14" t="str">
        <x:v>Front-end</x:v>
      </x:c>
      <x:c r="B14" s="44" t="n">
        <x:v>48</x:v>
      </x:c>
      <x:c r="C14" s="46" t="n">
        <x:v>220</x:v>
      </x:c>
      <x:c r="D14" s="14" t="n">
        <x:v>0</x:v>
      </x:c>
      <x:c r="E14" s="14" t="str">
        <x:v>Build</x:v>
      </x:c>
      <x:c r="F14" s="14" t="str">
        <x:v>Web responsivo; mobile dedicado é driver adicional</x:v>
      </x:c>
      <x:c r="G14" s="14"/>
      <x:c r="H14" s="14"/>
    </x:row>
    <x:row r="15">
      <x:c r="A15" s="14" t="str">
        <x:v>Back-end</x:v>
      </x:c>
      <x:c r="B15" s="44" t="n">
        <x:v>54</x:v>
      </x:c>
      <x:c r="C15" s="46" t="n">
        <x:v>240</x:v>
      </x:c>
      <x:c r="D15" s="14" t="n">
        <x:v>0</x:v>
      </x:c>
      <x:c r="E15" s="14" t="str">
        <x:v>Build</x:v>
      </x:c>
      <x:c r="F15" s="14" t="str">
        <x:v>APIs, regras e persistência</x:v>
      </x:c>
      <x:c r="G15" s="14"/>
      <x:c r="H15" s="14"/>
    </x:row>
    <x:row r="16">
      <x:c r="A16" s="14" t="str">
        <x:v>Dados/BI</x:v>
      </x:c>
      <x:c r="B16" s="44" t="n">
        <x:v>18</x:v>
      </x:c>
      <x:c r="C16" s="46" t="n">
        <x:v>260</x:v>
      </x:c>
      <x:c r="D16" s="14" t="n">
        <x:v>0</x:v>
      </x:c>
      <x:c r="E16" s="14" t="str">
        <x:v>Build</x:v>
      </x:c>
      <x:c r="F16" s="14" t="str">
        <x:v>Modelagem, indicadores e pipelines leves</x:v>
      </x:c>
      <x:c r="G16" s="14"/>
      <x:c r="H16" s="14"/>
    </x:row>
    <x:row r="17">
      <x:c r="A17" s="14" t="str">
        <x:v>IA/Matching</x:v>
      </x:c>
      <x:c r="B17" s="44" t="n">
        <x:v>10</x:v>
      </x:c>
      <x:c r="C17" s="46" t="n">
        <x:v>320</x:v>
      </x:c>
      <x:c r="D17" s="14" t="n">
        <x:v>0</x:v>
      </x:c>
      <x:c r="E17" s="14" t="str">
        <x:v>Build</x:v>
      </x:c>
      <x:c r="F17" s="14" t="str">
        <x:v>Aplicado apenas quando a tela tem driver de IA</x:v>
      </x:c>
      <x:c r="G17" s="14"/>
      <x:c r="H17" s="14"/>
    </x:row>
    <x:row r="18">
      <x:c r="A18" s="14" t="str">
        <x:v>QA</x:v>
      </x:c>
      <x:c r="B18" s="44" t="n">
        <x:v>20</x:v>
      </x:c>
      <x:c r="C18" s="46" t="n">
        <x:v>170</x:v>
      </x:c>
      <x:c r="D18" s="14" t="n">
        <x:v>0</x:v>
      </x:c>
      <x:c r="E18" s="14" t="str">
        <x:v>Build</x:v>
      </x:c>
      <x:c r="F18" s="14" t="str">
        <x:v>Testes funcionais, regressão e automação gradual</x:v>
      </x:c>
      <x:c r="G18" s="14"/>
      <x:c r="H18" s="14"/>
    </x:row>
    <x:row r="19">
      <x:c r="A19" s="14" t="str">
        <x:v>DevOps</x:v>
      </x:c>
      <x:c r="B19" s="44" t="n">
        <x:v>8</x:v>
      </x:c>
      <x:c r="C19" s="46" t="n">
        <x:v>260</x:v>
      </x:c>
      <x:c r="D19" s="14" t="n">
        <x:v>0</x:v>
      </x:c>
      <x:c r="E19" s="14" t="str">
        <x:v>Build</x:v>
      </x:c>
      <x:c r="F19" s="14" t="str">
        <x:v>CI/CD, ambientes e observabilidade</x:v>
      </x:c>
      <x:c r="G19" s="14"/>
      <x:c r="H19" s="14"/>
    </x:row>
    <x:row r="20">
      <x:c r="A20" s="14" t="str">
        <x:v>Segurança</x:v>
      </x:c>
      <x:c r="B20" s="44" t="n">
        <x:v>6</x:v>
      </x:c>
      <x:c r="C20" s="46" t="n">
        <x:v>320</x:v>
      </x:c>
      <x:c r="D20" s="14" t="n">
        <x:v>0</x:v>
      </x:c>
      <x:c r="E20" s="14" t="str">
        <x:v>Build</x:v>
      </x:c>
      <x:c r="F20" s="14" t="str">
        <x:v>Threat modeling, hardening e revisão</x:v>
      </x:c>
      <x:c r="G20" s="14"/>
      <x:c r="H20" s="14"/>
    </x:row>
    <x:row r="21">
      <x:c r="A21" s="14"/>
      <x:c r="B21" s="14"/>
      <x:c r="C21" s="14"/>
      <x:c r="D21" s="14"/>
      <x:c r="E21" s="14"/>
      <x:c r="F21" s="14"/>
      <x:c r="G21" s="14"/>
      <x:c r="H21" s="14"/>
    </x:row>
    <x:row r="22">
      <x:c r="A22" s="14"/>
      <x:c r="B22" s="14"/>
      <x:c r="C22" s="14"/>
      <x:c r="D22" s="14"/>
      <x:c r="E22" s="14"/>
      <x:c r="F22" s="14"/>
      <x:c r="G22" s="14"/>
      <x:c r="H22" s="14"/>
    </x:row>
    <x:row r="23">
      <x:c r="A23" s="41" t="str">
        <x:v>Custo mensal recorrente</x:v>
      </x:c>
      <x:c r="B23" s="41" t="str">
        <x:v>Base R$/mês</x:v>
      </x:c>
      <x:c r="C23" s="41" t="str">
        <x:v>Escala</x:v>
      </x:c>
      <x:c r="D23" s="41" t="str">
        <x:v>Observação</x:v>
      </x:c>
      <x:c r="E23" s="14"/>
      <x:c r="F23" s="14"/>
      <x:c r="G23" s="14"/>
      <x:c r="H23" s="14"/>
    </x:row>
    <x:row r="24">
      <x:c r="A24" s="14" t="str">
        <x:v>Cloud / infraestrutura</x:v>
      </x:c>
      <x:c r="B24" s="46" t="n">
        <x:v>18000</x:v>
      </x:c>
      <x:c r="C24" s="44" t="n">
        <x:v>1</x:v>
      </x:c>
      <x:c r="D24" s="14" t="str">
        <x:v>Ambientes, banco, storage, observabilidade; recalibrar por volume</x:v>
      </x:c>
      <x:c r="E24" s="14"/>
      <x:c r="F24" s="14"/>
      <x:c r="G24" s="14"/>
      <x:c r="H24" s="14"/>
    </x:row>
    <x:row r="25">
      <x:c r="A25" s="14" t="str">
        <x:v>Dados / pipelines / BI</x:v>
      </x:c>
      <x:c r="B25" s="46" t="n">
        <x:v>14000</x:v>
      </x:c>
      <x:c r="C25" s="44" t="n">
        <x:v>1</x:v>
      </x:c>
      <x:c r="D25" s="14" t="str">
        <x:v>Orquestração, processamento e monitoramento</x:v>
      </x:c>
      <x:c r="E25" s="14"/>
      <x:c r="F25" s="14"/>
      <x:c r="G25" s="14"/>
      <x:c r="H25" s="14"/>
    </x:row>
    <x:row r="26">
      <x:c r="A26" s="14" t="str">
        <x:v>IA / modelos / APIs</x:v>
      </x:c>
      <x:c r="B26" s="46" t="n">
        <x:v>12000</x:v>
      </x:c>
      <x:c r="C26" s="44" t="n">
        <x:v>1</x:v>
      </x:c>
      <x:c r="D26" s="14" t="str">
        <x:v>Uso variável; depende de volume e arquitetura</x:v>
      </x:c>
      <x:c r="E26" s="14"/>
      <x:c r="F26" s="14"/>
      <x:c r="G26" s="14"/>
      <x:c r="H26" s="14"/>
    </x:row>
    <x:row r="27">
      <x:c r="A27" s="14" t="str">
        <x:v>DevOps / SRE</x:v>
      </x:c>
      <x:c r="B27" s="46" t="n">
        <x:v>22000</x:v>
      </x:c>
      <x:c r="C27" s="44" t="n">
        <x:v>1</x:v>
      </x:c>
      <x:c r="D27" s="14" t="str">
        <x:v>Sustentação de plataforma</x:v>
      </x:c>
      <x:c r="E27" s="14"/>
      <x:c r="F27" s="14"/>
      <x:c r="G27" s="14"/>
      <x:c r="H27" s="14"/>
    </x:row>
    <x:row r="28">
      <x:c r="A28" s="14" t="str">
        <x:v>Segurança / compliance</x:v>
      </x:c>
      <x:c r="B28" s="46" t="n">
        <x:v>14000</x:v>
      </x:c>
      <x:c r="C28" s="44" t="n">
        <x:v>1</x:v>
      </x:c>
      <x:c r="D28" s="14" t="str">
        <x:v>Monitoramento, scans, LGPD e auditoria</x:v>
      </x:c>
      <x:c r="E28" s="14"/>
      <x:c r="F28" s="14"/>
      <x:c r="G28" s="14"/>
      <x:c r="H28" s="14"/>
    </x:row>
    <x:row r="29">
      <x:c r="A29" s="14" t="str">
        <x:v>QA / releases</x:v>
      </x:c>
      <x:c r="B29" s="46" t="n">
        <x:v>16000</x:v>
      </x:c>
      <x:c r="C29" s="44" t="n">
        <x:v>1</x:v>
      </x:c>
      <x:c r="D29" s="14" t="str">
        <x:v>Regressão e qualidade contínua</x:v>
      </x:c>
      <x:c r="E29" s="14"/>
      <x:c r="F29" s="14"/>
      <x:c r="G29" s="14"/>
      <x:c r="H29" s="14"/>
    </x:row>
    <x:row r="30">
      <x:c r="A30" s="14" t="str">
        <x:v>Produto / operação técnica</x:v>
      </x:c>
      <x:c r="B30" s="46" t="n">
        <x:v>28000</x:v>
      </x:c>
      <x:c r="C30" s="44" t="n">
        <x:v>1</x:v>
      </x:c>
      <x:c r="D30" s="14" t="str">
        <x:v>Gestão de backlog, incidentes e evolução</x:v>
      </x:c>
      <x:c r="E30" s="14"/>
      <x:c r="F30" s="14"/>
      <x:c r="G30" s="14"/>
      <x:c r="H30" s="14"/>
    </x:row>
    <x:row r="31">
      <x:c r="A31" s="14" t="str">
        <x:v>Suporte / CS técnico</x:v>
      </x:c>
      <x:c r="B31" s="46" t="n">
        <x:v>18000</x:v>
      </x:c>
      <x:c r="C31" s="44" t="n">
        <x:v>1</x:v>
      </x:c>
      <x:c r="D31" s="14" t="str">
        <x:v>Atendimento B2B e operação</x:v>
      </x:c>
      <x:c r="E31" s="14"/>
      <x:c r="F31" s="14"/>
      <x:c r="G31" s="14"/>
      <x:c r="H31" s="14"/>
    </x:row>
    <x:row r="32">
      <x:c r="A32" s="14"/>
      <x:c r="B32" s="14"/>
      <x:c r="C32" s="14"/>
      <x:c r="D32" s="14"/>
      <x:c r="E32" s="14"/>
      <x:c r="F32" s="14"/>
      <x:c r="G32" s="14"/>
      <x:c r="H32" s="14"/>
    </x:row>
    <x:row r="33">
      <x:c r="A33" s="14"/>
      <x:c r="B33" s="14"/>
      <x:c r="C33" s="14"/>
      <x:c r="D33" s="14"/>
      <x:c r="E33" s="14"/>
      <x:c r="F33" s="14"/>
      <x:c r="G33" s="14"/>
      <x:c r="H33" s="14"/>
    </x:row>
    <x:row r="34">
      <x:c r="A34" s="14"/>
      <x:c r="B34" s="14"/>
      <x:c r="C34" s="14"/>
      <x:c r="D34" s="14"/>
      <x:c r="E34" s="14"/>
      <x:c r="F34" s="14"/>
      <x:c r="G34" s="14"/>
      <x:c r="H34" s="14"/>
    </x:row>
    <x:row r="35">
      <x:c r="A35" s="14"/>
      <x:c r="B35" s="14"/>
      <x:c r="C35" s="14"/>
      <x:c r="D35" s="14"/>
      <x:c r="E35" s="14"/>
      <x:c r="F35" s="14"/>
      <x:c r="G35" s="14"/>
      <x:c r="H35" s="14"/>
    </x:row>
  </x:sheetData>
  <x:mergeCells>
    <x:mergeCell ref="A1:F2"/>
    <x:mergeCell ref="A3:F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8" hidden="0" customWidth="1"/>
    <x:col min="3" max="3" width="24" hidden="0" customWidth="1"/>
    <x:col min="4" max="4" width="32" hidden="0" customWidth="1"/>
    <x:col min="5" max="5" width="12" hidden="0" customWidth="1"/>
    <x:col min="6" max="6" width="14" hidden="0" customWidth="1"/>
    <x:col min="7" max="7" width="25" hidden="0" customWidth="1"/>
    <x:col min="8" max="8" width="10" hidden="0" customWidth="1"/>
    <x:col min="9" max="9" width="11" hidden="0" customWidth="1"/>
    <x:col min="10" max="10" width="12" hidden="0" customWidth="1"/>
    <x:col min="11" max="11" width="13" hidden="0" customWidth="1"/>
    <x:col min="12" max="12" width="12" hidden="0" customWidth="1"/>
    <x:col min="13" max="13" width="12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1" hidden="0" customWidth="1"/>
    <x:col min="22" max="22" width="13" hidden="0" customWidth="1"/>
    <x:col min="23" max="23" width="13" hidden="0" customWidth="1"/>
    <x:col min="24" max="24" width="17" hidden="0" customWidth="1"/>
    <x:col min="25" max="25" width="18" hidden="0" customWidth="1"/>
    <x:col min="26" max="26" width="17" hidden="0" customWidth="1"/>
    <x:col min="27" max="27" width="17" hidden="0" customWidth="1"/>
    <x:col min="28" max="28" width="36" hidden="0" customWidth="1"/>
  </x:cols>
  <x:sheetData>
    <x:row r="1">
      <x:c r="A1" s="28" t="str">
        <x:v>ESTIMATIVA DE BUILD POR TELA — 96 TELAS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  <x:c r="Y1" s="28"/>
      <x:c r="Z1" s="28"/>
      <x:c r="AA1" s="28"/>
      <x:c r="AB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  <x:c r="R2" s="28"/>
      <x:c r="S2" s="28"/>
      <x:c r="T2" s="28"/>
      <x:c r="U2" s="28"/>
      <x:c r="V2" s="28"/>
      <x:c r="W2" s="28"/>
      <x:c r="X2" s="28"/>
      <x:c r="Y2" s="28"/>
      <x:c r="Z2" s="28"/>
      <x:c r="AA2" s="28"/>
      <x:c r="AB2" s="28"/>
    </x:row>
    <x:row r="3">
      <x:c r="A3" s="31" t="str">
        <x:v>Horas são calculadas a partir da complexidade, disciplina e drivers específicos. A coluna 'Componente compartilhado' evita duplicar custo quando a mesma capacidade é reutilizada entre verticais.</x:v>
      </x:c>
      <x:c r="B3" s="31"/>
      <x:c r="C3" s="31"/>
      <x:c r="D3" s="31"/>
      <x:c r="E3" s="31"/>
      <x:c r="F3" s="31"/>
      <x:c r="G3" s="31"/>
      <x:c r="H3" s="31"/>
      <x:c r="I3" s="31"/>
      <x:c r="J3" s="31"/>
      <x:c r="K3" s="31"/>
      <x:c r="L3" s="31"/>
      <x:c r="M3" s="31"/>
      <x:c r="N3" s="31"/>
      <x:c r="O3" s="31"/>
      <x:c r="P3" s="31"/>
      <x:c r="Q3" s="31"/>
      <x:c r="R3" s="31"/>
      <x:c r="S3" s="31"/>
      <x:c r="T3" s="31"/>
      <x:c r="U3" s="31"/>
      <x:c r="V3" s="31"/>
      <x:c r="W3" s="31"/>
      <x:c r="X3" s="31"/>
      <x:c r="Y3" s="31"/>
      <x:c r="Z3" s="31"/>
      <x:c r="AA3" s="31"/>
      <x:c r="AB3" s="31"/>
    </x:row>
    <x:row r="5">
      <x:c r="A5" s="41" t="str">
        <x:v>ID</x:v>
      </x:c>
      <x:c r="B5" s="41" t="str">
        <x:v>Código</x:v>
      </x:c>
      <x:c r="C5" s="41" t="str">
        <x:v>Frente</x:v>
      </x:c>
      <x:c r="D5" s="41" t="str">
        <x:v>Tela</x:v>
      </x:c>
      <x:c r="E5" s="41" t="str">
        <x:v>Fase</x:v>
      </x:c>
      <x:c r="F5" s="41" t="str">
        <x:v>Complexidade</x:v>
      </x:c>
      <x:c r="G5" s="41" t="str">
        <x:v>Componente compartilhado</x:v>
      </x:c>
      <x:c r="H5" s="41" t="str">
        <x:v>Reuso %</x:v>
      </x:c>
      <x:c r="I5" s="41" t="str">
        <x:v>Driver IA</x:v>
      </x:c>
      <x:c r="J5" s="41" t="str">
        <x:v>Driver Dados</x:v>
      </x:c>
      <x:c r="K5" s="41" t="str">
        <x:v>Driver Segurança</x:v>
      </x:c>
      <x:c r="L5" s="41" t="str">
        <x:v>Driver Mobile</x:v>
      </x:c>
      <x:c r="M5" s="41" t="str">
        <x:v>Mult. complex.</x:v>
      </x:c>
      <x:c r="N5" s="41" t="str">
        <x:v>UX h</x:v>
      </x:c>
      <x:c r="O5" s="41" t="str">
        <x:v>Front h</x:v>
      </x:c>
      <x:c r="P5" s="41" t="str">
        <x:v>Back h</x:v>
      </x:c>
      <x:c r="Q5" s="41" t="str">
        <x:v>Dados h</x:v>
      </x:c>
      <x:c r="R5" s="41" t="str">
        <x:v>IA h</x:v>
      </x:c>
      <x:c r="S5" s="41" t="str">
        <x:v>QA h</x:v>
      </x:c>
      <x:c r="T5" s="41" t="str">
        <x:v>DevOps h</x:v>
      </x:c>
      <x:c r="U5" s="41" t="str">
        <x:v>Segurança h</x:v>
      </x:c>
      <x:c r="V5" s="41" t="str">
        <x:v>Horas brutas</x:v>
      </x:c>
      <x:c r="W5" s="41" t="str">
        <x:v>Horas líquidas</x:v>
      </x:c>
      <x:c r="X5" s="41" t="str">
        <x:v>Custo build R$</x:v>
      </x:c>
      <x:c r="Y5" s="41" t="str">
        <x:v>Gestão/arquitetura R$</x:v>
      </x:c>
      <x:c r="Z5" s="41" t="str">
        <x:v>Contingência R$</x:v>
      </x:c>
      <x:c r="AA5" s="41" t="str">
        <x:v>CAPEX tela R$</x:v>
      </x:c>
      <x:c r="AB5" s="41" t="str">
        <x:v>Observação</x:v>
      </x:c>
    </x:row>
    <x:row r="6">
      <x:c r="A6" s="14" t="n">
        <x:v>1</x:v>
      </x:c>
      <x:c r="B6" s="14" t="str">
        <x:v>CORE</x:v>
      </x:c>
      <x:c r="C6" s="14" t="str">
        <x:v>Core / Plataforma</x:v>
      </x:c>
      <x:c r="D6" s="14" t="str">
        <x:v>Login / SSO</x:v>
      </x:c>
      <x:c r="E6" s="14" t="str">
        <x:v>MVP</x:v>
      </x:c>
      <x:c r="F6" s="14" t="str">
        <x:v>Baixa</x:v>
      </x:c>
      <x:c r="G6" s="14" t="str">
        <x:v>CORE compartilhado</x:v>
      </x:c>
      <x:c r="H6" s="54" t="n">
        <x:v>0.8</x:v>
      </x:c>
      <x:c r="I6" s="44" t="str">
        <x:v>Não</x:v>
      </x:c>
      <x:c r="J6" s="44" t="str">
        <x:v>Não</x:v>
      </x:c>
      <x:c r="K6" s="44" t="str">
        <x:v>Sim</x:v>
      </x:c>
      <x:c r="L6" s="44" t="str">
        <x:v>Não</x:v>
      </x:c>
      <x:c r="M6" s="55" t="n">
        <x:f>IF(F6="Baixa",'08_Premissas_Custos'!$B$6,IF(F6="Média",'08_Premissas_Custos'!$B$7,IF(F6="Alta",'08_Premissas_Custos'!$B$8,'08_Premissas_Custos'!$B$9)))</x:f>
        <x:v>0.65</x:v>
      </x:c>
      <x:c r="N6" s="56" t="n">
        <x:f>'08_Premissas_Custos'!$B$13*M6</x:f>
        <x:v>14.3</x:v>
      </x:c>
      <x:c r="O6" s="56" t="n">
        <x:f>'08_Premissas_Custos'!$B$14*M6*(1+IF(L6="Sim",0.25,0))</x:f>
        <x:v>31.200000000000003</x:v>
      </x:c>
      <x:c r="P6" s="56" t="n">
        <x:f>'08_Premissas_Custos'!$B$15*M6*(1+IF(I6="Sim",0.20,0)+IF(K6="Sim",0.15,0))</x:f>
        <x:v>40.365</x:v>
      </x:c>
      <x:c r="Q6" s="56" t="n">
        <x:f>'08_Premissas_Custos'!$B$16*M6*IF(J6="Sim",1.6,0.55)</x:f>
        <x:v>6.435000000000001</x:v>
      </x:c>
      <x:c r="R6" s="56" t="n">
        <x:f>'08_Premissas_Custos'!$B$17*M6*IF(I6="Sim",1.8,0.15)</x:f>
        <x:v>0.975</x:v>
      </x:c>
      <x:c r="S6" s="56" t="n">
        <x:f>'08_Premissas_Custos'!$B$18*M6*(1+IF(I6="Sim",0.15)+IF(L6="Sim",0.10))</x:f>
        <x:v>13</x:v>
      </x:c>
      <x:c r="T6" s="56" t="n">
        <x:f>'08_Premissas_Custos'!$B$19*M6*(1+IF(J6="Sim",0.15))</x:f>
        <x:v>5.2</x:v>
      </x:c>
      <x:c r="U6" s="56" t="n">
        <x:f>'08_Premissas_Custos'!$B$20*M6*IF(K6="Sim",1.8,0.7)</x:f>
        <x:v>7.0200000000000005</x:v>
      </x:c>
      <x:c r="V6" s="57" t="n">
        <x:f>SUM(N6:U6)</x:f>
        <x:v>118.495</x:v>
      </x:c>
      <x:c r="W6" s="57" t="n">
        <x:f>V6*(1-H6)*IF(E6="Fase 2",'08_Premissas_Custos'!$F$10,1)</x:f>
        <x:v>23.698999999999995</x:v>
      </x:c>
      <x:c r="X6" s="58" t="n">
        <x:f>(N6*'08_Premissas_Custos'!$C$13+O6*'08_Premissas_Custos'!$C$14+P6*'08_Premissas_Custos'!$C$15+Q6*'08_Premissas_Custos'!$C$16+R6*'08_Premissas_Custos'!$C$17+S6*'08_Premissas_Custos'!$C$18+T6*'08_Premissas_Custos'!$C$19+U6*'08_Premissas_Custos'!$C$20)*(1-H6)*IF(E6="Fase 2",'08_Premissas_Custos'!$F$10,1)</x:f>
        <x:v>5383.819999999999</x:v>
      </x:c>
      <x:c r="Y6" s="58" t="n">
        <x:f>X6*'08_Premissas_Custos'!$F$7</x:f>
        <x:v>646.0583999999998</x:v>
      </x:c>
      <x:c r="Z6" s="58" t="n">
        <x:f>(X6+Y6)*'08_Premissas_Custos'!$F$6</x:f>
        <x:v>904.4817599999998</x:v>
      </x:c>
      <x:c r="AA6" s="58" t="n">
        <x:f>SUM(X6:Z6)</x:f>
        <x:v>6934.360159999998</x:v>
      </x:c>
      <x:c r="AB6" s="14" t="str">
        <x:v>Autenticação</x:v>
      </x:c>
    </x:row>
    <x:row r="7">
      <x:c r="A7" s="14" t="n">
        <x:v>2</x:v>
      </x:c>
      <x:c r="B7" s="14" t="str">
        <x:v>CORE</x:v>
      </x:c>
      <x:c r="C7" s="14" t="str">
        <x:v>Core / Plataforma</x:v>
      </x:c>
      <x:c r="D7" s="14" t="str">
        <x:v>Cadastro / onboarding</x:v>
      </x:c>
      <x:c r="E7" s="14" t="str">
        <x:v>MVP</x:v>
      </x:c>
      <x:c r="F7" s="14" t="str">
        <x:v>Média</x:v>
      </x:c>
      <x:c r="G7" s="14" t="str">
        <x:v>CORE compartilhado</x:v>
      </x:c>
      <x:c r="H7" s="54" t="n">
        <x:v>0.8</x:v>
      </x:c>
      <x:c r="I7" s="44" t="str">
        <x:v>Não</x:v>
      </x:c>
      <x:c r="J7" s="44" t="str">
        <x:v>Não</x:v>
      </x:c>
      <x:c r="K7" s="44" t="str">
        <x:v>Sim</x:v>
      </x:c>
      <x:c r="L7" s="44" t="str">
        <x:v>Sim</x:v>
      </x:c>
      <x:c r="M7" s="55" t="n">
        <x:f>IF(F7="Baixa",'08_Premissas_Custos'!$B$6,IF(F7="Média",'08_Premissas_Custos'!$B$7,IF(F7="Alta",'08_Premissas_Custos'!$B$8,'08_Premissas_Custos'!$B$9)))</x:f>
        <x:v>1</x:v>
      </x:c>
      <x:c r="N7" s="56" t="n">
        <x:f>'08_Premissas_Custos'!$B$13*M7</x:f>
        <x:v>22</x:v>
      </x:c>
      <x:c r="O7" s="56" t="n">
        <x:f>'08_Premissas_Custos'!$B$14*M7*(1+IF(L7="Sim",0.25,0))</x:f>
        <x:v>60</x:v>
      </x:c>
      <x:c r="P7" s="56" t="n">
        <x:f>'08_Premissas_Custos'!$B$15*M7*(1+IF(I7="Sim",0.20,0)+IF(K7="Sim",0.15,0))</x:f>
        <x:v>62.099999999999994</x:v>
      </x:c>
      <x:c r="Q7" s="56" t="n">
        <x:f>'08_Premissas_Custos'!$B$16*M7*IF(J7="Sim",1.6,0.55)</x:f>
        <x:v>9.9</x:v>
      </x:c>
      <x:c r="R7" s="56" t="n">
        <x:f>'08_Premissas_Custos'!$B$17*M7*IF(I7="Sim",1.8,0.15)</x:f>
        <x:v>1.5</x:v>
      </x:c>
      <x:c r="S7" s="56" t="n">
        <x:f>'08_Premissas_Custos'!$B$18*M7*(1+IF(I7="Sim",0.15)+IF(L7="Sim",0.10))</x:f>
        <x:v>22</x:v>
      </x:c>
      <x:c r="T7" s="56" t="n">
        <x:f>'08_Premissas_Custos'!$B$19*M7*(1+IF(J7="Sim",0.15))</x:f>
        <x:v>8</x:v>
      </x:c>
      <x:c r="U7" s="56" t="n">
        <x:f>'08_Premissas_Custos'!$B$20*M7*IF(K7="Sim",1.8,0.7)</x:f>
        <x:v>10.8</x:v>
      </x:c>
      <x:c r="V7" s="57" t="n">
        <x:f>SUM(N7:U7)</x:f>
        <x:v>196.3</x:v>
      </x:c>
      <x:c r="W7" s="57" t="n">
        <x:f>V7*(1-H7)*IF(E7="Fase 2",'08_Premissas_Custos'!$F$10,1)</x:f>
        <x:v>39.25999999999999</x:v>
      </x:c>
      <x:c r="X7" s="58" t="n">
        <x:f>(N7*'08_Premissas_Custos'!$C$13+O7*'08_Premissas_Custos'!$C$14+P7*'08_Premissas_Custos'!$C$15+Q7*'08_Premissas_Custos'!$C$16+R7*'08_Premissas_Custos'!$C$17+S7*'08_Premissas_Custos'!$C$18+T7*'08_Premissas_Custos'!$C$19+U7*'08_Premissas_Custos'!$C$20)*(1-H7)*IF(E7="Fase 2",'08_Premissas_Custos'!$F$10,1)</x:f>
        <x:v>8878.799999999997</x:v>
      </x:c>
      <x:c r="Y7" s="58" t="n">
        <x:f>X7*'08_Premissas_Custos'!$F$7</x:f>
        <x:v>1065.4559999999997</x:v>
      </x:c>
      <x:c r="Z7" s="58" t="n">
        <x:f>(X7+Y7)*'08_Premissas_Custos'!$F$6</x:f>
        <x:v>1491.6383999999996</x:v>
      </x:c>
      <x:c r="AA7" s="58" t="n">
        <x:f>SUM(X7:Z7)</x:f>
        <x:v>11435.894399999997</x:v>
      </x:c>
      <x:c r="AB7" s="14" t="str">
        <x:v>Entrada por tipo</x:v>
      </x:c>
    </x:row>
    <x:row r="8">
      <x:c r="A8" s="14" t="n">
        <x:v>3</x:v>
      </x:c>
      <x:c r="B8" s="14" t="str">
        <x:v>CORE</x:v>
      </x:c>
      <x:c r="C8" s="14" t="str">
        <x:v>Core / Plataforma</x:v>
      </x:c>
      <x:c r="D8" s="14" t="str">
        <x:v>Perfis e organizações</x:v>
      </x:c>
      <x:c r="E8" s="14" t="str">
        <x:v>MVP</x:v>
      </x:c>
      <x:c r="F8" s="14" t="str">
        <x:v>Média</x:v>
      </x:c>
      <x:c r="G8" s="14" t="str">
        <x:v>CORE compartilhado</x:v>
      </x:c>
      <x:c r="H8" s="54" t="n">
        <x:v>0.8</x:v>
      </x:c>
      <x:c r="I8" s="44" t="str">
        <x:v>Não</x:v>
      </x:c>
      <x:c r="J8" s="44" t="str">
        <x:v>Não</x:v>
      </x:c>
      <x:c r="K8" s="44" t="str">
        <x:v>Sim</x:v>
      </x:c>
      <x:c r="L8" s="44" t="str">
        <x:v>Não</x:v>
      </x:c>
      <x:c r="M8" s="55" t="n">
        <x:f>IF(F8="Baixa",'08_Premissas_Custos'!$B$6,IF(F8="Média",'08_Premissas_Custos'!$B$7,IF(F8="Alta",'08_Premissas_Custos'!$B$8,'08_Premissas_Custos'!$B$9)))</x:f>
        <x:v>1</x:v>
      </x:c>
      <x:c r="N8" s="56" t="n">
        <x:f>'08_Premissas_Custos'!$B$13*M8</x:f>
        <x:v>22</x:v>
      </x:c>
      <x:c r="O8" s="56" t="n">
        <x:f>'08_Premissas_Custos'!$B$14*M8*(1+IF(L8="Sim",0.25,0))</x:f>
        <x:v>48</x:v>
      </x:c>
      <x:c r="P8" s="56" t="n">
        <x:f>'08_Premissas_Custos'!$B$15*M8*(1+IF(I8="Sim",0.20,0)+IF(K8="Sim",0.15,0))</x:f>
        <x:v>62.099999999999994</x:v>
      </x:c>
      <x:c r="Q8" s="56" t="n">
        <x:f>'08_Premissas_Custos'!$B$16*M8*IF(J8="Sim",1.6,0.55)</x:f>
        <x:v>9.9</x:v>
      </x:c>
      <x:c r="R8" s="56" t="n">
        <x:f>'08_Premissas_Custos'!$B$17*M8*IF(I8="Sim",1.8,0.15)</x:f>
        <x:v>1.5</x:v>
      </x:c>
      <x:c r="S8" s="56" t="n">
        <x:f>'08_Premissas_Custos'!$B$18*M8*(1+IF(I8="Sim",0.15)+IF(L8="Sim",0.10))</x:f>
        <x:v>20</x:v>
      </x:c>
      <x:c r="T8" s="56" t="n">
        <x:f>'08_Premissas_Custos'!$B$19*M8*(1+IF(J8="Sim",0.15))</x:f>
        <x:v>8</x:v>
      </x:c>
      <x:c r="U8" s="56" t="n">
        <x:f>'08_Premissas_Custos'!$B$20*M8*IF(K8="Sim",1.8,0.7)</x:f>
        <x:v>10.8</x:v>
      </x:c>
      <x:c r="V8" s="57" t="n">
        <x:f>SUM(N8:U8)</x:f>
        <x:v>182.3</x:v>
      </x:c>
      <x:c r="W8" s="57" t="n">
        <x:f>V8*(1-H8)*IF(E8="Fase 2",'08_Premissas_Custos'!$F$10,1)</x:f>
        <x:v>36.459999999999994</x:v>
      </x:c>
      <x:c r="X8" s="58" t="n">
        <x:f>(N8*'08_Premissas_Custos'!$C$13+O8*'08_Premissas_Custos'!$C$14+P8*'08_Premissas_Custos'!$C$15+Q8*'08_Premissas_Custos'!$C$16+R8*'08_Premissas_Custos'!$C$17+S8*'08_Premissas_Custos'!$C$18+T8*'08_Premissas_Custos'!$C$19+U8*'08_Premissas_Custos'!$C$20)*(1-H8)*IF(E8="Fase 2",'08_Premissas_Custos'!$F$10,1)</x:f>
        <x:v>8282.799999999997</x:v>
      </x:c>
      <x:c r="Y8" s="58" t="n">
        <x:f>X8*'08_Premissas_Custos'!$F$7</x:f>
        <x:v>993.9359999999997</x:v>
      </x:c>
      <x:c r="Z8" s="58" t="n">
        <x:f>(X8+Y8)*'08_Premissas_Custos'!$F$6</x:f>
        <x:v>1391.5103999999994</x:v>
      </x:c>
      <x:c r="AA8" s="58" t="n">
        <x:f>SUM(X8:Z8)</x:f>
        <x:v>10668.246399999996</x:v>
      </x:c>
      <x:c r="AB8" s="14" t="str">
        <x:v>Entidades</x:v>
      </x:c>
    </x:row>
    <x:row r="9">
      <x:c r="A9" s="14" t="n">
        <x:v>4</x:v>
      </x:c>
      <x:c r="B9" s="14" t="str">
        <x:v>CORE</x:v>
      </x:c>
      <x:c r="C9" s="14" t="str">
        <x:v>Core / Plataforma</x:v>
      </x:c>
      <x:c r="D9" s="14" t="str">
        <x:v>Papéis e permissões</x:v>
      </x:c>
      <x:c r="E9" s="14" t="str">
        <x:v>MVP</x:v>
      </x:c>
      <x:c r="F9" s="14" t="str">
        <x:v>Alta</x:v>
      </x:c>
      <x:c r="G9" s="14" t="str">
        <x:v>CORE compartilhado</x:v>
      </x:c>
      <x:c r="H9" s="54" t="n">
        <x:v>0.8</x:v>
      </x:c>
      <x:c r="I9" s="44" t="str">
        <x:v>Não</x:v>
      </x:c>
      <x:c r="J9" s="44" t="str">
        <x:v>Não</x:v>
      </x:c>
      <x:c r="K9" s="44" t="str">
        <x:v>Sim</x:v>
      </x:c>
      <x:c r="L9" s="44" t="str">
        <x:v>Não</x:v>
      </x:c>
      <x:c r="M9" s="55" t="n">
        <x:f>IF(F9="Baixa",'08_Premissas_Custos'!$B$6,IF(F9="Média",'08_Premissas_Custos'!$B$7,IF(F9="Alta",'08_Premissas_Custos'!$B$8,'08_Premissas_Custos'!$B$9)))</x:f>
        <x:v>1.55</x:v>
      </x:c>
      <x:c r="N9" s="56" t="n">
        <x:f>'08_Premissas_Custos'!$B$13*M9</x:f>
        <x:v>34.1</x:v>
      </x:c>
      <x:c r="O9" s="56" t="n">
        <x:f>'08_Premissas_Custos'!$B$14*M9*(1+IF(L9="Sim",0.25,0))</x:f>
        <x:v>74.4</x:v>
      </x:c>
      <x:c r="P9" s="56" t="n">
        <x:f>'08_Premissas_Custos'!$B$15*M9*(1+IF(I9="Sim",0.20,0)+IF(K9="Sim",0.15,0))</x:f>
        <x:v>96.255</x:v>
      </x:c>
      <x:c r="Q9" s="56" t="n">
        <x:f>'08_Premissas_Custos'!$B$16*M9*IF(J9="Sim",1.6,0.55)</x:f>
        <x:v>15.345000000000002</x:v>
      </x:c>
      <x:c r="R9" s="56" t="n">
        <x:f>'08_Premissas_Custos'!$B$17*M9*IF(I9="Sim",1.8,0.15)</x:f>
        <x:v>2.3249999999999997</x:v>
      </x:c>
      <x:c r="S9" s="56" t="n">
        <x:f>'08_Premissas_Custos'!$B$18*M9*(1+IF(I9="Sim",0.15)+IF(L9="Sim",0.10))</x:f>
        <x:v>31</x:v>
      </x:c>
      <x:c r="T9" s="56" t="n">
        <x:f>'08_Premissas_Custos'!$B$19*M9*(1+IF(J9="Sim",0.15))</x:f>
        <x:v>12.4</x:v>
      </x:c>
      <x:c r="U9" s="56" t="n">
        <x:f>'08_Premissas_Custos'!$B$20*M9*IF(K9="Sim",1.8,0.7)</x:f>
        <x:v>16.740000000000002</x:v>
      </x:c>
      <x:c r="V9" s="57" t="n">
        <x:f>SUM(N9:U9)</x:f>
        <x:v>282.565</x:v>
      </x:c>
      <x:c r="W9" s="57" t="n">
        <x:f>V9*(1-H9)*IF(E9="Fase 2",'08_Premissas_Custos'!$F$10,1)</x:f>
        <x:v>56.512999999999984</x:v>
      </x:c>
      <x:c r="X9" s="58" t="n">
        <x:f>(N9*'08_Premissas_Custos'!$C$13+O9*'08_Premissas_Custos'!$C$14+P9*'08_Premissas_Custos'!$C$15+Q9*'08_Premissas_Custos'!$C$16+R9*'08_Premissas_Custos'!$C$17+S9*'08_Premissas_Custos'!$C$18+T9*'08_Premissas_Custos'!$C$19+U9*'08_Premissas_Custos'!$C$20)*(1-H9)*IF(E9="Fase 2",'08_Premissas_Custos'!$F$10,1)</x:f>
        <x:v>12838.339999999997</x:v>
      </x:c>
      <x:c r="Y9" s="58" t="n">
        <x:f>X9*'08_Premissas_Custos'!$F$7</x:f>
        <x:v>1540.6007999999995</x:v>
      </x:c>
      <x:c r="Z9" s="58" t="n">
        <x:f>(X9+Y9)*'08_Premissas_Custos'!$F$6</x:f>
        <x:v>2156.8411199999996</x:v>
      </x:c>
      <x:c r="AA9" s="58" t="n">
        <x:f>SUM(X9:Z9)</x:f>
        <x:v>16535.781919999998</x:v>
      </x:c>
      <x:c r="AB9" s="14" t="str">
        <x:v>RBAC</x:v>
      </x:c>
    </x:row>
    <x:row r="10">
      <x:c r="A10" s="14" t="n">
        <x:v>5</x:v>
      </x:c>
      <x:c r="B10" s="14" t="str">
        <x:v>CORE</x:v>
      </x:c>
      <x:c r="C10" s="14" t="str">
        <x:v>Core / Plataforma</x:v>
      </x:c>
      <x:c r="D10" s="14" t="str">
        <x:v>Consentimentos / LGPD</x:v>
      </x:c>
      <x:c r="E10" s="14" t="str">
        <x:v>MVP</x:v>
      </x:c>
      <x:c r="F10" s="14" t="str">
        <x:v>Alta</x:v>
      </x:c>
      <x:c r="G10" s="14" t="str">
        <x:v>CORE compartilhado</x:v>
      </x:c>
      <x:c r="H10" s="54" t="n">
        <x:v>0.8</x:v>
      </x:c>
      <x:c r="I10" s="44" t="str">
        <x:v>Não</x:v>
      </x:c>
      <x:c r="J10" s="44" t="str">
        <x:v>Não</x:v>
      </x:c>
      <x:c r="K10" s="44" t="str">
        <x:v>Sim</x:v>
      </x:c>
      <x:c r="L10" s="44" t="str">
        <x:v>Não</x:v>
      </x:c>
      <x:c r="M10" s="55" t="n">
        <x:f>IF(F10="Baixa",'08_Premissas_Custos'!$B$6,IF(F10="Média",'08_Premissas_Custos'!$B$7,IF(F10="Alta",'08_Premissas_Custos'!$B$8,'08_Premissas_Custos'!$B$9)))</x:f>
        <x:v>1.55</x:v>
      </x:c>
      <x:c r="N10" s="56" t="n">
        <x:f>'08_Premissas_Custos'!$B$13*M10</x:f>
        <x:v>34.1</x:v>
      </x:c>
      <x:c r="O10" s="56" t="n">
        <x:f>'08_Premissas_Custos'!$B$14*M10*(1+IF(L10="Sim",0.25,0))</x:f>
        <x:v>74.4</x:v>
      </x:c>
      <x:c r="P10" s="56" t="n">
        <x:f>'08_Premissas_Custos'!$B$15*M10*(1+IF(I10="Sim",0.20,0)+IF(K10="Sim",0.15,0))</x:f>
        <x:v>96.255</x:v>
      </x:c>
      <x:c r="Q10" s="56" t="n">
        <x:f>'08_Premissas_Custos'!$B$16*M10*IF(J10="Sim",1.6,0.55)</x:f>
        <x:v>15.345000000000002</x:v>
      </x:c>
      <x:c r="R10" s="56" t="n">
        <x:f>'08_Premissas_Custos'!$B$17*M10*IF(I10="Sim",1.8,0.15)</x:f>
        <x:v>2.3249999999999997</x:v>
      </x:c>
      <x:c r="S10" s="56" t="n">
        <x:f>'08_Premissas_Custos'!$B$18*M10*(1+IF(I10="Sim",0.15)+IF(L10="Sim",0.10))</x:f>
        <x:v>31</x:v>
      </x:c>
      <x:c r="T10" s="56" t="n">
        <x:f>'08_Premissas_Custos'!$B$19*M10*(1+IF(J10="Sim",0.15))</x:f>
        <x:v>12.4</x:v>
      </x:c>
      <x:c r="U10" s="56" t="n">
        <x:f>'08_Premissas_Custos'!$B$20*M10*IF(K10="Sim",1.8,0.7)</x:f>
        <x:v>16.740000000000002</x:v>
      </x:c>
      <x:c r="V10" s="57" t="n">
        <x:f>SUM(N10:U10)</x:f>
        <x:v>282.565</x:v>
      </x:c>
      <x:c r="W10" s="57" t="n">
        <x:f>V10*(1-H10)*IF(E10="Fase 2",'08_Premissas_Custos'!$F$10,1)</x:f>
        <x:v>56.512999999999984</x:v>
      </x:c>
      <x:c r="X10" s="58" t="n">
        <x:f>(N10*'08_Premissas_Custos'!$C$13+O10*'08_Premissas_Custos'!$C$14+P10*'08_Premissas_Custos'!$C$15+Q10*'08_Premissas_Custos'!$C$16+R10*'08_Premissas_Custos'!$C$17+S10*'08_Premissas_Custos'!$C$18+T10*'08_Premissas_Custos'!$C$19+U10*'08_Premissas_Custos'!$C$20)*(1-H10)*IF(E10="Fase 2",'08_Premissas_Custos'!$F$10,1)</x:f>
        <x:v>12838.339999999997</x:v>
      </x:c>
      <x:c r="Y10" s="58" t="n">
        <x:f>X10*'08_Premissas_Custos'!$F$7</x:f>
        <x:v>1540.6007999999995</x:v>
      </x:c>
      <x:c r="Z10" s="58" t="n">
        <x:f>(X10+Y10)*'08_Premissas_Custos'!$F$6</x:f>
        <x:v>2156.8411199999996</x:v>
      </x:c>
      <x:c r="AA10" s="58" t="n">
        <x:f>SUM(X10:Z10)</x:f>
        <x:v>16535.781919999998</x:v>
      </x:c>
      <x:c r="AB10" s="14" t="str">
        <x:v>Privacidade</x:v>
      </x:c>
    </x:row>
    <x:row r="11">
      <x:c r="A11" s="14" t="n">
        <x:v>6</x:v>
      </x:c>
      <x:c r="B11" s="14" t="str">
        <x:v>CORE</x:v>
      </x:c>
      <x:c r="C11" s="14" t="str">
        <x:v>Core / Plataforma</x:v>
      </x:c>
      <x:c r="D11" s="14" t="str">
        <x:v>Central de integrações</x:v>
      </x:c>
      <x:c r="E11" s="14" t="str">
        <x:v>MVP</x:v>
      </x:c>
      <x:c r="F11" s="14" t="str">
        <x:v>Alta</x:v>
      </x:c>
      <x:c r="G11" s="14" t="str">
        <x:v>CORE compartilhado</x:v>
      </x:c>
      <x:c r="H11" s="54" t="n">
        <x:v>0.8</x:v>
      </x:c>
      <x:c r="I11" s="44" t="str">
        <x:v>Não</x:v>
      </x:c>
      <x:c r="J11" s="44" t="str">
        <x:v>Não</x:v>
      </x:c>
      <x:c r="K11" s="44" t="str">
        <x:v>Sim</x:v>
      </x:c>
      <x:c r="L11" s="44" t="str">
        <x:v>Não</x:v>
      </x:c>
      <x:c r="M11" s="55" t="n">
        <x:f>IF(F11="Baixa",'08_Premissas_Custos'!$B$6,IF(F11="Média",'08_Premissas_Custos'!$B$7,IF(F11="Alta",'08_Premissas_Custos'!$B$8,'08_Premissas_Custos'!$B$9)))</x:f>
        <x:v>1.55</x:v>
      </x:c>
      <x:c r="N11" s="56" t="n">
        <x:f>'08_Premissas_Custos'!$B$13*M11</x:f>
        <x:v>34.1</x:v>
      </x:c>
      <x:c r="O11" s="56" t="n">
        <x:f>'08_Premissas_Custos'!$B$14*M11*(1+IF(L11="Sim",0.25,0))</x:f>
        <x:v>74.4</x:v>
      </x:c>
      <x:c r="P11" s="56" t="n">
        <x:f>'08_Premissas_Custos'!$B$15*M11*(1+IF(I11="Sim",0.20,0)+IF(K11="Sim",0.15,0))</x:f>
        <x:v>96.255</x:v>
      </x:c>
      <x:c r="Q11" s="56" t="n">
        <x:f>'08_Premissas_Custos'!$B$16*M11*IF(J11="Sim",1.6,0.55)</x:f>
        <x:v>15.345000000000002</x:v>
      </x:c>
      <x:c r="R11" s="56" t="n">
        <x:f>'08_Premissas_Custos'!$B$17*M11*IF(I11="Sim",1.8,0.15)</x:f>
        <x:v>2.3249999999999997</x:v>
      </x:c>
      <x:c r="S11" s="56" t="n">
        <x:f>'08_Premissas_Custos'!$B$18*M11*(1+IF(I11="Sim",0.15)+IF(L11="Sim",0.10))</x:f>
        <x:v>31</x:v>
      </x:c>
      <x:c r="T11" s="56" t="n">
        <x:f>'08_Premissas_Custos'!$B$19*M11*(1+IF(J11="Sim",0.15))</x:f>
        <x:v>12.4</x:v>
      </x:c>
      <x:c r="U11" s="56" t="n">
        <x:f>'08_Premissas_Custos'!$B$20*M11*IF(K11="Sim",1.8,0.7)</x:f>
        <x:v>16.740000000000002</x:v>
      </x:c>
      <x:c r="V11" s="57" t="n">
        <x:f>SUM(N11:U11)</x:f>
        <x:v>282.565</x:v>
      </x:c>
      <x:c r="W11" s="57" t="n">
        <x:f>V11*(1-H11)*IF(E11="Fase 2",'08_Premissas_Custos'!$F$10,1)</x:f>
        <x:v>56.512999999999984</x:v>
      </x:c>
      <x:c r="X11" s="58" t="n">
        <x:f>(N11*'08_Premissas_Custos'!$C$13+O11*'08_Premissas_Custos'!$C$14+P11*'08_Premissas_Custos'!$C$15+Q11*'08_Premissas_Custos'!$C$16+R11*'08_Premissas_Custos'!$C$17+S11*'08_Premissas_Custos'!$C$18+T11*'08_Premissas_Custos'!$C$19+U11*'08_Premissas_Custos'!$C$20)*(1-H11)*IF(E11="Fase 2",'08_Premissas_Custos'!$F$10,1)</x:f>
        <x:v>12838.339999999997</x:v>
      </x:c>
      <x:c r="Y11" s="58" t="n">
        <x:f>X11*'08_Premissas_Custos'!$F$7</x:f>
        <x:v>1540.6007999999995</x:v>
      </x:c>
      <x:c r="Z11" s="58" t="n">
        <x:f>(X11+Y11)*'08_Premissas_Custos'!$F$6</x:f>
        <x:v>2156.8411199999996</x:v>
      </x:c>
      <x:c r="AA11" s="58" t="n">
        <x:f>SUM(X11:Z11)</x:f>
        <x:v>16535.781919999998</x:v>
      </x:c>
      <x:c r="AB11" s="14" t="str">
        <x:v>APIs/RHIS/ERP/CRM/LMS</x:v>
      </x:c>
    </x:row>
    <x:row r="12">
      <x:c r="A12" s="14" t="n">
        <x:v>7</x:v>
      </x:c>
      <x:c r="B12" s="14" t="str">
        <x:v>CORE</x:v>
      </x:c>
      <x:c r="C12" s="14" t="str">
        <x:v>Core / Plataforma</x:v>
      </x:c>
      <x:c r="D12" s="14" t="str">
        <x:v>Notificações</x:v>
      </x:c>
      <x:c r="E12" s="14" t="str">
        <x:v>MVP</x:v>
      </x:c>
      <x:c r="F12" s="14" t="str">
        <x:v>Média</x:v>
      </x:c>
      <x:c r="G12" s="14" t="str">
        <x:v>CORE compartilhado</x:v>
      </x:c>
      <x:c r="H12" s="54" t="n">
        <x:v>0.8</x:v>
      </x:c>
      <x:c r="I12" s="44" t="str">
        <x:v>Não</x:v>
      </x:c>
      <x:c r="J12" s="44" t="str">
        <x:v>Não</x:v>
      </x:c>
      <x:c r="K12" s="44" t="str">
        <x:v>Sim</x:v>
      </x:c>
      <x:c r="L12" s="44" t="str">
        <x:v>Sim</x:v>
      </x:c>
      <x:c r="M12" s="55" t="n">
        <x:f>IF(F12="Baixa",'08_Premissas_Custos'!$B$6,IF(F12="Média",'08_Premissas_Custos'!$B$7,IF(F12="Alta",'08_Premissas_Custos'!$B$8,'08_Premissas_Custos'!$B$9)))</x:f>
        <x:v>1</x:v>
      </x:c>
      <x:c r="N12" s="56" t="n">
        <x:f>'08_Premissas_Custos'!$B$13*M12</x:f>
        <x:v>22</x:v>
      </x:c>
      <x:c r="O12" s="56" t="n">
        <x:f>'08_Premissas_Custos'!$B$14*M12*(1+IF(L12="Sim",0.25,0))</x:f>
        <x:v>60</x:v>
      </x:c>
      <x:c r="P12" s="56" t="n">
        <x:f>'08_Premissas_Custos'!$B$15*M12*(1+IF(I12="Sim",0.20,0)+IF(K12="Sim",0.15,0))</x:f>
        <x:v>62.099999999999994</x:v>
      </x:c>
      <x:c r="Q12" s="56" t="n">
        <x:f>'08_Premissas_Custos'!$B$16*M12*IF(J12="Sim",1.6,0.55)</x:f>
        <x:v>9.9</x:v>
      </x:c>
      <x:c r="R12" s="56" t="n">
        <x:f>'08_Premissas_Custos'!$B$17*M12*IF(I12="Sim",1.8,0.15)</x:f>
        <x:v>1.5</x:v>
      </x:c>
      <x:c r="S12" s="56" t="n">
        <x:f>'08_Premissas_Custos'!$B$18*M12*(1+IF(I12="Sim",0.15)+IF(L12="Sim",0.10))</x:f>
        <x:v>22</x:v>
      </x:c>
      <x:c r="T12" s="56" t="n">
        <x:f>'08_Premissas_Custos'!$B$19*M12*(1+IF(J12="Sim",0.15))</x:f>
        <x:v>8</x:v>
      </x:c>
      <x:c r="U12" s="56" t="n">
        <x:f>'08_Premissas_Custos'!$B$20*M12*IF(K12="Sim",1.8,0.7)</x:f>
        <x:v>10.8</x:v>
      </x:c>
      <x:c r="V12" s="57" t="n">
        <x:f>SUM(N12:U12)</x:f>
        <x:v>196.3</x:v>
      </x:c>
      <x:c r="W12" s="57" t="n">
        <x:f>V12*(1-H12)*IF(E12="Fase 2",'08_Premissas_Custos'!$F$10,1)</x:f>
        <x:v>39.25999999999999</x:v>
      </x:c>
      <x:c r="X12" s="58" t="n">
        <x:f>(N12*'08_Premissas_Custos'!$C$13+O12*'08_Premissas_Custos'!$C$14+P12*'08_Premissas_Custos'!$C$15+Q12*'08_Premissas_Custos'!$C$16+R12*'08_Premissas_Custos'!$C$17+S12*'08_Premissas_Custos'!$C$18+T12*'08_Premissas_Custos'!$C$19+U12*'08_Premissas_Custos'!$C$20)*(1-H12)*IF(E12="Fase 2",'08_Premissas_Custos'!$F$10,1)</x:f>
        <x:v>8878.799999999997</x:v>
      </x:c>
      <x:c r="Y12" s="58" t="n">
        <x:f>X12*'08_Premissas_Custos'!$F$7</x:f>
        <x:v>1065.4559999999997</x:v>
      </x:c>
      <x:c r="Z12" s="58" t="n">
        <x:f>(X12+Y12)*'08_Premissas_Custos'!$F$6</x:f>
        <x:v>1491.6383999999996</x:v>
      </x:c>
      <x:c r="AA12" s="58" t="n">
        <x:f>SUM(X12:Z12)</x:f>
        <x:v>11435.894399999997</x:v>
      </x:c>
      <x:c r="AB12" s="14" t="str">
        <x:v>Gatilhos</x:v>
      </x:c>
    </x:row>
    <x:row r="13">
      <x:c r="A13" s="14" t="n">
        <x:v>8</x:v>
      </x:c>
      <x:c r="B13" s="14" t="str">
        <x:v>CORE</x:v>
      </x:c>
      <x:c r="C13" s="14" t="str">
        <x:v>Core / Plataforma</x:v>
      </x:c>
      <x:c r="D13" s="14" t="str">
        <x:v>Mensagens</x:v>
      </x:c>
      <x:c r="E13" s="14" t="str">
        <x:v>Fase 2</x:v>
      </x:c>
      <x:c r="F13" s="14" t="str">
        <x:v>Alta</x:v>
      </x:c>
      <x:c r="G13" s="14" t="str">
        <x:v>CORE compartilhado</x:v>
      </x:c>
      <x:c r="H13" s="54" t="n">
        <x:v>0.8</x:v>
      </x:c>
      <x:c r="I13" s="44" t="str">
        <x:v>Não</x:v>
      </x:c>
      <x:c r="J13" s="44" t="str">
        <x:v>Não</x:v>
      </x:c>
      <x:c r="K13" s="44" t="str">
        <x:v>Sim</x:v>
      </x:c>
      <x:c r="L13" s="44" t="str">
        <x:v>Sim</x:v>
      </x:c>
      <x:c r="M13" s="55" t="n">
        <x:f>IF(F13="Baixa",'08_Premissas_Custos'!$B$6,IF(F13="Média",'08_Premissas_Custos'!$B$7,IF(F13="Alta",'08_Premissas_Custos'!$B$8,'08_Premissas_Custos'!$B$9)))</x:f>
        <x:v>1.55</x:v>
      </x:c>
      <x:c r="N13" s="56" t="n">
        <x:f>'08_Premissas_Custos'!$B$13*M13</x:f>
        <x:v>34.1</x:v>
      </x:c>
      <x:c r="O13" s="56" t="n">
        <x:f>'08_Premissas_Custos'!$B$14*M13*(1+IF(L13="Sim",0.25,0))</x:f>
        <x:v>93</x:v>
      </x:c>
      <x:c r="P13" s="56" t="n">
        <x:f>'08_Premissas_Custos'!$B$15*M13*(1+IF(I13="Sim",0.20,0)+IF(K13="Sim",0.15,0))</x:f>
        <x:v>96.255</x:v>
      </x:c>
      <x:c r="Q13" s="56" t="n">
        <x:f>'08_Premissas_Custos'!$B$16*M13*IF(J13="Sim",1.6,0.55)</x:f>
        <x:v>15.345000000000002</x:v>
      </x:c>
      <x:c r="R13" s="56" t="n">
        <x:f>'08_Premissas_Custos'!$B$17*M13*IF(I13="Sim",1.8,0.15)</x:f>
        <x:v>2.3249999999999997</x:v>
      </x:c>
      <x:c r="S13" s="56" t="n">
        <x:f>'08_Premissas_Custos'!$B$18*M13*(1+IF(I13="Sim",0.15)+IF(L13="Sim",0.10))</x:f>
        <x:v>34.1</x:v>
      </x:c>
      <x:c r="T13" s="56" t="n">
        <x:f>'08_Premissas_Custos'!$B$19*M13*(1+IF(J13="Sim",0.15))</x:f>
        <x:v>12.4</x:v>
      </x:c>
      <x:c r="U13" s="56" t="n">
        <x:f>'08_Premissas_Custos'!$B$20*M13*IF(K13="Sim",1.8,0.7)</x:f>
        <x:v>16.740000000000002</x:v>
      </x:c>
      <x:c r="V13" s="57" t="n">
        <x:f>SUM(N13:U13)</x:f>
        <x:v>304.265</x:v>
      </x:c>
      <x:c r="W13" s="57" t="n">
        <x:f>V13*(1-H13)*IF(E13="Fase 2",'08_Premissas_Custos'!$F$10,1)</x:f>
        <x:v>54.767699999999984</x:v>
      </x:c>
      <x:c r="X13" s="58" t="n">
        <x:f>(N13*'08_Premissas_Custos'!$C$13+O13*'08_Premissas_Custos'!$C$14+P13*'08_Premissas_Custos'!$C$15+Q13*'08_Premissas_Custos'!$C$16+R13*'08_Premissas_Custos'!$C$17+S13*'08_Premissas_Custos'!$C$18+T13*'08_Premissas_Custos'!$C$19+U13*'08_Premissas_Custos'!$C$20)*(1-H13)*IF(E13="Fase 2",'08_Premissas_Custos'!$F$10,1)</x:f>
        <x:v>12385.925999999996</x:v>
      </x:c>
      <x:c r="Y13" s="58" t="n">
        <x:f>X13*'08_Premissas_Custos'!$F$7</x:f>
        <x:v>1486.3111199999994</x:v>
      </x:c>
      <x:c r="Z13" s="58" t="n">
        <x:f>(X13+Y13)*'08_Premissas_Custos'!$F$6</x:f>
        <x:v>2080.835567999999</x:v>
      </x:c>
      <x:c r="AA13" s="58" t="n">
        <x:f>SUM(X13:Z13)</x:f>
        <x:v>15953.072687999993</x:v>
      </x:c>
      <x:c r="AB13" s="14" t="str">
        <x:v>Conversas</x:v>
      </x:c>
    </x:row>
    <x:row r="14">
      <x:c r="A14" s="14" t="n">
        <x:v>9</x:v>
      </x:c>
      <x:c r="B14" s="14" t="str">
        <x:v>CORE</x:v>
      </x:c>
      <x:c r="C14" s="14" t="str">
        <x:v>Core / Plataforma</x:v>
      </x:c>
      <x:c r="D14" s="14" t="str">
        <x:v>Busca global</x:v>
      </x:c>
      <x:c r="E14" s="14" t="str">
        <x:v>Fase 2</x:v>
      </x:c>
      <x:c r="F14" s="14" t="str">
        <x:v>Média</x:v>
      </x:c>
      <x:c r="G14" s="14" t="str">
        <x:v>CORE compartilhado</x:v>
      </x:c>
      <x:c r="H14" s="54" t="n">
        <x:v>0.8</x:v>
      </x:c>
      <x:c r="I14" s="44" t="str">
        <x:v>Não</x:v>
      </x:c>
      <x:c r="J14" s="44" t="str">
        <x:v>Não</x:v>
      </x:c>
      <x:c r="K14" s="44" t="str">
        <x:v>Sim</x:v>
      </x:c>
      <x:c r="L14" s="44" t="str">
        <x:v>Não</x:v>
      </x:c>
      <x:c r="M14" s="55" t="n">
        <x:f>IF(F14="Baixa",'08_Premissas_Custos'!$B$6,IF(F14="Média",'08_Premissas_Custos'!$B$7,IF(F14="Alta",'08_Premissas_Custos'!$B$8,'08_Premissas_Custos'!$B$9)))</x:f>
        <x:v>1</x:v>
      </x:c>
      <x:c r="N14" s="56" t="n">
        <x:f>'08_Premissas_Custos'!$B$13*M14</x:f>
        <x:v>22</x:v>
      </x:c>
      <x:c r="O14" s="56" t="n">
        <x:f>'08_Premissas_Custos'!$B$14*M14*(1+IF(L14="Sim",0.25,0))</x:f>
        <x:v>48</x:v>
      </x:c>
      <x:c r="P14" s="56" t="n">
        <x:f>'08_Premissas_Custos'!$B$15*M14*(1+IF(I14="Sim",0.20,0)+IF(K14="Sim",0.15,0))</x:f>
        <x:v>62.099999999999994</x:v>
      </x:c>
      <x:c r="Q14" s="56" t="n">
        <x:f>'08_Premissas_Custos'!$B$16*M14*IF(J14="Sim",1.6,0.55)</x:f>
        <x:v>9.9</x:v>
      </x:c>
      <x:c r="R14" s="56" t="n">
        <x:f>'08_Premissas_Custos'!$B$17*M14*IF(I14="Sim",1.8,0.15)</x:f>
        <x:v>1.5</x:v>
      </x:c>
      <x:c r="S14" s="56" t="n">
        <x:f>'08_Premissas_Custos'!$B$18*M14*(1+IF(I14="Sim",0.15)+IF(L14="Sim",0.10))</x:f>
        <x:v>20</x:v>
      </x:c>
      <x:c r="T14" s="56" t="n">
        <x:f>'08_Premissas_Custos'!$B$19*M14*(1+IF(J14="Sim",0.15))</x:f>
        <x:v>8</x:v>
      </x:c>
      <x:c r="U14" s="56" t="n">
        <x:f>'08_Premissas_Custos'!$B$20*M14*IF(K14="Sim",1.8,0.7)</x:f>
        <x:v>10.8</x:v>
      </x:c>
      <x:c r="V14" s="57" t="n">
        <x:f>SUM(N14:U14)</x:f>
        <x:v>182.3</x:v>
      </x:c>
      <x:c r="W14" s="57" t="n">
        <x:f>V14*(1-H14)*IF(E14="Fase 2",'08_Premissas_Custos'!$F$10,1)</x:f>
        <x:v>32.81399999999999</x:v>
      </x:c>
      <x:c r="X14" s="58" t="n">
        <x:f>(N14*'08_Premissas_Custos'!$C$13+O14*'08_Premissas_Custos'!$C$14+P14*'08_Premissas_Custos'!$C$15+Q14*'08_Premissas_Custos'!$C$16+R14*'08_Premissas_Custos'!$C$17+S14*'08_Premissas_Custos'!$C$18+T14*'08_Premissas_Custos'!$C$19+U14*'08_Premissas_Custos'!$C$20)*(1-H14)*IF(E14="Fase 2",'08_Premissas_Custos'!$F$10,1)</x:f>
        <x:v>7454.519999999998</x:v>
      </x:c>
      <x:c r="Y14" s="58" t="n">
        <x:f>X14*'08_Premissas_Custos'!$F$7</x:f>
        <x:v>894.5423999999997</x:v>
      </x:c>
      <x:c r="Z14" s="58" t="n">
        <x:f>(X14+Y14)*'08_Premissas_Custos'!$F$6</x:f>
        <x:v>1252.3593599999995</x:v>
      </x:c>
      <x:c r="AA14" s="58" t="n">
        <x:f>SUM(X14:Z14)</x:f>
        <x:v>9601.421759999997</x:v>
      </x:c>
      <x:c r="AB14" s="14" t="str">
        <x:v>Busca</x:v>
      </x:c>
    </x:row>
    <x:row r="15">
      <x:c r="A15" s="14" t="n">
        <x:v>10</x:v>
      </x:c>
      <x:c r="B15" s="14" t="str">
        <x:v>CORE</x:v>
      </x:c>
      <x:c r="C15" s="14" t="str">
        <x:v>Core / Plataforma</x:v>
      </x:c>
      <x:c r="D15" s="14" t="str">
        <x:v>Analytics de uso</x:v>
      </x:c>
      <x:c r="E15" s="14" t="str">
        <x:v>MVP</x:v>
      </x:c>
      <x:c r="F15" s="14" t="str">
        <x:v>Média</x:v>
      </x:c>
      <x:c r="G15" s="14" t="str">
        <x:v>CORE compartilhado</x:v>
      </x:c>
      <x:c r="H15" s="54" t="n">
        <x:v>0.8</x:v>
      </x:c>
      <x:c r="I15" s="44" t="str">
        <x:v>Não</x:v>
      </x:c>
      <x:c r="J15" s="44" t="str">
        <x:v>Sim</x:v>
      </x:c>
      <x:c r="K15" s="44" t="str">
        <x:v>Sim</x:v>
      </x:c>
      <x:c r="L15" s="44" t="str">
        <x:v>Não</x:v>
      </x:c>
      <x:c r="M15" s="55" t="n">
        <x:f>IF(F15="Baixa",'08_Premissas_Custos'!$B$6,IF(F15="Média",'08_Premissas_Custos'!$B$7,IF(F15="Alta",'08_Premissas_Custos'!$B$8,'08_Premissas_Custos'!$B$9)))</x:f>
        <x:v>1</x:v>
      </x:c>
      <x:c r="N15" s="56" t="n">
        <x:f>'08_Premissas_Custos'!$B$13*M15</x:f>
        <x:v>22</x:v>
      </x:c>
      <x:c r="O15" s="56" t="n">
        <x:f>'08_Premissas_Custos'!$B$14*M15*(1+IF(L15="Sim",0.25,0))</x:f>
        <x:v>48</x:v>
      </x:c>
      <x:c r="P15" s="56" t="n">
        <x:f>'08_Premissas_Custos'!$B$15*M15*(1+IF(I15="Sim",0.20,0)+IF(K15="Sim",0.15,0))</x:f>
        <x:v>62.099999999999994</x:v>
      </x:c>
      <x:c r="Q15" s="56" t="n">
        <x:f>'08_Premissas_Custos'!$B$16*M15*IF(J15="Sim",1.6,0.55)</x:f>
        <x:v>28.8</x:v>
      </x:c>
      <x:c r="R15" s="56" t="n">
        <x:f>'08_Premissas_Custos'!$B$17*M15*IF(I15="Sim",1.8,0.15)</x:f>
        <x:v>1.5</x:v>
      </x:c>
      <x:c r="S15" s="56" t="n">
        <x:f>'08_Premissas_Custos'!$B$18*M15*(1+IF(I15="Sim",0.15)+IF(L15="Sim",0.10))</x:f>
        <x:v>20</x:v>
      </x:c>
      <x:c r="T15" s="56" t="n">
        <x:f>'08_Premissas_Custos'!$B$19*M15*(1+IF(J15="Sim",0.15))</x:f>
        <x:v>9.2</x:v>
      </x:c>
      <x:c r="U15" s="56" t="n">
        <x:f>'08_Premissas_Custos'!$B$20*M15*IF(K15="Sim",1.8,0.7)</x:f>
        <x:v>10.8</x:v>
      </x:c>
      <x:c r="V15" s="57" t="n">
        <x:f>SUM(N15:U15)</x:f>
        <x:v>202.4</x:v>
      </x:c>
      <x:c r="W15" s="57" t="n">
        <x:f>V15*(1-H15)*IF(E15="Fase 2",'08_Premissas_Custos'!$F$10,1)</x:f>
        <x:v>40.47999999999999</x:v>
      </x:c>
      <x:c r="X15" s="58" t="n">
        <x:f>(N15*'08_Premissas_Custos'!$C$13+O15*'08_Premissas_Custos'!$C$14+P15*'08_Premissas_Custos'!$C$15+Q15*'08_Premissas_Custos'!$C$16+R15*'08_Premissas_Custos'!$C$17+S15*'08_Premissas_Custos'!$C$18+T15*'08_Premissas_Custos'!$C$19+U15*'08_Premissas_Custos'!$C$20)*(1-H15)*IF(E15="Fase 2",'08_Premissas_Custos'!$F$10,1)</x:f>
        <x:v>9327.999999999998</x:v>
      </x:c>
      <x:c r="Y15" s="58" t="n">
        <x:f>X15*'08_Premissas_Custos'!$F$7</x:f>
        <x:v>1119.3599999999997</x:v>
      </x:c>
      <x:c r="Z15" s="58" t="n">
        <x:f>(X15+Y15)*'08_Premissas_Custos'!$F$6</x:f>
        <x:v>1567.1039999999996</x:v>
      </x:c>
      <x:c r="AA15" s="58" t="n">
        <x:f>SUM(X15:Z15)</x:f>
        <x:v>12014.463999999996</x:v>
      </x:c>
      <x:c r="AB15" s="14" t="str">
        <x:v>Adoção</x:v>
      </x:c>
    </x:row>
    <x:row r="16">
      <x:c r="A16" s="14" t="n">
        <x:v>11</x:v>
      </x:c>
      <x:c r="B16" s="14" t="str">
        <x:v>CORE</x:v>
      </x:c>
      <x:c r="C16" s="14" t="str">
        <x:v>Core / Plataforma</x:v>
      </x:c>
      <x:c r="D16" s="14" t="str">
        <x:v>Administração</x:v>
      </x:c>
      <x:c r="E16" s="14" t="str">
        <x:v>MVP</x:v>
      </x:c>
      <x:c r="F16" s="14" t="str">
        <x:v>Alta</x:v>
      </x:c>
      <x:c r="G16" s="14" t="str">
        <x:v>CORE compartilhado</x:v>
      </x:c>
      <x:c r="H16" s="54" t="n">
        <x:v>0.8</x:v>
      </x:c>
      <x:c r="I16" s="44" t="str">
        <x:v>Não</x:v>
      </x:c>
      <x:c r="J16" s="44" t="str">
        <x:v>Não</x:v>
      </x:c>
      <x:c r="K16" s="44" t="str">
        <x:v>Sim</x:v>
      </x:c>
      <x:c r="L16" s="44" t="str">
        <x:v>Não</x:v>
      </x:c>
      <x:c r="M16" s="55" t="n">
        <x:f>IF(F16="Baixa",'08_Premissas_Custos'!$B$6,IF(F16="Média",'08_Premissas_Custos'!$B$7,IF(F16="Alta",'08_Premissas_Custos'!$B$8,'08_Premissas_Custos'!$B$9)))</x:f>
        <x:v>1.55</x:v>
      </x:c>
      <x:c r="N16" s="56" t="n">
        <x:f>'08_Premissas_Custos'!$B$13*M16</x:f>
        <x:v>34.1</x:v>
      </x:c>
      <x:c r="O16" s="56" t="n">
        <x:f>'08_Premissas_Custos'!$B$14*M16*(1+IF(L16="Sim",0.25,0))</x:f>
        <x:v>74.4</x:v>
      </x:c>
      <x:c r="P16" s="56" t="n">
        <x:f>'08_Premissas_Custos'!$B$15*M16*(1+IF(I16="Sim",0.20,0)+IF(K16="Sim",0.15,0))</x:f>
        <x:v>96.255</x:v>
      </x:c>
      <x:c r="Q16" s="56" t="n">
        <x:f>'08_Premissas_Custos'!$B$16*M16*IF(J16="Sim",1.6,0.55)</x:f>
        <x:v>15.345000000000002</x:v>
      </x:c>
      <x:c r="R16" s="56" t="n">
        <x:f>'08_Premissas_Custos'!$B$17*M16*IF(I16="Sim",1.8,0.15)</x:f>
        <x:v>2.3249999999999997</x:v>
      </x:c>
      <x:c r="S16" s="56" t="n">
        <x:f>'08_Premissas_Custos'!$B$18*M16*(1+IF(I16="Sim",0.15)+IF(L16="Sim",0.10))</x:f>
        <x:v>31</x:v>
      </x:c>
      <x:c r="T16" s="56" t="n">
        <x:f>'08_Premissas_Custos'!$B$19*M16*(1+IF(J16="Sim",0.15))</x:f>
        <x:v>12.4</x:v>
      </x:c>
      <x:c r="U16" s="56" t="n">
        <x:f>'08_Premissas_Custos'!$B$20*M16*IF(K16="Sim",1.8,0.7)</x:f>
        <x:v>16.740000000000002</x:v>
      </x:c>
      <x:c r="V16" s="57" t="n">
        <x:f>SUM(N16:U16)</x:f>
        <x:v>282.565</x:v>
      </x:c>
      <x:c r="W16" s="57" t="n">
        <x:f>V16*(1-H16)*IF(E16="Fase 2",'08_Premissas_Custos'!$F$10,1)</x:f>
        <x:v>56.512999999999984</x:v>
      </x:c>
      <x:c r="X16" s="58" t="n">
        <x:f>(N16*'08_Premissas_Custos'!$C$13+O16*'08_Premissas_Custos'!$C$14+P16*'08_Premissas_Custos'!$C$15+Q16*'08_Premissas_Custos'!$C$16+R16*'08_Premissas_Custos'!$C$17+S16*'08_Premissas_Custos'!$C$18+T16*'08_Premissas_Custos'!$C$19+U16*'08_Premissas_Custos'!$C$20)*(1-H16)*IF(E16="Fase 2",'08_Premissas_Custos'!$F$10,1)</x:f>
        <x:v>12838.339999999997</x:v>
      </x:c>
      <x:c r="Y16" s="58" t="n">
        <x:f>X16*'08_Premissas_Custos'!$F$7</x:f>
        <x:v>1540.6007999999995</x:v>
      </x:c>
      <x:c r="Z16" s="58" t="n">
        <x:f>(X16+Y16)*'08_Premissas_Custos'!$F$6</x:f>
        <x:v>2156.8411199999996</x:v>
      </x:c>
      <x:c r="AA16" s="58" t="n">
        <x:f>SUM(X16:Z16)</x:f>
        <x:v>16535.781919999998</x:v>
      </x:c>
      <x:c r="AB16" s="14" t="str">
        <x:v>Configurações</x:v>
      </x:c>
    </x:row>
    <x:row r="17">
      <x:c r="A17" s="14" t="n">
        <x:v>12</x:v>
      </x:c>
      <x:c r="B17" s="14" t="str">
        <x:v>CORE</x:v>
      </x:c>
      <x:c r="C17" s="14" t="str">
        <x:v>Core / Plataforma</x:v>
      </x:c>
      <x:c r="D17" s="14" t="str">
        <x:v>Auditoria e logs</x:v>
      </x:c>
      <x:c r="E17" s="14" t="str">
        <x:v>MVP</x:v>
      </x:c>
      <x:c r="F17" s="14" t="str">
        <x:v>Alta</x:v>
      </x:c>
      <x:c r="G17" s="14" t="str">
        <x:v>CORE compartilhado</x:v>
      </x:c>
      <x:c r="H17" s="54" t="n">
        <x:v>0.8</x:v>
      </x:c>
      <x:c r="I17" s="44" t="str">
        <x:v>Não</x:v>
      </x:c>
      <x:c r="J17" s="44" t="str">
        <x:v>Não</x:v>
      </x:c>
      <x:c r="K17" s="44" t="str">
        <x:v>Sim</x:v>
      </x:c>
      <x:c r="L17" s="44" t="str">
        <x:v>Não</x:v>
      </x:c>
      <x:c r="M17" s="55" t="n">
        <x:f>IF(F17="Baixa",'08_Premissas_Custos'!$B$6,IF(F17="Média",'08_Premissas_Custos'!$B$7,IF(F17="Alta",'08_Premissas_Custos'!$B$8,'08_Premissas_Custos'!$B$9)))</x:f>
        <x:v>1.55</x:v>
      </x:c>
      <x:c r="N17" s="56" t="n">
        <x:f>'08_Premissas_Custos'!$B$13*M17</x:f>
        <x:v>34.1</x:v>
      </x:c>
      <x:c r="O17" s="56" t="n">
        <x:f>'08_Premissas_Custos'!$B$14*M17*(1+IF(L17="Sim",0.25,0))</x:f>
        <x:v>74.4</x:v>
      </x:c>
      <x:c r="P17" s="56" t="n">
        <x:f>'08_Premissas_Custos'!$B$15*M17*(1+IF(I17="Sim",0.20,0)+IF(K17="Sim",0.15,0))</x:f>
        <x:v>96.255</x:v>
      </x:c>
      <x:c r="Q17" s="56" t="n">
        <x:f>'08_Premissas_Custos'!$B$16*M17*IF(J17="Sim",1.6,0.55)</x:f>
        <x:v>15.345000000000002</x:v>
      </x:c>
      <x:c r="R17" s="56" t="n">
        <x:f>'08_Premissas_Custos'!$B$17*M17*IF(I17="Sim",1.8,0.15)</x:f>
        <x:v>2.3249999999999997</x:v>
      </x:c>
      <x:c r="S17" s="56" t="n">
        <x:f>'08_Premissas_Custos'!$B$18*M17*(1+IF(I17="Sim",0.15)+IF(L17="Sim",0.10))</x:f>
        <x:v>31</x:v>
      </x:c>
      <x:c r="T17" s="56" t="n">
        <x:f>'08_Premissas_Custos'!$B$19*M17*(1+IF(J17="Sim",0.15))</x:f>
        <x:v>12.4</x:v>
      </x:c>
      <x:c r="U17" s="56" t="n">
        <x:f>'08_Premissas_Custos'!$B$20*M17*IF(K17="Sim",1.8,0.7)</x:f>
        <x:v>16.740000000000002</x:v>
      </x:c>
      <x:c r="V17" s="57" t="n">
        <x:f>SUM(N17:U17)</x:f>
        <x:v>282.565</x:v>
      </x:c>
      <x:c r="W17" s="57" t="n">
        <x:f>V17*(1-H17)*IF(E17="Fase 2",'08_Premissas_Custos'!$F$10,1)</x:f>
        <x:v>56.512999999999984</x:v>
      </x:c>
      <x:c r="X17" s="58" t="n">
        <x:f>(N17*'08_Premissas_Custos'!$C$13+O17*'08_Premissas_Custos'!$C$14+P17*'08_Premissas_Custos'!$C$15+Q17*'08_Premissas_Custos'!$C$16+R17*'08_Premissas_Custos'!$C$17+S17*'08_Premissas_Custos'!$C$18+T17*'08_Premissas_Custos'!$C$19+U17*'08_Premissas_Custos'!$C$20)*(1-H17)*IF(E17="Fase 2",'08_Premissas_Custos'!$F$10,1)</x:f>
        <x:v>12838.339999999997</x:v>
      </x:c>
      <x:c r="Y17" s="58" t="n">
        <x:f>X17*'08_Premissas_Custos'!$F$7</x:f>
        <x:v>1540.6007999999995</x:v>
      </x:c>
      <x:c r="Z17" s="58" t="n">
        <x:f>(X17+Y17)*'08_Premissas_Custos'!$F$6</x:f>
        <x:v>2156.8411199999996</x:v>
      </x:c>
      <x:c r="AA17" s="58" t="n">
        <x:f>SUM(X17:Z17)</x:f>
        <x:v>16535.781919999998</x:v>
      </x:c>
      <x:c r="AB17" s="14" t="str">
        <x:v>Rastreabilidade</x:v>
      </x:c>
    </x:row>
    <x:row r="18">
      <x:c r="A18" s="14" t="n">
        <x:v>13</x:v>
      </x:c>
      <x:c r="B18" s="14" t="str">
        <x:v>ED</x:v>
      </x:c>
      <x:c r="C18" s="14" t="str">
        <x:v>Estratégia &amp; Dados</x:v>
      </x:c>
      <x:c r="D18" s="14" t="str">
        <x:v>Visão executiva</x:v>
      </x:c>
      <x:c r="E18" s="14" t="str">
        <x:v>MVP</x:v>
      </x:c>
      <x:c r="F18" s="14" t="str">
        <x:v>Alta</x:v>
      </x:c>
      <x:c r="G18" s="14" t="str"/>
      <x:c r="H18" s="54" t="n">
        <x:v>0</x:v>
      </x:c>
      <x:c r="I18" s="44" t="str">
        <x:v>Não</x:v>
      </x:c>
      <x:c r="J18" s="44" t="str">
        <x:v>Sim</x:v>
      </x:c>
      <x:c r="K18" s="44" t="str">
        <x:v>Não</x:v>
      </x:c>
      <x:c r="L18" s="44" t="str">
        <x:v>Não</x:v>
      </x:c>
      <x:c r="M18" s="55" t="n">
        <x:f>IF(F18="Baixa",'08_Premissas_Custos'!$B$6,IF(F18="Média",'08_Premissas_Custos'!$B$7,IF(F18="Alta",'08_Premissas_Custos'!$B$8,'08_Premissas_Custos'!$B$9)))</x:f>
        <x:v>1.55</x:v>
      </x:c>
      <x:c r="N18" s="56" t="n">
        <x:f>'08_Premissas_Custos'!$B$13*M18</x:f>
        <x:v>34.1</x:v>
      </x:c>
      <x:c r="O18" s="56" t="n">
        <x:f>'08_Premissas_Custos'!$B$14*M18*(1+IF(L18="Sim",0.25,0))</x:f>
        <x:v>74.4</x:v>
      </x:c>
      <x:c r="P18" s="56" t="n">
        <x:f>'08_Premissas_Custos'!$B$15*M18*(1+IF(I18="Sim",0.20,0)+IF(K18="Sim",0.15,0))</x:f>
        <x:v>83.7</x:v>
      </x:c>
      <x:c r="Q18" s="56" t="n">
        <x:f>'08_Premissas_Custos'!$B$16*M18*IF(J18="Sim",1.6,0.55)</x:f>
        <x:v>44.64000000000001</x:v>
      </x:c>
      <x:c r="R18" s="56" t="n">
        <x:f>'08_Premissas_Custos'!$B$17*M18*IF(I18="Sim",1.8,0.15)</x:f>
        <x:v>2.3249999999999997</x:v>
      </x:c>
      <x:c r="S18" s="56" t="n">
        <x:f>'08_Premissas_Custos'!$B$18*M18*(1+IF(I18="Sim",0.15)+IF(L18="Sim",0.10))</x:f>
        <x:v>31</x:v>
      </x:c>
      <x:c r="T18" s="56" t="n">
        <x:f>'08_Premissas_Custos'!$B$19*M18*(1+IF(J18="Sim",0.15))</x:f>
        <x:v>14.26</x:v>
      </x:c>
      <x:c r="U18" s="56" t="n">
        <x:f>'08_Premissas_Custos'!$B$20*M18*IF(K18="Sim",1.8,0.7)</x:f>
        <x:v>6.51</x:v>
      </x:c>
      <x:c r="V18" s="57" t="n">
        <x:f>SUM(N18:U18)</x:f>
        <x:v>290.93499999999995</x:v>
      </x:c>
      <x:c r="W18" s="57" t="n">
        <x:f>V18*(1-H18)*IF(E18="Fase 2",'08_Premissas_Custos'!$F$10,1)</x:f>
        <x:v>290.93499999999995</x:v>
      </x:c>
      <x:c r="X18" s="58" t="n">
        <x:f>(N18*'08_Premissas_Custos'!$C$13+O18*'08_Premissas_Custos'!$C$14+P18*'08_Premissas_Custos'!$C$15+Q18*'08_Premissas_Custos'!$C$16+R18*'08_Premissas_Custos'!$C$17+S18*'08_Premissas_Custos'!$C$18+T18*'08_Premissas_Custos'!$C$19+U18*'08_Premissas_Custos'!$C$20)*(1-H18)*IF(E18="Fase 2",'08_Premissas_Custos'!$F$10,1)</x:f>
        <x:v>66005.2</x:v>
      </x:c>
      <x:c r="Y18" s="58" t="n">
        <x:f>X18*'08_Premissas_Custos'!$F$7</x:f>
        <x:v>7920.624</x:v>
      </x:c>
      <x:c r="Z18" s="58" t="n">
        <x:f>(X18+Y18)*'08_Premissas_Custos'!$F$6</x:f>
        <x:v>11088.873599999999</x:v>
      </x:c>
      <x:c r="AA18" s="58" t="n">
        <x:f>SUM(X18:Z18)</x:f>
        <x:v>85014.69759999998</x:v>
      </x:c>
      <x:c r="AB18" s="14" t="str">
        <x:v>KPIs pessoas x negócio</x:v>
      </x:c>
    </x:row>
    <x:row r="19">
      <x:c r="A19" s="14" t="n">
        <x:v>14</x:v>
      </x:c>
      <x:c r="B19" s="14" t="str">
        <x:v>ED</x:v>
      </x:c>
      <x:c r="C19" s="14" t="str">
        <x:v>Estratégia &amp; Dados</x:v>
      </x:c>
      <x:c r="D19" s="14" t="str">
        <x:v>Conectores de dados</x:v>
      </x:c>
      <x:c r="E19" s="14" t="str">
        <x:v>MVP</x:v>
      </x:c>
      <x:c r="F19" s="14" t="str">
        <x:v>Alta</x:v>
      </x:c>
      <x:c r="G19" s="14" t="str"/>
      <x:c r="H19" s="54" t="n">
        <x:v>0</x:v>
      </x:c>
      <x:c r="I19" s="44" t="str">
        <x:v>Não</x:v>
      </x:c>
      <x:c r="J19" s="44" t="str">
        <x:v>Sim</x:v>
      </x:c>
      <x:c r="K19" s="44" t="str">
        <x:v>Não</x:v>
      </x:c>
      <x:c r="L19" s="44" t="str">
        <x:v>Não</x:v>
      </x:c>
      <x:c r="M19" s="55" t="n">
        <x:f>IF(F19="Baixa",'08_Premissas_Custos'!$B$6,IF(F19="Média",'08_Premissas_Custos'!$B$7,IF(F19="Alta",'08_Premissas_Custos'!$B$8,'08_Premissas_Custos'!$B$9)))</x:f>
        <x:v>1.55</x:v>
      </x:c>
      <x:c r="N19" s="56" t="n">
        <x:f>'08_Premissas_Custos'!$B$13*M19</x:f>
        <x:v>34.1</x:v>
      </x:c>
      <x:c r="O19" s="56" t="n">
        <x:f>'08_Premissas_Custos'!$B$14*M19*(1+IF(L19="Sim",0.25,0))</x:f>
        <x:v>74.4</x:v>
      </x:c>
      <x:c r="P19" s="56" t="n">
        <x:f>'08_Premissas_Custos'!$B$15*M19*(1+IF(I19="Sim",0.20,0)+IF(K19="Sim",0.15,0))</x:f>
        <x:v>83.7</x:v>
      </x:c>
      <x:c r="Q19" s="56" t="n">
        <x:f>'08_Premissas_Custos'!$B$16*M19*IF(J19="Sim",1.6,0.55)</x:f>
        <x:v>44.64000000000001</x:v>
      </x:c>
      <x:c r="R19" s="56" t="n">
        <x:f>'08_Premissas_Custos'!$B$17*M19*IF(I19="Sim",1.8,0.15)</x:f>
        <x:v>2.3249999999999997</x:v>
      </x:c>
      <x:c r="S19" s="56" t="n">
        <x:f>'08_Premissas_Custos'!$B$18*M19*(1+IF(I19="Sim",0.15)+IF(L19="Sim",0.10))</x:f>
        <x:v>31</x:v>
      </x:c>
      <x:c r="T19" s="56" t="n">
        <x:f>'08_Premissas_Custos'!$B$19*M19*(1+IF(J19="Sim",0.15))</x:f>
        <x:v>14.26</x:v>
      </x:c>
      <x:c r="U19" s="56" t="n">
        <x:f>'08_Premissas_Custos'!$B$20*M19*IF(K19="Sim",1.8,0.7)</x:f>
        <x:v>6.51</x:v>
      </x:c>
      <x:c r="V19" s="57" t="n">
        <x:f>SUM(N19:U19)</x:f>
        <x:v>290.93499999999995</x:v>
      </x:c>
      <x:c r="W19" s="57" t="n">
        <x:f>V19*(1-H19)*IF(E19="Fase 2",'08_Premissas_Custos'!$F$10,1)</x:f>
        <x:v>290.93499999999995</x:v>
      </x:c>
      <x:c r="X19" s="58" t="n">
        <x:f>(N19*'08_Premissas_Custos'!$C$13+O19*'08_Premissas_Custos'!$C$14+P19*'08_Premissas_Custos'!$C$15+Q19*'08_Premissas_Custos'!$C$16+R19*'08_Premissas_Custos'!$C$17+S19*'08_Premissas_Custos'!$C$18+T19*'08_Premissas_Custos'!$C$19+U19*'08_Premissas_Custos'!$C$20)*(1-H19)*IF(E19="Fase 2",'08_Premissas_Custos'!$F$10,1)</x:f>
        <x:v>66005.2</x:v>
      </x:c>
      <x:c r="Y19" s="58" t="n">
        <x:f>X19*'08_Premissas_Custos'!$F$7</x:f>
        <x:v>7920.624</x:v>
      </x:c>
      <x:c r="Z19" s="58" t="n">
        <x:f>(X19+Y19)*'08_Premissas_Custos'!$F$6</x:f>
        <x:v>11088.873599999999</x:v>
      </x:c>
      <x:c r="AA19" s="58" t="n">
        <x:f>SUM(X19:Z19)</x:f>
        <x:v>85014.69759999998</x:v>
      </x:c>
      <x:c r="AB19" s="14" t="str">
        <x:v>Dados existentes</x:v>
      </x:c>
    </x:row>
    <x:row r="20">
      <x:c r="A20" s="14" t="n">
        <x:v>15</x:v>
      </x:c>
      <x:c r="B20" s="14" t="str">
        <x:v>ED</x:v>
      </x:c>
      <x:c r="C20" s="14" t="str">
        <x:v>Estratégia &amp; Dados</x:v>
      </x:c>
      <x:c r="D20" s="14" t="str">
        <x:v>Mapeamento de indicadores</x:v>
      </x:c>
      <x:c r="E20" s="14" t="str">
        <x:v>MVP</x:v>
      </x:c>
      <x:c r="F20" s="14" t="str">
        <x:v>Alta</x:v>
      </x:c>
      <x:c r="G20" s="14" t="str"/>
      <x:c r="H20" s="54" t="n">
        <x:v>0</x:v>
      </x:c>
      <x:c r="I20" s="44" t="str">
        <x:v>Não</x:v>
      </x:c>
      <x:c r="J20" s="44" t="str">
        <x:v>Sim</x:v>
      </x:c>
      <x:c r="K20" s="44" t="str">
        <x:v>Não</x:v>
      </x:c>
      <x:c r="L20" s="44" t="str">
        <x:v>Não</x:v>
      </x:c>
      <x:c r="M20" s="55" t="n">
        <x:f>IF(F20="Baixa",'08_Premissas_Custos'!$B$6,IF(F20="Média",'08_Premissas_Custos'!$B$7,IF(F20="Alta",'08_Premissas_Custos'!$B$8,'08_Premissas_Custos'!$B$9)))</x:f>
        <x:v>1.55</x:v>
      </x:c>
      <x:c r="N20" s="56" t="n">
        <x:f>'08_Premissas_Custos'!$B$13*M20</x:f>
        <x:v>34.1</x:v>
      </x:c>
      <x:c r="O20" s="56" t="n">
        <x:f>'08_Premissas_Custos'!$B$14*M20*(1+IF(L20="Sim",0.25,0))</x:f>
        <x:v>74.4</x:v>
      </x:c>
      <x:c r="P20" s="56" t="n">
        <x:f>'08_Premissas_Custos'!$B$15*M20*(1+IF(I20="Sim",0.20,0)+IF(K20="Sim",0.15,0))</x:f>
        <x:v>83.7</x:v>
      </x:c>
      <x:c r="Q20" s="56" t="n">
        <x:f>'08_Premissas_Custos'!$B$16*M20*IF(J20="Sim",1.6,0.55)</x:f>
        <x:v>44.64000000000001</x:v>
      </x:c>
      <x:c r="R20" s="56" t="n">
        <x:f>'08_Premissas_Custos'!$B$17*M20*IF(I20="Sim",1.8,0.15)</x:f>
        <x:v>2.3249999999999997</x:v>
      </x:c>
      <x:c r="S20" s="56" t="n">
        <x:f>'08_Premissas_Custos'!$B$18*M20*(1+IF(I20="Sim",0.15)+IF(L20="Sim",0.10))</x:f>
        <x:v>31</x:v>
      </x:c>
      <x:c r="T20" s="56" t="n">
        <x:f>'08_Premissas_Custos'!$B$19*M20*(1+IF(J20="Sim",0.15))</x:f>
        <x:v>14.26</x:v>
      </x:c>
      <x:c r="U20" s="56" t="n">
        <x:f>'08_Premissas_Custos'!$B$20*M20*IF(K20="Sim",1.8,0.7)</x:f>
        <x:v>6.51</x:v>
      </x:c>
      <x:c r="V20" s="57" t="n">
        <x:f>SUM(N20:U20)</x:f>
        <x:v>290.93499999999995</x:v>
      </x:c>
      <x:c r="W20" s="57" t="n">
        <x:f>V20*(1-H20)*IF(E20="Fase 2",'08_Premissas_Custos'!$F$10,1)</x:f>
        <x:v>290.93499999999995</x:v>
      </x:c>
      <x:c r="X20" s="58" t="n">
        <x:f>(N20*'08_Premissas_Custos'!$C$13+O20*'08_Premissas_Custos'!$C$14+P20*'08_Premissas_Custos'!$C$15+Q20*'08_Premissas_Custos'!$C$16+R20*'08_Premissas_Custos'!$C$17+S20*'08_Premissas_Custos'!$C$18+T20*'08_Premissas_Custos'!$C$19+U20*'08_Premissas_Custos'!$C$20)*(1-H20)*IF(E20="Fase 2",'08_Premissas_Custos'!$F$10,1)</x:f>
        <x:v>66005.2</x:v>
      </x:c>
      <x:c r="Y20" s="58" t="n">
        <x:f>X20*'08_Premissas_Custos'!$F$7</x:f>
        <x:v>7920.624</x:v>
      </x:c>
      <x:c r="Z20" s="58" t="n">
        <x:f>(X20+Y20)*'08_Premissas_Custos'!$F$6</x:f>
        <x:v>11088.873599999999</x:v>
      </x:c>
      <x:c r="AA20" s="58" t="n">
        <x:f>SUM(X20:Z20)</x:f>
        <x:v>85014.69759999998</x:v>
      </x:c>
      <x:c r="AB20" s="14" t="str">
        <x:v>Dicionário</x:v>
      </x:c>
    </x:row>
    <x:row r="21">
      <x:c r="A21" s="14" t="n">
        <x:v>16</x:v>
      </x:c>
      <x:c r="B21" s="14" t="str">
        <x:v>ED</x:v>
      </x:c>
      <x:c r="C21" s="14" t="str">
        <x:v>Estratégia &amp; Dados</x:v>
      </x:c>
      <x:c r="D21" s="14" t="str">
        <x:v>Diagnóstico</x:v>
      </x:c>
      <x:c r="E21" s="14" t="str">
        <x:v>MVP</x:v>
      </x:c>
      <x:c r="F21" s="14" t="str">
        <x:v>Alta</x:v>
      </x:c>
      <x:c r="G21" s="14" t="str"/>
      <x:c r="H21" s="54" t="n">
        <x:v>0</x:v>
      </x:c>
      <x:c r="I21" s="44" t="str">
        <x:v>Não</x:v>
      </x:c>
      <x:c r="J21" s="44" t="str">
        <x:v>Sim</x:v>
      </x:c>
      <x:c r="K21" s="44" t="str">
        <x:v>Não</x:v>
      </x:c>
      <x:c r="L21" s="44" t="str">
        <x:v>Não</x:v>
      </x:c>
      <x:c r="M21" s="55" t="n">
        <x:f>IF(F21="Baixa",'08_Premissas_Custos'!$B$6,IF(F21="Média",'08_Premissas_Custos'!$B$7,IF(F21="Alta",'08_Premissas_Custos'!$B$8,'08_Premissas_Custos'!$B$9)))</x:f>
        <x:v>1.55</x:v>
      </x:c>
      <x:c r="N21" s="56" t="n">
        <x:f>'08_Premissas_Custos'!$B$13*M21</x:f>
        <x:v>34.1</x:v>
      </x:c>
      <x:c r="O21" s="56" t="n">
        <x:f>'08_Premissas_Custos'!$B$14*M21*(1+IF(L21="Sim",0.25,0))</x:f>
        <x:v>74.4</x:v>
      </x:c>
      <x:c r="P21" s="56" t="n">
        <x:f>'08_Premissas_Custos'!$B$15*M21*(1+IF(I21="Sim",0.20,0)+IF(K21="Sim",0.15,0))</x:f>
        <x:v>83.7</x:v>
      </x:c>
      <x:c r="Q21" s="56" t="n">
        <x:f>'08_Premissas_Custos'!$B$16*M21*IF(J21="Sim",1.6,0.55)</x:f>
        <x:v>44.64000000000001</x:v>
      </x:c>
      <x:c r="R21" s="56" t="n">
        <x:f>'08_Premissas_Custos'!$B$17*M21*IF(I21="Sim",1.8,0.15)</x:f>
        <x:v>2.3249999999999997</x:v>
      </x:c>
      <x:c r="S21" s="56" t="n">
        <x:f>'08_Premissas_Custos'!$B$18*M21*(1+IF(I21="Sim",0.15)+IF(L21="Sim",0.10))</x:f>
        <x:v>31</x:v>
      </x:c>
      <x:c r="T21" s="56" t="n">
        <x:f>'08_Premissas_Custos'!$B$19*M21*(1+IF(J21="Sim",0.15))</x:f>
        <x:v>14.26</x:v>
      </x:c>
      <x:c r="U21" s="56" t="n">
        <x:f>'08_Premissas_Custos'!$B$20*M21*IF(K21="Sim",1.8,0.7)</x:f>
        <x:v>6.51</x:v>
      </x:c>
      <x:c r="V21" s="57" t="n">
        <x:f>SUM(N21:U21)</x:f>
        <x:v>290.93499999999995</x:v>
      </x:c>
      <x:c r="W21" s="57" t="n">
        <x:f>V21*(1-H21)*IF(E21="Fase 2",'08_Premissas_Custos'!$F$10,1)</x:f>
        <x:v>290.93499999999995</x:v>
      </x:c>
      <x:c r="X21" s="58" t="n">
        <x:f>(N21*'08_Premissas_Custos'!$C$13+O21*'08_Premissas_Custos'!$C$14+P21*'08_Premissas_Custos'!$C$15+Q21*'08_Premissas_Custos'!$C$16+R21*'08_Premissas_Custos'!$C$17+S21*'08_Premissas_Custos'!$C$18+T21*'08_Premissas_Custos'!$C$19+U21*'08_Premissas_Custos'!$C$20)*(1-H21)*IF(E21="Fase 2",'08_Premissas_Custos'!$F$10,1)</x:f>
        <x:v>66005.2</x:v>
      </x:c>
      <x:c r="Y21" s="58" t="n">
        <x:f>X21*'08_Premissas_Custos'!$F$7</x:f>
        <x:v>7920.624</x:v>
      </x:c>
      <x:c r="Z21" s="58" t="n">
        <x:f>(X21+Y21)*'08_Premissas_Custos'!$F$6</x:f>
        <x:v>11088.873599999999</x:v>
      </x:c>
      <x:c r="AA21" s="58" t="n">
        <x:f>SUM(X21:Z21)</x:f>
        <x:v>85014.69759999998</x:v>
      </x:c>
      <x:c r="AB21" s="14" t="str">
        <x:v>Contexto</x:v>
      </x:c>
    </x:row>
    <x:row r="22">
      <x:c r="A22" s="14" t="n">
        <x:v>17</x:v>
      </x:c>
      <x:c r="B22" s="14" t="str">
        <x:v>ED</x:v>
      </x:c>
      <x:c r="C22" s="14" t="str">
        <x:v>Estratégia &amp; Dados</x:v>
      </x:c>
      <x:c r="D22" s="14" t="str">
        <x:v>Análises e correlações</x:v>
      </x:c>
      <x:c r="E22" s="14" t="str">
        <x:v>MVP</x:v>
      </x:c>
      <x:c r="F22" s="14" t="str">
        <x:v>Muito alta</x:v>
      </x:c>
      <x:c r="G22" s="14" t="str"/>
      <x:c r="H22" s="54" t="n">
        <x:v>0</x:v>
      </x:c>
      <x:c r="I22" s="44" t="str">
        <x:v>Sim</x:v>
      </x:c>
      <x:c r="J22" s="44" t="str">
        <x:v>Sim</x:v>
      </x:c>
      <x:c r="K22" s="44" t="str">
        <x:v>Não</x:v>
      </x:c>
      <x:c r="L22" s="44" t="str">
        <x:v>Não</x:v>
      </x:c>
      <x:c r="M22" s="55" t="n">
        <x:f>IF(F22="Baixa",'08_Premissas_Custos'!$B$6,IF(F22="Média",'08_Premissas_Custos'!$B$7,IF(F22="Alta",'08_Premissas_Custos'!$B$8,'08_Premissas_Custos'!$B$9)))</x:f>
        <x:v>2.2</x:v>
      </x:c>
      <x:c r="N22" s="56" t="n">
        <x:f>'08_Premissas_Custos'!$B$13*M22</x:f>
        <x:v>48.400000000000006</x:v>
      </x:c>
      <x:c r="O22" s="56" t="n">
        <x:f>'08_Premissas_Custos'!$B$14*M22*(1+IF(L22="Sim",0.25,0))</x:f>
        <x:v>105.60000000000001</x:v>
      </x:c>
      <x:c r="P22" s="56" t="n">
        <x:f>'08_Premissas_Custos'!$B$15*M22*(1+IF(I22="Sim",0.20,0)+IF(K22="Sim",0.15,0))</x:f>
        <x:v>142.56</x:v>
      </x:c>
      <x:c r="Q22" s="56" t="n">
        <x:f>'08_Premissas_Custos'!$B$16*M22*IF(J22="Sim",1.6,0.55)</x:f>
        <x:v>63.36000000000001</x:v>
      </x:c>
      <x:c r="R22" s="56" t="n">
        <x:f>'08_Premissas_Custos'!$B$17*M22*IF(I22="Sim",1.8,0.15)</x:f>
        <x:v>39.6</x:v>
      </x:c>
      <x:c r="S22" s="56" t="n">
        <x:f>'08_Premissas_Custos'!$B$18*M22*(1+IF(I22="Sim",0.15)+IF(L22="Sim",0.10))</x:f>
        <x:v>50.599999999999994</x:v>
      </x:c>
      <x:c r="T22" s="56" t="n">
        <x:f>'08_Premissas_Custos'!$B$19*M22*(1+IF(J22="Sim",0.15))</x:f>
        <x:v>20.24</x:v>
      </x:c>
      <x:c r="U22" s="56" t="n">
        <x:f>'08_Premissas_Custos'!$B$20*M22*IF(K22="Sim",1.8,0.7)</x:f>
        <x:v>9.24</x:v>
      </x:c>
      <x:c r="V22" s="57" t="n">
        <x:f>SUM(N22:U22)</x:f>
        <x:v>479.6</x:v>
      </x:c>
      <x:c r="W22" s="57" t="n">
        <x:f>V22*(1-H22)*IF(E22="Fase 2",'08_Premissas_Custos'!$F$10,1)</x:f>
        <x:v>479.6</x:v>
      </x:c>
      <x:c r="X22" s="58" t="n">
        <x:f>(N22*'08_Premissas_Custos'!$C$13+O22*'08_Premissas_Custos'!$C$14+P22*'08_Premissas_Custos'!$C$15+Q22*'08_Premissas_Custos'!$C$16+R22*'08_Premissas_Custos'!$C$17+S22*'08_Premissas_Custos'!$C$18+T22*'08_Premissas_Custos'!$C$19+U22*'08_Premissas_Custos'!$C$20)*(1-H22)*IF(E22="Fase 2",'08_Premissas_Custos'!$F$10,1)</x:f>
        <x:v>112125.20000000001</x:v>
      </x:c>
      <x:c r="Y22" s="58" t="n">
        <x:f>X22*'08_Premissas_Custos'!$F$7</x:f>
        <x:v>13455.024000000001</x:v>
      </x:c>
      <x:c r="Z22" s="58" t="n">
        <x:f>(X22+Y22)*'08_Premissas_Custos'!$F$6</x:f>
        <x:v>18837.033600000002</x:v>
      </x:c>
      <x:c r="AA22" s="58" t="n">
        <x:f>SUM(X22:Z22)</x:f>
        <x:v>144417.2576</x:v>
      </x:c>
      <x:c r="AB22" s="14" t="str">
        <x:v>Padrões</x:v>
      </x:c>
    </x:row>
    <x:row r="23">
      <x:c r="A23" s="14" t="n">
        <x:v>18</x:v>
      </x:c>
      <x:c r="B23" s="14" t="str">
        <x:v>ED</x:v>
      </x:c>
      <x:c r="C23" s="14" t="str">
        <x:v>Estratégia &amp; Dados</x:v>
      </x:c>
      <x:c r="D23" s="14" t="str">
        <x:v>Prioridades</x:v>
      </x:c>
      <x:c r="E23" s="14" t="str">
        <x:v>MVP</x:v>
      </x:c>
      <x:c r="F23" s="14" t="str">
        <x:v>Alta</x:v>
      </x:c>
      <x:c r="G23" s="14" t="str"/>
      <x:c r="H23" s="54" t="n">
        <x:v>0</x:v>
      </x:c>
      <x:c r="I23" s="44" t="str">
        <x:v>Não</x:v>
      </x:c>
      <x:c r="J23" s="44" t="str">
        <x:v>Sim</x:v>
      </x:c>
      <x:c r="K23" s="44" t="str">
        <x:v>Não</x:v>
      </x:c>
      <x:c r="L23" s="44" t="str">
        <x:v>Não</x:v>
      </x:c>
      <x:c r="M23" s="55" t="n">
        <x:f>IF(F23="Baixa",'08_Premissas_Custos'!$B$6,IF(F23="Média",'08_Premissas_Custos'!$B$7,IF(F23="Alta",'08_Premissas_Custos'!$B$8,'08_Premissas_Custos'!$B$9)))</x:f>
        <x:v>1.55</x:v>
      </x:c>
      <x:c r="N23" s="56" t="n">
        <x:f>'08_Premissas_Custos'!$B$13*M23</x:f>
        <x:v>34.1</x:v>
      </x:c>
      <x:c r="O23" s="56" t="n">
        <x:f>'08_Premissas_Custos'!$B$14*M23*(1+IF(L23="Sim",0.25,0))</x:f>
        <x:v>74.4</x:v>
      </x:c>
      <x:c r="P23" s="56" t="n">
        <x:f>'08_Premissas_Custos'!$B$15*M23*(1+IF(I23="Sim",0.20,0)+IF(K23="Sim",0.15,0))</x:f>
        <x:v>83.7</x:v>
      </x:c>
      <x:c r="Q23" s="56" t="n">
        <x:f>'08_Premissas_Custos'!$B$16*M23*IF(J23="Sim",1.6,0.55)</x:f>
        <x:v>44.64000000000001</x:v>
      </x:c>
      <x:c r="R23" s="56" t="n">
        <x:f>'08_Premissas_Custos'!$B$17*M23*IF(I23="Sim",1.8,0.15)</x:f>
        <x:v>2.3249999999999997</x:v>
      </x:c>
      <x:c r="S23" s="56" t="n">
        <x:f>'08_Premissas_Custos'!$B$18*M23*(1+IF(I23="Sim",0.15)+IF(L23="Sim",0.10))</x:f>
        <x:v>31</x:v>
      </x:c>
      <x:c r="T23" s="56" t="n">
        <x:f>'08_Premissas_Custos'!$B$19*M23*(1+IF(J23="Sim",0.15))</x:f>
        <x:v>14.26</x:v>
      </x:c>
      <x:c r="U23" s="56" t="n">
        <x:f>'08_Premissas_Custos'!$B$20*M23*IF(K23="Sim",1.8,0.7)</x:f>
        <x:v>6.51</x:v>
      </x:c>
      <x:c r="V23" s="57" t="n">
        <x:f>SUM(N23:U23)</x:f>
        <x:v>290.93499999999995</x:v>
      </x:c>
      <x:c r="W23" s="57" t="n">
        <x:f>V23*(1-H23)*IF(E23="Fase 2",'08_Premissas_Custos'!$F$10,1)</x:f>
        <x:v>290.93499999999995</x:v>
      </x:c>
      <x:c r="X23" s="58" t="n">
        <x:f>(N23*'08_Premissas_Custos'!$C$13+O23*'08_Premissas_Custos'!$C$14+P23*'08_Premissas_Custos'!$C$15+Q23*'08_Premissas_Custos'!$C$16+R23*'08_Premissas_Custos'!$C$17+S23*'08_Premissas_Custos'!$C$18+T23*'08_Premissas_Custos'!$C$19+U23*'08_Premissas_Custos'!$C$20)*(1-H23)*IF(E23="Fase 2",'08_Premissas_Custos'!$F$10,1)</x:f>
        <x:v>66005.2</x:v>
      </x:c>
      <x:c r="Y23" s="58" t="n">
        <x:f>X23*'08_Premissas_Custos'!$F$7</x:f>
        <x:v>7920.624</x:v>
      </x:c>
      <x:c r="Z23" s="58" t="n">
        <x:f>(X23+Y23)*'08_Premissas_Custos'!$F$6</x:f>
        <x:v>11088.873599999999</x:v>
      </x:c>
      <x:c r="AA23" s="58" t="n">
        <x:f>SUM(X23:Z23)</x:f>
        <x:v>85014.69759999998</x:v>
      </x:c>
      <x:c r="AB23" s="14" t="str">
        <x:v>Riscos/oportunidades</x:v>
      </x:c>
    </x:row>
    <x:row r="24">
      <x:c r="A24" s="14" t="n">
        <x:v>19</x:v>
      </x:c>
      <x:c r="B24" s="14" t="str">
        <x:v>ED</x:v>
      </x:c>
      <x:c r="C24" s="14" t="str">
        <x:v>Estratégia &amp; Dados</x:v>
      </x:c>
      <x:c r="D24" s="14" t="str">
        <x:v>Planos de ação</x:v>
      </x:c>
      <x:c r="E24" s="14" t="str">
        <x:v>MVP</x:v>
      </x:c>
      <x:c r="F24" s="14" t="str">
        <x:v>Média</x:v>
      </x:c>
      <x:c r="G24" s="14" t="str"/>
      <x:c r="H24" s="54" t="n">
        <x:v>0</x:v>
      </x:c>
      <x:c r="I24" s="44" t="str">
        <x:v>Não</x:v>
      </x:c>
      <x:c r="J24" s="44" t="str">
        <x:v>Sim</x:v>
      </x:c>
      <x:c r="K24" s="44" t="str">
        <x:v>Não</x:v>
      </x:c>
      <x:c r="L24" s="44" t="str">
        <x:v>Não</x:v>
      </x:c>
      <x:c r="M24" s="55" t="n">
        <x:f>IF(F24="Baixa",'08_Premissas_Custos'!$B$6,IF(F24="Média",'08_Premissas_Custos'!$B$7,IF(F24="Alta",'08_Premissas_Custos'!$B$8,'08_Premissas_Custos'!$B$9)))</x:f>
        <x:v>1</x:v>
      </x:c>
      <x:c r="N24" s="56" t="n">
        <x:f>'08_Premissas_Custos'!$B$13*M24</x:f>
        <x:v>22</x:v>
      </x:c>
      <x:c r="O24" s="56" t="n">
        <x:f>'08_Premissas_Custos'!$B$14*M24*(1+IF(L24="Sim",0.25,0))</x:f>
        <x:v>48</x:v>
      </x:c>
      <x:c r="P24" s="56" t="n">
        <x:f>'08_Premissas_Custos'!$B$15*M24*(1+IF(I24="Sim",0.20,0)+IF(K24="Sim",0.15,0))</x:f>
        <x:v>54</x:v>
      </x:c>
      <x:c r="Q24" s="56" t="n">
        <x:f>'08_Premissas_Custos'!$B$16*M24*IF(J24="Sim",1.6,0.55)</x:f>
        <x:v>28.8</x:v>
      </x:c>
      <x:c r="R24" s="56" t="n">
        <x:f>'08_Premissas_Custos'!$B$17*M24*IF(I24="Sim",1.8,0.15)</x:f>
        <x:v>1.5</x:v>
      </x:c>
      <x:c r="S24" s="56" t="n">
        <x:f>'08_Premissas_Custos'!$B$18*M24*(1+IF(I24="Sim",0.15)+IF(L24="Sim",0.10))</x:f>
        <x:v>20</x:v>
      </x:c>
      <x:c r="T24" s="56" t="n">
        <x:f>'08_Premissas_Custos'!$B$19*M24*(1+IF(J24="Sim",0.15))</x:f>
        <x:v>9.2</x:v>
      </x:c>
      <x:c r="U24" s="56" t="n">
        <x:f>'08_Premissas_Custos'!$B$20*M24*IF(K24="Sim",1.8,0.7)</x:f>
        <x:v>4.199999999999999</x:v>
      </x:c>
      <x:c r="V24" s="57" t="n">
        <x:f>SUM(N24:U24)</x:f>
        <x:v>187.7</x:v>
      </x:c>
      <x:c r="W24" s="57" t="n">
        <x:f>V24*(1-H24)*IF(E24="Fase 2",'08_Premissas_Custos'!$F$10,1)</x:f>
        <x:v>187.7</x:v>
      </x:c>
      <x:c r="X24" s="58" t="n">
        <x:f>(N24*'08_Premissas_Custos'!$C$13+O24*'08_Premissas_Custos'!$C$14+P24*'08_Premissas_Custos'!$C$15+Q24*'08_Premissas_Custos'!$C$16+R24*'08_Premissas_Custos'!$C$17+S24*'08_Premissas_Custos'!$C$18+T24*'08_Premissas_Custos'!$C$19+U24*'08_Premissas_Custos'!$C$20)*(1-H24)*IF(E24="Fase 2",'08_Premissas_Custos'!$F$10,1)</x:f>
        <x:v>42584</x:v>
      </x:c>
      <x:c r="Y24" s="58" t="n">
        <x:f>X24*'08_Premissas_Custos'!$F$7</x:f>
        <x:v>5110.08</x:v>
      </x:c>
      <x:c r="Z24" s="58" t="n">
        <x:f>(X24+Y24)*'08_Premissas_Custos'!$F$6</x:f>
        <x:v>7154.112</x:v>
      </x:c>
      <x:c r="AA24" s="58" t="n">
        <x:f>SUM(X24:Z24)</x:f>
        <x:v>54848.192</x:v>
      </x:c>
      <x:c r="AB24" s="14" t="str">
        <x:v>Ações</x:v>
      </x:c>
    </x:row>
    <x:row r="25">
      <x:c r="A25" s="14" t="n">
        <x:v>20</x:v>
      </x:c>
      <x:c r="B25" s="14" t="str">
        <x:v>ED</x:v>
      </x:c>
      <x:c r="C25" s="14" t="str">
        <x:v>Estratégia &amp; Dados</x:v>
      </x:c>
      <x:c r="D25" s="14" t="str">
        <x:v>Cenários / simulações</x:v>
      </x:c>
      <x:c r="E25" s="14" t="str">
        <x:v>Fase 2</x:v>
      </x:c>
      <x:c r="F25" s="14" t="str">
        <x:v>Muito alta</x:v>
      </x:c>
      <x:c r="G25" s="14" t="str"/>
      <x:c r="H25" s="54" t="n">
        <x:v>0</x:v>
      </x:c>
      <x:c r="I25" s="44" t="str">
        <x:v>Sim</x:v>
      </x:c>
      <x:c r="J25" s="44" t="str">
        <x:v>Sim</x:v>
      </x:c>
      <x:c r="K25" s="44" t="str">
        <x:v>Não</x:v>
      </x:c>
      <x:c r="L25" s="44" t="str">
        <x:v>Não</x:v>
      </x:c>
      <x:c r="M25" s="55" t="n">
        <x:f>IF(F25="Baixa",'08_Premissas_Custos'!$B$6,IF(F25="Média",'08_Premissas_Custos'!$B$7,IF(F25="Alta",'08_Premissas_Custos'!$B$8,'08_Premissas_Custos'!$B$9)))</x:f>
        <x:v>2.2</x:v>
      </x:c>
      <x:c r="N25" s="56" t="n">
        <x:f>'08_Premissas_Custos'!$B$13*M25</x:f>
        <x:v>48.400000000000006</x:v>
      </x:c>
      <x:c r="O25" s="56" t="n">
        <x:f>'08_Premissas_Custos'!$B$14*M25*(1+IF(L25="Sim",0.25,0))</x:f>
        <x:v>105.60000000000001</x:v>
      </x:c>
      <x:c r="P25" s="56" t="n">
        <x:f>'08_Premissas_Custos'!$B$15*M25*(1+IF(I25="Sim",0.20,0)+IF(K25="Sim",0.15,0))</x:f>
        <x:v>142.56</x:v>
      </x:c>
      <x:c r="Q25" s="56" t="n">
        <x:f>'08_Premissas_Custos'!$B$16*M25*IF(J25="Sim",1.6,0.55)</x:f>
        <x:v>63.36000000000001</x:v>
      </x:c>
      <x:c r="R25" s="56" t="n">
        <x:f>'08_Premissas_Custos'!$B$17*M25*IF(I25="Sim",1.8,0.15)</x:f>
        <x:v>39.6</x:v>
      </x:c>
      <x:c r="S25" s="56" t="n">
        <x:f>'08_Premissas_Custos'!$B$18*M25*(1+IF(I25="Sim",0.15)+IF(L25="Sim",0.10))</x:f>
        <x:v>50.599999999999994</x:v>
      </x:c>
      <x:c r="T25" s="56" t="n">
        <x:f>'08_Premissas_Custos'!$B$19*M25*(1+IF(J25="Sim",0.15))</x:f>
        <x:v>20.24</x:v>
      </x:c>
      <x:c r="U25" s="56" t="n">
        <x:f>'08_Premissas_Custos'!$B$20*M25*IF(K25="Sim",1.8,0.7)</x:f>
        <x:v>9.24</x:v>
      </x:c>
      <x:c r="V25" s="57" t="n">
        <x:f>SUM(N25:U25)</x:f>
        <x:v>479.6</x:v>
      </x:c>
      <x:c r="W25" s="57" t="n">
        <x:f>V25*(1-H25)*IF(E25="Fase 2",'08_Premissas_Custos'!$F$10,1)</x:f>
        <x:v>431.64000000000004</x:v>
      </x:c>
      <x:c r="X25" s="58" t="n">
        <x:f>(N25*'08_Premissas_Custos'!$C$13+O25*'08_Premissas_Custos'!$C$14+P25*'08_Premissas_Custos'!$C$15+Q25*'08_Premissas_Custos'!$C$16+R25*'08_Premissas_Custos'!$C$17+S25*'08_Premissas_Custos'!$C$18+T25*'08_Premissas_Custos'!$C$19+U25*'08_Premissas_Custos'!$C$20)*(1-H25)*IF(E25="Fase 2",'08_Premissas_Custos'!$F$10,1)</x:f>
        <x:v>100912.68000000001</x:v>
      </x:c>
      <x:c r="Y25" s="58" t="n">
        <x:f>X25*'08_Premissas_Custos'!$F$7</x:f>
        <x:v>12109.5216</x:v>
      </x:c>
      <x:c r="Z25" s="58" t="n">
        <x:f>(X25+Y25)*'08_Premissas_Custos'!$F$6</x:f>
        <x:v>16953.33024</x:v>
      </x:c>
      <x:c r="AA25" s="58" t="n">
        <x:f>SUM(X25:Z25)</x:f>
        <x:v>129975.53184</x:v>
      </x:c>
      <x:c r="AB25" s="14" t="str">
        <x:v>Projeções</x:v>
      </x:c>
    </x:row>
    <x:row r="26">
      <x:c r="A26" s="14" t="n">
        <x:v>21</x:v>
      </x:c>
      <x:c r="B26" s="14" t="str">
        <x:v>ED</x:v>
      </x:c>
      <x:c r="C26" s="14" t="str">
        <x:v>Estratégia &amp; Dados</x:v>
      </x:c>
      <x:c r="D26" s="14" t="str">
        <x:v>ROI / valor capturado</x:v>
      </x:c>
      <x:c r="E26" s="14" t="str">
        <x:v>MVP</x:v>
      </x:c>
      <x:c r="F26" s="14" t="str">
        <x:v>Alta</x:v>
      </x:c>
      <x:c r="G26" s="14" t="str"/>
      <x:c r="H26" s="54" t="n">
        <x:v>0</x:v>
      </x:c>
      <x:c r="I26" s="44" t="str">
        <x:v>Não</x:v>
      </x:c>
      <x:c r="J26" s="44" t="str">
        <x:v>Sim</x:v>
      </x:c>
      <x:c r="K26" s="44" t="str">
        <x:v>Não</x:v>
      </x:c>
      <x:c r="L26" s="44" t="str">
        <x:v>Não</x:v>
      </x:c>
      <x:c r="M26" s="55" t="n">
        <x:f>IF(F26="Baixa",'08_Premissas_Custos'!$B$6,IF(F26="Média",'08_Premissas_Custos'!$B$7,IF(F26="Alta",'08_Premissas_Custos'!$B$8,'08_Premissas_Custos'!$B$9)))</x:f>
        <x:v>1.55</x:v>
      </x:c>
      <x:c r="N26" s="56" t="n">
        <x:f>'08_Premissas_Custos'!$B$13*M26</x:f>
        <x:v>34.1</x:v>
      </x:c>
      <x:c r="O26" s="56" t="n">
        <x:f>'08_Premissas_Custos'!$B$14*M26*(1+IF(L26="Sim",0.25,0))</x:f>
        <x:v>74.4</x:v>
      </x:c>
      <x:c r="P26" s="56" t="n">
        <x:f>'08_Premissas_Custos'!$B$15*M26*(1+IF(I26="Sim",0.20,0)+IF(K26="Sim",0.15,0))</x:f>
        <x:v>83.7</x:v>
      </x:c>
      <x:c r="Q26" s="56" t="n">
        <x:f>'08_Premissas_Custos'!$B$16*M26*IF(J26="Sim",1.6,0.55)</x:f>
        <x:v>44.64000000000001</x:v>
      </x:c>
      <x:c r="R26" s="56" t="n">
        <x:f>'08_Premissas_Custos'!$B$17*M26*IF(I26="Sim",1.8,0.15)</x:f>
        <x:v>2.3249999999999997</x:v>
      </x:c>
      <x:c r="S26" s="56" t="n">
        <x:f>'08_Premissas_Custos'!$B$18*M26*(1+IF(I26="Sim",0.15)+IF(L26="Sim",0.10))</x:f>
        <x:v>31</x:v>
      </x:c>
      <x:c r="T26" s="56" t="n">
        <x:f>'08_Premissas_Custos'!$B$19*M26*(1+IF(J26="Sim",0.15))</x:f>
        <x:v>14.26</x:v>
      </x:c>
      <x:c r="U26" s="56" t="n">
        <x:f>'08_Premissas_Custos'!$B$20*M26*IF(K26="Sim",1.8,0.7)</x:f>
        <x:v>6.51</x:v>
      </x:c>
      <x:c r="V26" s="57" t="n">
        <x:f>SUM(N26:U26)</x:f>
        <x:v>290.93499999999995</x:v>
      </x:c>
      <x:c r="W26" s="57" t="n">
        <x:f>V26*(1-H26)*IF(E26="Fase 2",'08_Premissas_Custos'!$F$10,1)</x:f>
        <x:v>290.93499999999995</x:v>
      </x:c>
      <x:c r="X26" s="58" t="n">
        <x:f>(N26*'08_Premissas_Custos'!$C$13+O26*'08_Premissas_Custos'!$C$14+P26*'08_Premissas_Custos'!$C$15+Q26*'08_Premissas_Custos'!$C$16+R26*'08_Premissas_Custos'!$C$17+S26*'08_Premissas_Custos'!$C$18+T26*'08_Premissas_Custos'!$C$19+U26*'08_Premissas_Custos'!$C$20)*(1-H26)*IF(E26="Fase 2",'08_Premissas_Custos'!$F$10,1)</x:f>
        <x:v>66005.2</x:v>
      </x:c>
      <x:c r="Y26" s="58" t="n">
        <x:f>X26*'08_Premissas_Custos'!$F$7</x:f>
        <x:v>7920.624</x:v>
      </x:c>
      <x:c r="Z26" s="58" t="n">
        <x:f>(X26+Y26)*'08_Premissas_Custos'!$F$6</x:f>
        <x:v>11088.873599999999</x:v>
      </x:c>
      <x:c r="AA26" s="58" t="n">
        <x:f>SUM(X26:Z26)</x:f>
        <x:v>85014.69759999998</x:v>
      </x:c>
      <x:c r="AB26" s="14" t="str">
        <x:v>Financeiro</x:v>
      </x:c>
    </x:row>
    <x:row r="27">
      <x:c r="A27" s="14" t="n">
        <x:v>22</x:v>
      </x:c>
      <x:c r="B27" s="14" t="str">
        <x:v>ED</x:v>
      </x:c>
      <x:c r="C27" s="14" t="str">
        <x:v>Estratégia &amp; Dados</x:v>
      </x:c>
      <x:c r="D27" s="14" t="str">
        <x:v>Relatórios executivos</x:v>
      </x:c>
      <x:c r="E27" s="14" t="str">
        <x:v>MVP</x:v>
      </x:c>
      <x:c r="F27" s="14" t="str">
        <x:v>Média</x:v>
      </x:c>
      <x:c r="G27" s="14" t="str"/>
      <x:c r="H27" s="54" t="n">
        <x:v>0</x:v>
      </x:c>
      <x:c r="I27" s="44" t="str">
        <x:v>Não</x:v>
      </x:c>
      <x:c r="J27" s="44" t="str">
        <x:v>Sim</x:v>
      </x:c>
      <x:c r="K27" s="44" t="str">
        <x:v>Não</x:v>
      </x:c>
      <x:c r="L27" s="44" t="str">
        <x:v>Não</x:v>
      </x:c>
      <x:c r="M27" s="55" t="n">
        <x:f>IF(F27="Baixa",'08_Premissas_Custos'!$B$6,IF(F27="Média",'08_Premissas_Custos'!$B$7,IF(F27="Alta",'08_Premissas_Custos'!$B$8,'08_Premissas_Custos'!$B$9)))</x:f>
        <x:v>1</x:v>
      </x:c>
      <x:c r="N27" s="56" t="n">
        <x:f>'08_Premissas_Custos'!$B$13*M27</x:f>
        <x:v>22</x:v>
      </x:c>
      <x:c r="O27" s="56" t="n">
        <x:f>'08_Premissas_Custos'!$B$14*M27*(1+IF(L27="Sim",0.25,0))</x:f>
        <x:v>48</x:v>
      </x:c>
      <x:c r="P27" s="56" t="n">
        <x:f>'08_Premissas_Custos'!$B$15*M27*(1+IF(I27="Sim",0.20,0)+IF(K27="Sim",0.15,0))</x:f>
        <x:v>54</x:v>
      </x:c>
      <x:c r="Q27" s="56" t="n">
        <x:f>'08_Premissas_Custos'!$B$16*M27*IF(J27="Sim",1.6,0.55)</x:f>
        <x:v>28.8</x:v>
      </x:c>
      <x:c r="R27" s="56" t="n">
        <x:f>'08_Premissas_Custos'!$B$17*M27*IF(I27="Sim",1.8,0.15)</x:f>
        <x:v>1.5</x:v>
      </x:c>
      <x:c r="S27" s="56" t="n">
        <x:f>'08_Premissas_Custos'!$B$18*M27*(1+IF(I27="Sim",0.15)+IF(L27="Sim",0.10))</x:f>
        <x:v>20</x:v>
      </x:c>
      <x:c r="T27" s="56" t="n">
        <x:f>'08_Premissas_Custos'!$B$19*M27*(1+IF(J27="Sim",0.15))</x:f>
        <x:v>9.2</x:v>
      </x:c>
      <x:c r="U27" s="56" t="n">
        <x:f>'08_Premissas_Custos'!$B$20*M27*IF(K27="Sim",1.8,0.7)</x:f>
        <x:v>4.199999999999999</x:v>
      </x:c>
      <x:c r="V27" s="57" t="n">
        <x:f>SUM(N27:U27)</x:f>
        <x:v>187.7</x:v>
      </x:c>
      <x:c r="W27" s="57" t="n">
        <x:f>V27*(1-H27)*IF(E27="Fase 2",'08_Premissas_Custos'!$F$10,1)</x:f>
        <x:v>187.7</x:v>
      </x:c>
      <x:c r="X27" s="58" t="n">
        <x:f>(N27*'08_Premissas_Custos'!$C$13+O27*'08_Premissas_Custos'!$C$14+P27*'08_Premissas_Custos'!$C$15+Q27*'08_Premissas_Custos'!$C$16+R27*'08_Premissas_Custos'!$C$17+S27*'08_Premissas_Custos'!$C$18+T27*'08_Premissas_Custos'!$C$19+U27*'08_Premissas_Custos'!$C$20)*(1-H27)*IF(E27="Fase 2",'08_Premissas_Custos'!$F$10,1)</x:f>
        <x:v>42584</x:v>
      </x:c>
      <x:c r="Y27" s="58" t="n">
        <x:f>X27*'08_Premissas_Custos'!$F$7</x:f>
        <x:v>5110.08</x:v>
      </x:c>
      <x:c r="Z27" s="58" t="n">
        <x:f>(X27+Y27)*'08_Premissas_Custos'!$F$6</x:f>
        <x:v>7154.112</x:v>
      </x:c>
      <x:c r="AA27" s="58" t="n">
        <x:f>SUM(X27:Z27)</x:f>
        <x:v>54848.192</x:v>
      </x:c>
      <x:c r="AB27" s="14" t="str">
        <x:v>Exportação</x:v>
      </x:c>
    </x:row>
    <x:row r="28">
      <x:c r="A28" s="14" t="n">
        <x:v>23</x:v>
      </x:c>
      <x:c r="B28" s="14" t="str">
        <x:v>ED</x:v>
      </x:c>
      <x:c r="C28" s="14" t="str">
        <x:v>Estratégia &amp; Dados</x:v>
      </x:c>
      <x:c r="D28" s="14" t="str">
        <x:v>Alertas estratégicos</x:v>
      </x:c>
      <x:c r="E28" s="14" t="str">
        <x:v>Fase 2</x:v>
      </x:c>
      <x:c r="F28" s="14" t="str">
        <x:v>Alta</x:v>
      </x:c>
      <x:c r="G28" s="14" t="str"/>
      <x:c r="H28" s="54" t="n">
        <x:v>0</x:v>
      </x:c>
      <x:c r="I28" s="44" t="str">
        <x:v>Não</x:v>
      </x:c>
      <x:c r="J28" s="44" t="str">
        <x:v>Sim</x:v>
      </x:c>
      <x:c r="K28" s="44" t="str">
        <x:v>Não</x:v>
      </x:c>
      <x:c r="L28" s="44" t="str">
        <x:v>Não</x:v>
      </x:c>
      <x:c r="M28" s="55" t="n">
        <x:f>IF(F28="Baixa",'08_Premissas_Custos'!$B$6,IF(F28="Média",'08_Premissas_Custos'!$B$7,IF(F28="Alta",'08_Premissas_Custos'!$B$8,'08_Premissas_Custos'!$B$9)))</x:f>
        <x:v>1.55</x:v>
      </x:c>
      <x:c r="N28" s="56" t="n">
        <x:f>'08_Premissas_Custos'!$B$13*M28</x:f>
        <x:v>34.1</x:v>
      </x:c>
      <x:c r="O28" s="56" t="n">
        <x:f>'08_Premissas_Custos'!$B$14*M28*(1+IF(L28="Sim",0.25,0))</x:f>
        <x:v>74.4</x:v>
      </x:c>
      <x:c r="P28" s="56" t="n">
        <x:f>'08_Premissas_Custos'!$B$15*M28*(1+IF(I28="Sim",0.20,0)+IF(K28="Sim",0.15,0))</x:f>
        <x:v>83.7</x:v>
      </x:c>
      <x:c r="Q28" s="56" t="n">
        <x:f>'08_Premissas_Custos'!$B$16*M28*IF(J28="Sim",1.6,0.55)</x:f>
        <x:v>44.64000000000001</x:v>
      </x:c>
      <x:c r="R28" s="56" t="n">
        <x:f>'08_Premissas_Custos'!$B$17*M28*IF(I28="Sim",1.8,0.15)</x:f>
        <x:v>2.3249999999999997</x:v>
      </x:c>
      <x:c r="S28" s="56" t="n">
        <x:f>'08_Premissas_Custos'!$B$18*M28*(1+IF(I28="Sim",0.15)+IF(L28="Sim",0.10))</x:f>
        <x:v>31</x:v>
      </x:c>
      <x:c r="T28" s="56" t="n">
        <x:f>'08_Premissas_Custos'!$B$19*M28*(1+IF(J28="Sim",0.15))</x:f>
        <x:v>14.26</x:v>
      </x:c>
      <x:c r="U28" s="56" t="n">
        <x:f>'08_Premissas_Custos'!$B$20*M28*IF(K28="Sim",1.8,0.7)</x:f>
        <x:v>6.51</x:v>
      </x:c>
      <x:c r="V28" s="57" t="n">
        <x:f>SUM(N28:U28)</x:f>
        <x:v>290.93499999999995</x:v>
      </x:c>
      <x:c r="W28" s="57" t="n">
        <x:f>V28*(1-H28)*IF(E28="Fase 2",'08_Premissas_Custos'!$F$10,1)</x:f>
        <x:v>261.84149999999994</x:v>
      </x:c>
      <x:c r="X28" s="58" t="n">
        <x:f>(N28*'08_Premissas_Custos'!$C$13+O28*'08_Premissas_Custos'!$C$14+P28*'08_Premissas_Custos'!$C$15+Q28*'08_Premissas_Custos'!$C$16+R28*'08_Premissas_Custos'!$C$17+S28*'08_Premissas_Custos'!$C$18+T28*'08_Premissas_Custos'!$C$19+U28*'08_Premissas_Custos'!$C$20)*(1-H28)*IF(E28="Fase 2",'08_Premissas_Custos'!$F$10,1)</x:f>
        <x:v>59404.68</x:v>
      </x:c>
      <x:c r="Y28" s="58" t="n">
        <x:f>X28*'08_Premissas_Custos'!$F$7</x:f>
        <x:v>7128.5616</x:v>
      </x:c>
      <x:c r="Z28" s="58" t="n">
        <x:f>(X28+Y28)*'08_Premissas_Custos'!$F$6</x:f>
        <x:v>9979.986239999998</x:v>
      </x:c>
      <x:c r="AA28" s="58" t="n">
        <x:f>SUM(X28:Z28)</x:f>
        <x:v>76513.22783999999</x:v>
      </x:c>
      <x:c r="AB28" s="14" t="str">
        <x:v>Sinais</x:v>
      </x:c>
    </x:row>
    <x:row r="29">
      <x:c r="A29" s="14" t="n">
        <x:v>24</x:v>
      </x:c>
      <x:c r="B29" s="14" t="str">
        <x:v>COL</x:v>
      </x:c>
      <x:c r="C29" s="14" t="str">
        <x:v>Colaboradores / Meu Time</x:v>
      </x:c>
      <x:c r="D29" s="14" t="str">
        <x:v>Meu time</x:v>
      </x:c>
      <x:c r="E29" s="14" t="str">
        <x:v>MVP</x:v>
      </x:c>
      <x:c r="F29" s="14" t="str">
        <x:v>Alta</x:v>
      </x:c>
      <x:c r="G29" s="14" t="str"/>
      <x:c r="H29" s="54" t="n">
        <x:v>0</x:v>
      </x:c>
      <x:c r="I29" s="44" t="str">
        <x:v>Não</x:v>
      </x:c>
      <x:c r="J29" s="44" t="str">
        <x:v>Não</x:v>
      </x:c>
      <x:c r="K29" s="44" t="str">
        <x:v>Não</x:v>
      </x:c>
      <x:c r="L29" s="44" t="str">
        <x:v>Não</x:v>
      </x:c>
      <x:c r="M29" s="55" t="n">
        <x:f>IF(F29="Baixa",'08_Premissas_Custos'!$B$6,IF(F29="Média",'08_Premissas_Custos'!$B$7,IF(F29="Alta",'08_Premissas_Custos'!$B$8,'08_Premissas_Custos'!$B$9)))</x:f>
        <x:v>1.55</x:v>
      </x:c>
      <x:c r="N29" s="56" t="n">
        <x:f>'08_Premissas_Custos'!$B$13*M29</x:f>
        <x:v>34.1</x:v>
      </x:c>
      <x:c r="O29" s="56" t="n">
        <x:f>'08_Premissas_Custos'!$B$14*M29*(1+IF(L29="Sim",0.25,0))</x:f>
        <x:v>74.4</x:v>
      </x:c>
      <x:c r="P29" s="56" t="n">
        <x:f>'08_Premissas_Custos'!$B$15*M29*(1+IF(I29="Sim",0.20,0)+IF(K29="Sim",0.15,0))</x:f>
        <x:v>83.7</x:v>
      </x:c>
      <x:c r="Q29" s="56" t="n">
        <x:f>'08_Premissas_Custos'!$B$16*M29*IF(J29="Sim",1.6,0.55)</x:f>
        <x:v>15.345000000000002</x:v>
      </x:c>
      <x:c r="R29" s="56" t="n">
        <x:f>'08_Premissas_Custos'!$B$17*M29*IF(I29="Sim",1.8,0.15)</x:f>
        <x:v>2.3249999999999997</x:v>
      </x:c>
      <x:c r="S29" s="56" t="n">
        <x:f>'08_Premissas_Custos'!$B$18*M29*(1+IF(I29="Sim",0.15)+IF(L29="Sim",0.10))</x:f>
        <x:v>31</x:v>
      </x:c>
      <x:c r="T29" s="56" t="n">
        <x:f>'08_Premissas_Custos'!$B$19*M29*(1+IF(J29="Sim",0.15))</x:f>
        <x:v>12.4</x:v>
      </x:c>
      <x:c r="U29" s="56" t="n">
        <x:f>'08_Premissas_Custos'!$B$20*M29*IF(K29="Sim",1.8,0.7)</x:f>
        <x:v>6.51</x:v>
      </x:c>
      <x:c r="V29" s="57" t="n">
        <x:f>SUM(N29:U29)</x:f>
        <x:v>259.78</x:v>
      </x:c>
      <x:c r="W29" s="57" t="n">
        <x:f>V29*(1-H29)*IF(E29="Fase 2",'08_Premissas_Custos'!$F$10,1)</x:f>
        <x:v>259.78</x:v>
      </x:c>
      <x:c r="X29" s="58" t="n">
        <x:f>(N29*'08_Premissas_Custos'!$C$13+O29*'08_Premissas_Custos'!$C$14+P29*'08_Premissas_Custos'!$C$15+Q29*'08_Premissas_Custos'!$C$16+R29*'08_Premissas_Custos'!$C$17+S29*'08_Premissas_Custos'!$C$18+T29*'08_Premissas_Custos'!$C$19+U29*'08_Premissas_Custos'!$C$20)*(1-H29)*IF(E29="Fase 2",'08_Premissas_Custos'!$F$10,1)</x:f>
        <x:v>57904.899999999994</x:v>
      </x:c>
      <x:c r="Y29" s="58" t="n">
        <x:f>X29*'08_Premissas_Custos'!$F$7</x:f>
        <x:v>6948.587999999999</x:v>
      </x:c>
      <x:c r="Z29" s="58" t="n">
        <x:f>(X29+Y29)*'08_Premissas_Custos'!$F$6</x:f>
        <x:v>9728.023199999998</x:v>
      </x:c>
      <x:c r="AA29" s="58" t="n">
        <x:f>SUM(X29:Z29)</x:f>
        <x:v>74581.5112</x:v>
      </x:c>
      <x:c r="AB29" s="14" t="str">
        <x:v>Mapa</x:v>
      </x:c>
    </x:row>
    <x:row r="30">
      <x:c r="A30" s="14" t="n">
        <x:v>25</x:v>
      </x:c>
      <x:c r="B30" s="14" t="str">
        <x:v>COL</x:v>
      </x:c>
      <x:c r="C30" s="14" t="str">
        <x:v>Colaboradores / Meu Time</x:v>
      </x:c>
      <x:c r="D30" s="14" t="str">
        <x:v>Perfil do colaborador</x:v>
      </x:c>
      <x:c r="E30" s="14" t="str">
        <x:v>MVP</x:v>
      </x:c>
      <x:c r="F30" s="14" t="str">
        <x:v>Média</x:v>
      </x:c>
      <x:c r="G30" s="14" t="str">
        <x:v>Perfil do colaborador</x:v>
      </x:c>
      <x:c r="H30" s="54" t="n">
        <x:v>0.45</x:v>
      </x:c>
      <x:c r="I30" s="44" t="str">
        <x:v>Não</x:v>
      </x:c>
      <x:c r="J30" s="44" t="str">
        <x:v>Não</x:v>
      </x:c>
      <x:c r="K30" s="44" t="str">
        <x:v>Não</x:v>
      </x:c>
      <x:c r="L30" s="44" t="str">
        <x:v>Não</x:v>
      </x:c>
      <x:c r="M30" s="55" t="n">
        <x:f>IF(F30="Baixa",'08_Premissas_Custos'!$B$6,IF(F30="Média",'08_Premissas_Custos'!$B$7,IF(F30="Alta",'08_Premissas_Custos'!$B$8,'08_Premissas_Custos'!$B$9)))</x:f>
        <x:v>1</x:v>
      </x:c>
      <x:c r="N30" s="56" t="n">
        <x:f>'08_Premissas_Custos'!$B$13*M30</x:f>
        <x:v>22</x:v>
      </x:c>
      <x:c r="O30" s="56" t="n">
        <x:f>'08_Premissas_Custos'!$B$14*M30*(1+IF(L30="Sim",0.25,0))</x:f>
        <x:v>48</x:v>
      </x:c>
      <x:c r="P30" s="56" t="n">
        <x:f>'08_Premissas_Custos'!$B$15*M30*(1+IF(I30="Sim",0.20,0)+IF(K30="Sim",0.15,0))</x:f>
        <x:v>54</x:v>
      </x:c>
      <x:c r="Q30" s="56" t="n">
        <x:f>'08_Premissas_Custos'!$B$16*M30*IF(J30="Sim",1.6,0.55)</x:f>
        <x:v>9.9</x:v>
      </x:c>
      <x:c r="R30" s="56" t="n">
        <x:f>'08_Premissas_Custos'!$B$17*M30*IF(I30="Sim",1.8,0.15)</x:f>
        <x:v>1.5</x:v>
      </x:c>
      <x:c r="S30" s="56" t="n">
        <x:f>'08_Premissas_Custos'!$B$18*M30*(1+IF(I30="Sim",0.15)+IF(L30="Sim",0.10))</x:f>
        <x:v>20</x:v>
      </x:c>
      <x:c r="T30" s="56" t="n">
        <x:f>'08_Premissas_Custos'!$B$19*M30*(1+IF(J30="Sim",0.15))</x:f>
        <x:v>8</x:v>
      </x:c>
      <x:c r="U30" s="56" t="n">
        <x:f>'08_Premissas_Custos'!$B$20*M30*IF(K30="Sim",1.8,0.7)</x:f>
        <x:v>4.199999999999999</x:v>
      </x:c>
      <x:c r="V30" s="57" t="n">
        <x:f>SUM(N30:U30)</x:f>
        <x:v>167.6</x:v>
      </x:c>
      <x:c r="W30" s="57" t="n">
        <x:f>V30*(1-H30)*IF(E30="Fase 2",'08_Premissas_Custos'!$F$10,1)</x:f>
        <x:v>92.18</x:v>
      </x:c>
      <x:c r="X30" s="58" t="n">
        <x:f>(N30*'08_Premissas_Custos'!$C$13+O30*'08_Premissas_Custos'!$C$14+P30*'08_Premissas_Custos'!$C$15+Q30*'08_Premissas_Custos'!$C$16+R30*'08_Premissas_Custos'!$C$17+S30*'08_Premissas_Custos'!$C$18+T30*'08_Premissas_Custos'!$C$19+U30*'08_Premissas_Custos'!$C$20)*(1-H30)*IF(E30="Fase 2",'08_Premissas_Custos'!$F$10,1)</x:f>
        <x:v>20546.9</x:v>
      </x:c>
      <x:c r="Y30" s="58" t="n">
        <x:f>X30*'08_Premissas_Custos'!$F$7</x:f>
        <x:v>2465.628</x:v>
      </x:c>
      <x:c r="Z30" s="58" t="n">
        <x:f>(X30+Y30)*'08_Premissas_Custos'!$F$6</x:f>
        <x:v>3451.8792000000003</x:v>
      </x:c>
      <x:c r="AA30" s="58" t="n">
        <x:f>SUM(X30:Z30)</x:f>
        <x:v>26464.4072</x:v>
      </x:c>
      <x:c r="AB30" s="14" t="str">
        <x:v>360</x:v>
      </x:c>
    </x:row>
    <x:row r="31">
      <x:c r="A31" s="14" t="n">
        <x:v>26</x:v>
      </x:c>
      <x:c r="B31" s="14" t="str">
        <x:v>COL</x:v>
      </x:c>
      <x:c r="C31" s="14" t="str">
        <x:v>Colaboradores / Meu Time</x:v>
      </x:c>
      <x:c r="D31" s="14" t="str">
        <x:v>Objetivos e combinados</x:v>
      </x:c>
      <x:c r="E31" s="14" t="str">
        <x:v>MVP</x:v>
      </x:c>
      <x:c r="F31" s="14" t="str">
        <x:v>Média</x:v>
      </x:c>
      <x:c r="G31" s="14" t="str"/>
      <x:c r="H31" s="54" t="n">
        <x:v>0</x:v>
      </x:c>
      <x:c r="I31" s="44" t="str">
        <x:v>Não</x:v>
      </x:c>
      <x:c r="J31" s="44" t="str">
        <x:v>Não</x:v>
      </x:c>
      <x:c r="K31" s="44" t="str">
        <x:v>Não</x:v>
      </x:c>
      <x:c r="L31" s="44" t="str">
        <x:v>Não</x:v>
      </x:c>
      <x:c r="M31" s="55" t="n">
        <x:f>IF(F31="Baixa",'08_Premissas_Custos'!$B$6,IF(F31="Média",'08_Premissas_Custos'!$B$7,IF(F31="Alta",'08_Premissas_Custos'!$B$8,'08_Premissas_Custos'!$B$9)))</x:f>
        <x:v>1</x:v>
      </x:c>
      <x:c r="N31" s="56" t="n">
        <x:f>'08_Premissas_Custos'!$B$13*M31</x:f>
        <x:v>22</x:v>
      </x:c>
      <x:c r="O31" s="56" t="n">
        <x:f>'08_Premissas_Custos'!$B$14*M31*(1+IF(L31="Sim",0.25,0))</x:f>
        <x:v>48</x:v>
      </x:c>
      <x:c r="P31" s="56" t="n">
        <x:f>'08_Premissas_Custos'!$B$15*M31*(1+IF(I31="Sim",0.20,0)+IF(K31="Sim",0.15,0))</x:f>
        <x:v>54</x:v>
      </x:c>
      <x:c r="Q31" s="56" t="n">
        <x:f>'08_Premissas_Custos'!$B$16*M31*IF(J31="Sim",1.6,0.55)</x:f>
        <x:v>9.9</x:v>
      </x:c>
      <x:c r="R31" s="56" t="n">
        <x:f>'08_Premissas_Custos'!$B$17*M31*IF(I31="Sim",1.8,0.15)</x:f>
        <x:v>1.5</x:v>
      </x:c>
      <x:c r="S31" s="56" t="n">
        <x:f>'08_Premissas_Custos'!$B$18*M31*(1+IF(I31="Sim",0.15)+IF(L31="Sim",0.10))</x:f>
        <x:v>20</x:v>
      </x:c>
      <x:c r="T31" s="56" t="n">
        <x:f>'08_Premissas_Custos'!$B$19*M31*(1+IF(J31="Sim",0.15))</x:f>
        <x:v>8</x:v>
      </x:c>
      <x:c r="U31" s="56" t="n">
        <x:f>'08_Premissas_Custos'!$B$20*M31*IF(K31="Sim",1.8,0.7)</x:f>
        <x:v>4.199999999999999</x:v>
      </x:c>
      <x:c r="V31" s="57" t="n">
        <x:f>SUM(N31:U31)</x:f>
        <x:v>167.6</x:v>
      </x:c>
      <x:c r="W31" s="57" t="n">
        <x:f>V31*(1-H31)*IF(E31="Fase 2",'08_Premissas_Custos'!$F$10,1)</x:f>
        <x:v>167.6</x:v>
      </x:c>
      <x:c r="X31" s="58" t="n">
        <x:f>(N31*'08_Premissas_Custos'!$C$13+O31*'08_Premissas_Custos'!$C$14+P31*'08_Premissas_Custos'!$C$15+Q31*'08_Premissas_Custos'!$C$16+R31*'08_Premissas_Custos'!$C$17+S31*'08_Premissas_Custos'!$C$18+T31*'08_Premissas_Custos'!$C$19+U31*'08_Premissas_Custos'!$C$20)*(1-H31)*IF(E31="Fase 2",'08_Premissas_Custos'!$F$10,1)</x:f>
        <x:v>37358</x:v>
      </x:c>
      <x:c r="Y31" s="58" t="n">
        <x:f>X31*'08_Premissas_Custos'!$F$7</x:f>
        <x:v>4482.96</x:v>
      </x:c>
      <x:c r="Z31" s="58" t="n">
        <x:f>(X31+Y31)*'08_Premissas_Custos'!$F$6</x:f>
        <x:v>6276.143999999999</x:v>
      </x:c>
      <x:c r="AA31" s="58" t="n">
        <x:f>SUM(X31:Z31)</x:f>
        <x:v>48117.104</x:v>
      </x:c>
      <x:c r="AB31" s="14" t="str">
        <x:v>Metas</x:v>
      </x:c>
    </x:row>
    <x:row r="32">
      <x:c r="A32" s="14" t="n">
        <x:v>27</x:v>
      </x:c>
      <x:c r="B32" s="14" t="str">
        <x:v>COL</x:v>
      </x:c>
      <x:c r="C32" s="14" t="str">
        <x:v>Colaboradores / Meu Time</x:v>
      </x:c>
      <x:c r="D32" s="14" t="str">
        <x:v>Competências</x:v>
      </x:c>
      <x:c r="E32" s="14" t="str">
        <x:v>MVP</x:v>
      </x:c>
      <x:c r="F32" s="14" t="str">
        <x:v>Média</x:v>
      </x:c>
      <x:c r="G32" s="14" t="str"/>
      <x:c r="H32" s="54" t="n">
        <x:v>0</x:v>
      </x:c>
      <x:c r="I32" s="44" t="str">
        <x:v>Não</x:v>
      </x:c>
      <x:c r="J32" s="44" t="str">
        <x:v>Não</x:v>
      </x:c>
      <x:c r="K32" s="44" t="str">
        <x:v>Não</x:v>
      </x:c>
      <x:c r="L32" s="44" t="str">
        <x:v>Não</x:v>
      </x:c>
      <x:c r="M32" s="55" t="n">
        <x:f>IF(F32="Baixa",'08_Premissas_Custos'!$B$6,IF(F32="Média",'08_Premissas_Custos'!$B$7,IF(F32="Alta",'08_Premissas_Custos'!$B$8,'08_Premissas_Custos'!$B$9)))</x:f>
        <x:v>1</x:v>
      </x:c>
      <x:c r="N32" s="56" t="n">
        <x:f>'08_Premissas_Custos'!$B$13*M32</x:f>
        <x:v>22</x:v>
      </x:c>
      <x:c r="O32" s="56" t="n">
        <x:f>'08_Premissas_Custos'!$B$14*M32*(1+IF(L32="Sim",0.25,0))</x:f>
        <x:v>48</x:v>
      </x:c>
      <x:c r="P32" s="56" t="n">
        <x:f>'08_Premissas_Custos'!$B$15*M32*(1+IF(I32="Sim",0.20,0)+IF(K32="Sim",0.15,0))</x:f>
        <x:v>54</x:v>
      </x:c>
      <x:c r="Q32" s="56" t="n">
        <x:f>'08_Premissas_Custos'!$B$16*M32*IF(J32="Sim",1.6,0.55)</x:f>
        <x:v>9.9</x:v>
      </x:c>
      <x:c r="R32" s="56" t="n">
        <x:f>'08_Premissas_Custos'!$B$17*M32*IF(I32="Sim",1.8,0.15)</x:f>
        <x:v>1.5</x:v>
      </x:c>
      <x:c r="S32" s="56" t="n">
        <x:f>'08_Premissas_Custos'!$B$18*M32*(1+IF(I32="Sim",0.15)+IF(L32="Sim",0.10))</x:f>
        <x:v>20</x:v>
      </x:c>
      <x:c r="T32" s="56" t="n">
        <x:f>'08_Premissas_Custos'!$B$19*M32*(1+IF(J32="Sim",0.15))</x:f>
        <x:v>8</x:v>
      </x:c>
      <x:c r="U32" s="56" t="n">
        <x:f>'08_Premissas_Custos'!$B$20*M32*IF(K32="Sim",1.8,0.7)</x:f>
        <x:v>4.199999999999999</x:v>
      </x:c>
      <x:c r="V32" s="57" t="n">
        <x:f>SUM(N32:U32)</x:f>
        <x:v>167.6</x:v>
      </x:c>
      <x:c r="W32" s="57" t="n">
        <x:f>V32*(1-H32)*IF(E32="Fase 2",'08_Premissas_Custos'!$F$10,1)</x:f>
        <x:v>167.6</x:v>
      </x:c>
      <x:c r="X32" s="58" t="n">
        <x:f>(N32*'08_Premissas_Custos'!$C$13+O32*'08_Premissas_Custos'!$C$14+P32*'08_Premissas_Custos'!$C$15+Q32*'08_Premissas_Custos'!$C$16+R32*'08_Premissas_Custos'!$C$17+S32*'08_Premissas_Custos'!$C$18+T32*'08_Premissas_Custos'!$C$19+U32*'08_Premissas_Custos'!$C$20)*(1-H32)*IF(E32="Fase 2",'08_Premissas_Custos'!$F$10,1)</x:f>
        <x:v>37358</x:v>
      </x:c>
      <x:c r="Y32" s="58" t="n">
        <x:f>X32*'08_Premissas_Custos'!$F$7</x:f>
        <x:v>4482.96</x:v>
      </x:c>
      <x:c r="Z32" s="58" t="n">
        <x:f>(X32+Y32)*'08_Premissas_Custos'!$F$6</x:f>
        <x:v>6276.143999999999</x:v>
      </x:c>
      <x:c r="AA32" s="58" t="n">
        <x:f>SUM(X32:Z32)</x:f>
        <x:v>48117.104</x:v>
      </x:c>
      <x:c r="AB32" s="14" t="str">
        <x:v>Skills</x:v>
      </x:c>
    </x:row>
    <x:row r="33">
      <x:c r="A33" s="14" t="n">
        <x:v>28</x:v>
      </x:c>
      <x:c r="B33" s="14" t="str">
        <x:v>COL</x:v>
      </x:c>
      <x:c r="C33" s="14" t="str">
        <x:v>Colaboradores / Meu Time</x:v>
      </x:c>
      <x:c r="D33" s="14" t="str">
        <x:v>Feedbacks / check-ins</x:v>
      </x:c>
      <x:c r="E33" s="14" t="str">
        <x:v>MVP</x:v>
      </x:c>
      <x:c r="F33" s="14" t="str">
        <x:v>Média</x:v>
      </x:c>
      <x:c r="G33" s="14" t="str"/>
      <x:c r="H33" s="54" t="n">
        <x:v>0</x:v>
      </x:c>
      <x:c r="I33" s="44" t="str">
        <x:v>Não</x:v>
      </x:c>
      <x:c r="J33" s="44" t="str">
        <x:v>Não</x:v>
      </x:c>
      <x:c r="K33" s="44" t="str">
        <x:v>Não</x:v>
      </x:c>
      <x:c r="L33" s="44" t="str">
        <x:v>Sim</x:v>
      </x:c>
      <x:c r="M33" s="55" t="n">
        <x:f>IF(F33="Baixa",'08_Premissas_Custos'!$B$6,IF(F33="Média",'08_Premissas_Custos'!$B$7,IF(F33="Alta",'08_Premissas_Custos'!$B$8,'08_Premissas_Custos'!$B$9)))</x:f>
        <x:v>1</x:v>
      </x:c>
      <x:c r="N33" s="56" t="n">
        <x:f>'08_Premissas_Custos'!$B$13*M33</x:f>
        <x:v>22</x:v>
      </x:c>
      <x:c r="O33" s="56" t="n">
        <x:f>'08_Premissas_Custos'!$B$14*M33*(1+IF(L33="Sim",0.25,0))</x:f>
        <x:v>60</x:v>
      </x:c>
      <x:c r="P33" s="56" t="n">
        <x:f>'08_Premissas_Custos'!$B$15*M33*(1+IF(I33="Sim",0.20,0)+IF(K33="Sim",0.15,0))</x:f>
        <x:v>54</x:v>
      </x:c>
      <x:c r="Q33" s="56" t="n">
        <x:f>'08_Premissas_Custos'!$B$16*M33*IF(J33="Sim",1.6,0.55)</x:f>
        <x:v>9.9</x:v>
      </x:c>
      <x:c r="R33" s="56" t="n">
        <x:f>'08_Premissas_Custos'!$B$17*M33*IF(I33="Sim",1.8,0.15)</x:f>
        <x:v>1.5</x:v>
      </x:c>
      <x:c r="S33" s="56" t="n">
        <x:f>'08_Premissas_Custos'!$B$18*M33*(1+IF(I33="Sim",0.15)+IF(L33="Sim",0.10))</x:f>
        <x:v>22</x:v>
      </x:c>
      <x:c r="T33" s="56" t="n">
        <x:f>'08_Premissas_Custos'!$B$19*M33*(1+IF(J33="Sim",0.15))</x:f>
        <x:v>8</x:v>
      </x:c>
      <x:c r="U33" s="56" t="n">
        <x:f>'08_Premissas_Custos'!$B$20*M33*IF(K33="Sim",1.8,0.7)</x:f>
        <x:v>4.199999999999999</x:v>
      </x:c>
      <x:c r="V33" s="57" t="n">
        <x:f>SUM(N33:U33)</x:f>
        <x:v>181.6</x:v>
      </x:c>
      <x:c r="W33" s="57" t="n">
        <x:f>V33*(1-H33)*IF(E33="Fase 2",'08_Premissas_Custos'!$F$10,1)</x:f>
        <x:v>181.6</x:v>
      </x:c>
      <x:c r="X33" s="58" t="n">
        <x:f>(N33*'08_Premissas_Custos'!$C$13+O33*'08_Premissas_Custos'!$C$14+P33*'08_Premissas_Custos'!$C$15+Q33*'08_Premissas_Custos'!$C$16+R33*'08_Premissas_Custos'!$C$17+S33*'08_Premissas_Custos'!$C$18+T33*'08_Premissas_Custos'!$C$19+U33*'08_Premissas_Custos'!$C$20)*(1-H33)*IF(E33="Fase 2",'08_Premissas_Custos'!$F$10,1)</x:f>
        <x:v>40338</x:v>
      </x:c>
      <x:c r="Y33" s="58" t="n">
        <x:f>X33*'08_Premissas_Custos'!$F$7</x:f>
        <x:v>4840.5599999999995</x:v>
      </x:c>
      <x:c r="Z33" s="58" t="n">
        <x:f>(X33+Y33)*'08_Premissas_Custos'!$F$6</x:f>
        <x:v>6776.784</x:v>
      </x:c>
      <x:c r="AA33" s="58" t="n">
        <x:f>SUM(X33:Z33)</x:f>
        <x:v>51955.344</x:v>
      </x:c>
      <x:c r="AB33" s="14" t="str">
        <x:v>Ciclo</x:v>
      </x:c>
    </x:row>
    <x:row r="34">
      <x:c r="A34" s="14" t="n">
        <x:v>29</x:v>
      </x:c>
      <x:c r="B34" s="14" t="str">
        <x:v>COL</x:v>
      </x:c>
      <x:c r="C34" s="14" t="str">
        <x:v>Colaboradores / Meu Time</x:v>
      </x:c>
      <x:c r="D34" s="14" t="str">
        <x:v>Plano de desenvolvimento</x:v>
      </x:c>
      <x:c r="E34" s="14" t="str">
        <x:v>MVP</x:v>
      </x:c>
      <x:c r="F34" s="14" t="str">
        <x:v>Média</x:v>
      </x:c>
      <x:c r="G34" s="14" t="str">
        <x:v>Plano de desenvolvimento</x:v>
      </x:c>
      <x:c r="H34" s="54" t="n">
        <x:v>0.45</x:v>
      </x:c>
      <x:c r="I34" s="44" t="str">
        <x:v>Não</x:v>
      </x:c>
      <x:c r="J34" s="44" t="str">
        <x:v>Não</x:v>
      </x:c>
      <x:c r="K34" s="44" t="str">
        <x:v>Não</x:v>
      </x:c>
      <x:c r="L34" s="44" t="str">
        <x:v>Não</x:v>
      </x:c>
      <x:c r="M34" s="55" t="n">
        <x:f>IF(F34="Baixa",'08_Premissas_Custos'!$B$6,IF(F34="Média",'08_Premissas_Custos'!$B$7,IF(F34="Alta",'08_Premissas_Custos'!$B$8,'08_Premissas_Custos'!$B$9)))</x:f>
        <x:v>1</x:v>
      </x:c>
      <x:c r="N34" s="56" t="n">
        <x:f>'08_Premissas_Custos'!$B$13*M34</x:f>
        <x:v>22</x:v>
      </x:c>
      <x:c r="O34" s="56" t="n">
        <x:f>'08_Premissas_Custos'!$B$14*M34*(1+IF(L34="Sim",0.25,0))</x:f>
        <x:v>48</x:v>
      </x:c>
      <x:c r="P34" s="56" t="n">
        <x:f>'08_Premissas_Custos'!$B$15*M34*(1+IF(I34="Sim",0.20,0)+IF(K34="Sim",0.15,0))</x:f>
        <x:v>54</x:v>
      </x:c>
      <x:c r="Q34" s="56" t="n">
        <x:f>'08_Premissas_Custos'!$B$16*M34*IF(J34="Sim",1.6,0.55)</x:f>
        <x:v>9.9</x:v>
      </x:c>
      <x:c r="R34" s="56" t="n">
        <x:f>'08_Premissas_Custos'!$B$17*M34*IF(I34="Sim",1.8,0.15)</x:f>
        <x:v>1.5</x:v>
      </x:c>
      <x:c r="S34" s="56" t="n">
        <x:f>'08_Premissas_Custos'!$B$18*M34*(1+IF(I34="Sim",0.15)+IF(L34="Sim",0.10))</x:f>
        <x:v>20</x:v>
      </x:c>
      <x:c r="T34" s="56" t="n">
        <x:f>'08_Premissas_Custos'!$B$19*M34*(1+IF(J34="Sim",0.15))</x:f>
        <x:v>8</x:v>
      </x:c>
      <x:c r="U34" s="56" t="n">
        <x:f>'08_Premissas_Custos'!$B$20*M34*IF(K34="Sim",1.8,0.7)</x:f>
        <x:v>4.199999999999999</x:v>
      </x:c>
      <x:c r="V34" s="57" t="n">
        <x:f>SUM(N34:U34)</x:f>
        <x:v>167.6</x:v>
      </x:c>
      <x:c r="W34" s="57" t="n">
        <x:f>V34*(1-H34)*IF(E34="Fase 2",'08_Premissas_Custos'!$F$10,1)</x:f>
        <x:v>92.18</x:v>
      </x:c>
      <x:c r="X34" s="58" t="n">
        <x:f>(N34*'08_Premissas_Custos'!$C$13+O34*'08_Premissas_Custos'!$C$14+P34*'08_Premissas_Custos'!$C$15+Q34*'08_Premissas_Custos'!$C$16+R34*'08_Premissas_Custos'!$C$17+S34*'08_Premissas_Custos'!$C$18+T34*'08_Premissas_Custos'!$C$19+U34*'08_Premissas_Custos'!$C$20)*(1-H34)*IF(E34="Fase 2",'08_Premissas_Custos'!$F$10,1)</x:f>
        <x:v>20546.9</x:v>
      </x:c>
      <x:c r="Y34" s="58" t="n">
        <x:f>X34*'08_Premissas_Custos'!$F$7</x:f>
        <x:v>2465.628</x:v>
      </x:c>
      <x:c r="Z34" s="58" t="n">
        <x:f>(X34+Y34)*'08_Premissas_Custos'!$F$6</x:f>
        <x:v>3451.8792000000003</x:v>
      </x:c>
      <x:c r="AA34" s="58" t="n">
        <x:f>SUM(X34:Z34)</x:f>
        <x:v>26464.4072</x:v>
      </x:c>
      <x:c r="AB34" s="14" t="str">
        <x:v>PDI</x:v>
      </x:c>
    </x:row>
    <x:row r="35">
      <x:c r="A35" s="14" t="n">
        <x:v>30</x:v>
      </x:c>
      <x:c r="B35" s="14" t="str">
        <x:v>COL</x:v>
      </x:c>
      <x:c r="C35" s="14" t="str">
        <x:v>Colaboradores / Meu Time</x:v>
      </x:c>
      <x:c r="D35" s="14" t="str">
        <x:v>Mentorias</x:v>
      </x:c>
      <x:c r="E35" s="14" t="str">
        <x:v>Fase 2</x:v>
      </x:c>
      <x:c r="F35" s="14" t="str">
        <x:v>Média</x:v>
      </x:c>
      <x:c r="G35" s="14" t="str"/>
      <x:c r="H35" s="54" t="n">
        <x:v>0</x:v>
      </x:c>
      <x:c r="I35" s="44" t="str">
        <x:v>Não</x:v>
      </x:c>
      <x:c r="J35" s="44" t="str">
        <x:v>Não</x:v>
      </x:c>
      <x:c r="K35" s="44" t="str">
        <x:v>Não</x:v>
      </x:c>
      <x:c r="L35" s="44" t="str">
        <x:v>Não</x:v>
      </x:c>
      <x:c r="M35" s="55" t="n">
        <x:f>IF(F35="Baixa",'08_Premissas_Custos'!$B$6,IF(F35="Média",'08_Premissas_Custos'!$B$7,IF(F35="Alta",'08_Premissas_Custos'!$B$8,'08_Premissas_Custos'!$B$9)))</x:f>
        <x:v>1</x:v>
      </x:c>
      <x:c r="N35" s="56" t="n">
        <x:f>'08_Premissas_Custos'!$B$13*M35</x:f>
        <x:v>22</x:v>
      </x:c>
      <x:c r="O35" s="56" t="n">
        <x:f>'08_Premissas_Custos'!$B$14*M35*(1+IF(L35="Sim",0.25,0))</x:f>
        <x:v>48</x:v>
      </x:c>
      <x:c r="P35" s="56" t="n">
        <x:f>'08_Premissas_Custos'!$B$15*M35*(1+IF(I35="Sim",0.20,0)+IF(K35="Sim",0.15,0))</x:f>
        <x:v>54</x:v>
      </x:c>
      <x:c r="Q35" s="56" t="n">
        <x:f>'08_Premissas_Custos'!$B$16*M35*IF(J35="Sim",1.6,0.55)</x:f>
        <x:v>9.9</x:v>
      </x:c>
      <x:c r="R35" s="56" t="n">
        <x:f>'08_Premissas_Custos'!$B$17*M35*IF(I35="Sim",1.8,0.15)</x:f>
        <x:v>1.5</x:v>
      </x:c>
      <x:c r="S35" s="56" t="n">
        <x:f>'08_Premissas_Custos'!$B$18*M35*(1+IF(I35="Sim",0.15)+IF(L35="Sim",0.10))</x:f>
        <x:v>20</x:v>
      </x:c>
      <x:c r="T35" s="56" t="n">
        <x:f>'08_Premissas_Custos'!$B$19*M35*(1+IF(J35="Sim",0.15))</x:f>
        <x:v>8</x:v>
      </x:c>
      <x:c r="U35" s="56" t="n">
        <x:f>'08_Premissas_Custos'!$B$20*M35*IF(K35="Sim",1.8,0.7)</x:f>
        <x:v>4.199999999999999</x:v>
      </x:c>
      <x:c r="V35" s="57" t="n">
        <x:f>SUM(N35:U35)</x:f>
        <x:v>167.6</x:v>
      </x:c>
      <x:c r="W35" s="57" t="n">
        <x:f>V35*(1-H35)*IF(E35="Fase 2",'08_Premissas_Custos'!$F$10,1)</x:f>
        <x:v>150.84</x:v>
      </x:c>
      <x:c r="X35" s="58" t="n">
        <x:f>(N35*'08_Premissas_Custos'!$C$13+O35*'08_Premissas_Custos'!$C$14+P35*'08_Premissas_Custos'!$C$15+Q35*'08_Premissas_Custos'!$C$16+R35*'08_Premissas_Custos'!$C$17+S35*'08_Premissas_Custos'!$C$18+T35*'08_Premissas_Custos'!$C$19+U35*'08_Premissas_Custos'!$C$20)*(1-H35)*IF(E35="Fase 2",'08_Premissas_Custos'!$F$10,1)</x:f>
        <x:v>33622.200000000004</x:v>
      </x:c>
      <x:c r="Y35" s="58" t="n">
        <x:f>X35*'08_Premissas_Custos'!$F$7</x:f>
        <x:v>4034.664</x:v>
      </x:c>
      <x:c r="Z35" s="58" t="n">
        <x:f>(X35+Y35)*'08_Premissas_Custos'!$F$6</x:f>
        <x:v>5648.5296</x:v>
      </x:c>
      <x:c r="AA35" s="58" t="n">
        <x:f>SUM(X35:Z35)</x:f>
        <x:v>43305.3936</x:v>
      </x:c>
      <x:c r="AB35" s="14" t="str">
        <x:v>Matching</x:v>
      </x:c>
    </x:row>
    <x:row r="36">
      <x:c r="A36" s="14" t="n">
        <x:v>31</x:v>
      </x:c>
      <x:c r="B36" s="14" t="str">
        <x:v>COL</x:v>
      </x:c>
      <x:c r="C36" s="14" t="str">
        <x:v>Colaboradores / Meu Time</x:v>
      </x:c>
      <x:c r="D36" s="14" t="str">
        <x:v>Aprendizagem / trilhas</x:v>
      </x:c>
      <x:c r="E36" s="14" t="str">
        <x:v>Fase 2</x:v>
      </x:c>
      <x:c r="F36" s="14" t="str">
        <x:v>Média</x:v>
      </x:c>
      <x:c r="G36" s="14" t="str"/>
      <x:c r="H36" s="54" t="n">
        <x:v>0</x:v>
      </x:c>
      <x:c r="I36" s="44" t="str">
        <x:v>Não</x:v>
      </x:c>
      <x:c r="J36" s="44" t="str">
        <x:v>Não</x:v>
      </x:c>
      <x:c r="K36" s="44" t="str">
        <x:v>Não</x:v>
      </x:c>
      <x:c r="L36" s="44" t="str">
        <x:v>Não</x:v>
      </x:c>
      <x:c r="M36" s="55" t="n">
        <x:f>IF(F36="Baixa",'08_Premissas_Custos'!$B$6,IF(F36="Média",'08_Premissas_Custos'!$B$7,IF(F36="Alta",'08_Premissas_Custos'!$B$8,'08_Premissas_Custos'!$B$9)))</x:f>
        <x:v>1</x:v>
      </x:c>
      <x:c r="N36" s="56" t="n">
        <x:f>'08_Premissas_Custos'!$B$13*M36</x:f>
        <x:v>22</x:v>
      </x:c>
      <x:c r="O36" s="56" t="n">
        <x:f>'08_Premissas_Custos'!$B$14*M36*(1+IF(L36="Sim",0.25,0))</x:f>
        <x:v>48</x:v>
      </x:c>
      <x:c r="P36" s="56" t="n">
        <x:f>'08_Premissas_Custos'!$B$15*M36*(1+IF(I36="Sim",0.20,0)+IF(K36="Sim",0.15,0))</x:f>
        <x:v>54</x:v>
      </x:c>
      <x:c r="Q36" s="56" t="n">
        <x:f>'08_Premissas_Custos'!$B$16*M36*IF(J36="Sim",1.6,0.55)</x:f>
        <x:v>9.9</x:v>
      </x:c>
      <x:c r="R36" s="56" t="n">
        <x:f>'08_Premissas_Custos'!$B$17*M36*IF(I36="Sim",1.8,0.15)</x:f>
        <x:v>1.5</x:v>
      </x:c>
      <x:c r="S36" s="56" t="n">
        <x:f>'08_Premissas_Custos'!$B$18*M36*(1+IF(I36="Sim",0.15)+IF(L36="Sim",0.10))</x:f>
        <x:v>20</x:v>
      </x:c>
      <x:c r="T36" s="56" t="n">
        <x:f>'08_Premissas_Custos'!$B$19*M36*(1+IF(J36="Sim",0.15))</x:f>
        <x:v>8</x:v>
      </x:c>
      <x:c r="U36" s="56" t="n">
        <x:f>'08_Premissas_Custos'!$B$20*M36*IF(K36="Sim",1.8,0.7)</x:f>
        <x:v>4.199999999999999</x:v>
      </x:c>
      <x:c r="V36" s="57" t="n">
        <x:f>SUM(N36:U36)</x:f>
        <x:v>167.6</x:v>
      </x:c>
      <x:c r="W36" s="57" t="n">
        <x:f>V36*(1-H36)*IF(E36="Fase 2",'08_Premissas_Custos'!$F$10,1)</x:f>
        <x:v>150.84</x:v>
      </x:c>
      <x:c r="X36" s="58" t="n">
        <x:f>(N36*'08_Premissas_Custos'!$C$13+O36*'08_Premissas_Custos'!$C$14+P36*'08_Premissas_Custos'!$C$15+Q36*'08_Premissas_Custos'!$C$16+R36*'08_Premissas_Custos'!$C$17+S36*'08_Premissas_Custos'!$C$18+T36*'08_Premissas_Custos'!$C$19+U36*'08_Premissas_Custos'!$C$20)*(1-H36)*IF(E36="Fase 2",'08_Premissas_Custos'!$F$10,1)</x:f>
        <x:v>33622.200000000004</x:v>
      </x:c>
      <x:c r="Y36" s="58" t="n">
        <x:f>X36*'08_Premissas_Custos'!$F$7</x:f>
        <x:v>4034.664</x:v>
      </x:c>
      <x:c r="Z36" s="58" t="n">
        <x:f>(X36+Y36)*'08_Premissas_Custos'!$F$6</x:f>
        <x:v>5648.5296</x:v>
      </x:c>
      <x:c r="AA36" s="58" t="n">
        <x:f>SUM(X36:Z36)</x:f>
        <x:v>43305.3936</x:v>
      </x:c>
      <x:c r="AB36" s="14" t="str">
        <x:v>Conteúdo</x:v>
      </x:c>
    </x:row>
    <x:row r="37">
      <x:c r="A37" s="14" t="n">
        <x:v>32</x:v>
      </x:c>
      <x:c r="B37" s="14" t="str">
        <x:v>COL</x:v>
      </x:c>
      <x:c r="C37" s="14" t="str">
        <x:v>Colaboradores / Meu Time</x:v>
      </x:c>
      <x:c r="D37" s="14" t="str">
        <x:v>Talentos internos / mobilidade</x:v>
      </x:c>
      <x:c r="E37" s="14" t="str">
        <x:v>Fase 2</x:v>
      </x:c>
      <x:c r="F37" s="14" t="str">
        <x:v>Alta</x:v>
      </x:c>
      <x:c r="G37" s="14" t="str"/>
      <x:c r="H37" s="54" t="n">
        <x:v>0</x:v>
      </x:c>
      <x:c r="I37" s="44" t="str">
        <x:v>Não</x:v>
      </x:c>
      <x:c r="J37" s="44" t="str">
        <x:v>Não</x:v>
      </x:c>
      <x:c r="K37" s="44" t="str">
        <x:v>Não</x:v>
      </x:c>
      <x:c r="L37" s="44" t="str">
        <x:v>Não</x:v>
      </x:c>
      <x:c r="M37" s="55" t="n">
        <x:f>IF(F37="Baixa",'08_Premissas_Custos'!$B$6,IF(F37="Média",'08_Premissas_Custos'!$B$7,IF(F37="Alta",'08_Premissas_Custos'!$B$8,'08_Premissas_Custos'!$B$9)))</x:f>
        <x:v>1.55</x:v>
      </x:c>
      <x:c r="N37" s="56" t="n">
        <x:f>'08_Premissas_Custos'!$B$13*M37</x:f>
        <x:v>34.1</x:v>
      </x:c>
      <x:c r="O37" s="56" t="n">
        <x:f>'08_Premissas_Custos'!$B$14*M37*(1+IF(L37="Sim",0.25,0))</x:f>
        <x:v>74.4</x:v>
      </x:c>
      <x:c r="P37" s="56" t="n">
        <x:f>'08_Premissas_Custos'!$B$15*M37*(1+IF(I37="Sim",0.20,0)+IF(K37="Sim",0.15,0))</x:f>
        <x:v>83.7</x:v>
      </x:c>
      <x:c r="Q37" s="56" t="n">
        <x:f>'08_Premissas_Custos'!$B$16*M37*IF(J37="Sim",1.6,0.55)</x:f>
        <x:v>15.345000000000002</x:v>
      </x:c>
      <x:c r="R37" s="56" t="n">
        <x:f>'08_Premissas_Custos'!$B$17*M37*IF(I37="Sim",1.8,0.15)</x:f>
        <x:v>2.3249999999999997</x:v>
      </x:c>
      <x:c r="S37" s="56" t="n">
        <x:f>'08_Premissas_Custos'!$B$18*M37*(1+IF(I37="Sim",0.15)+IF(L37="Sim",0.10))</x:f>
        <x:v>31</x:v>
      </x:c>
      <x:c r="T37" s="56" t="n">
        <x:f>'08_Premissas_Custos'!$B$19*M37*(1+IF(J37="Sim",0.15))</x:f>
        <x:v>12.4</x:v>
      </x:c>
      <x:c r="U37" s="56" t="n">
        <x:f>'08_Premissas_Custos'!$B$20*M37*IF(K37="Sim",1.8,0.7)</x:f>
        <x:v>6.51</x:v>
      </x:c>
      <x:c r="V37" s="57" t="n">
        <x:f>SUM(N37:U37)</x:f>
        <x:v>259.78</x:v>
      </x:c>
      <x:c r="W37" s="57" t="n">
        <x:f>V37*(1-H37)*IF(E37="Fase 2",'08_Premissas_Custos'!$F$10,1)</x:f>
        <x:v>233.802</x:v>
      </x:c>
      <x:c r="X37" s="58" t="n">
        <x:f>(N37*'08_Premissas_Custos'!$C$13+O37*'08_Premissas_Custos'!$C$14+P37*'08_Premissas_Custos'!$C$15+Q37*'08_Premissas_Custos'!$C$16+R37*'08_Premissas_Custos'!$C$17+S37*'08_Premissas_Custos'!$C$18+T37*'08_Premissas_Custos'!$C$19+U37*'08_Premissas_Custos'!$C$20)*(1-H37)*IF(E37="Fase 2",'08_Premissas_Custos'!$F$10,1)</x:f>
        <x:v>52114.409999999996</x:v>
      </x:c>
      <x:c r="Y37" s="58" t="n">
        <x:f>X37*'08_Premissas_Custos'!$F$7</x:f>
        <x:v>6253.7292</x:v>
      </x:c>
      <x:c r="Z37" s="58" t="n">
        <x:f>(X37+Y37)*'08_Premissas_Custos'!$F$6</x:f>
        <x:v>8755.220879999999</x:v>
      </x:c>
      <x:c r="AA37" s="58" t="n">
        <x:f>SUM(X37:Z37)</x:f>
        <x:v>67123.36008</x:v>
      </x:c>
      <x:c r="AB37" s="14" t="str">
        <x:v>Oportunidades</x:v>
      </x:c>
    </x:row>
    <x:row r="38">
      <x:c r="A38" s="14" t="n">
        <x:v>33</x:v>
      </x:c>
      <x:c r="B38" s="14" t="str">
        <x:v>COL</x:v>
      </x:c>
      <x:c r="C38" s="14" t="str">
        <x:v>Colaboradores / Meu Time</x:v>
      </x:c>
      <x:c r="D38" s="14" t="str">
        <x:v>Sucessão</x:v>
      </x:c>
      <x:c r="E38" s="14" t="str">
        <x:v>Fase 2</x:v>
      </x:c>
      <x:c r="F38" s="14" t="str">
        <x:v>Alta</x:v>
      </x:c>
      <x:c r="G38" s="14" t="str"/>
      <x:c r="H38" s="54" t="n">
        <x:v>0</x:v>
      </x:c>
      <x:c r="I38" s="44" t="str">
        <x:v>Não</x:v>
      </x:c>
      <x:c r="J38" s="44" t="str">
        <x:v>Não</x:v>
      </x:c>
      <x:c r="K38" s="44" t="str">
        <x:v>Não</x:v>
      </x:c>
      <x:c r="L38" s="44" t="str">
        <x:v>Não</x:v>
      </x:c>
      <x:c r="M38" s="55" t="n">
        <x:f>IF(F38="Baixa",'08_Premissas_Custos'!$B$6,IF(F38="Média",'08_Premissas_Custos'!$B$7,IF(F38="Alta",'08_Premissas_Custos'!$B$8,'08_Premissas_Custos'!$B$9)))</x:f>
        <x:v>1.55</x:v>
      </x:c>
      <x:c r="N38" s="56" t="n">
        <x:f>'08_Premissas_Custos'!$B$13*M38</x:f>
        <x:v>34.1</x:v>
      </x:c>
      <x:c r="O38" s="56" t="n">
        <x:f>'08_Premissas_Custos'!$B$14*M38*(1+IF(L38="Sim",0.25,0))</x:f>
        <x:v>74.4</x:v>
      </x:c>
      <x:c r="P38" s="56" t="n">
        <x:f>'08_Premissas_Custos'!$B$15*M38*(1+IF(I38="Sim",0.20,0)+IF(K38="Sim",0.15,0))</x:f>
        <x:v>83.7</x:v>
      </x:c>
      <x:c r="Q38" s="56" t="n">
        <x:f>'08_Premissas_Custos'!$B$16*M38*IF(J38="Sim",1.6,0.55)</x:f>
        <x:v>15.345000000000002</x:v>
      </x:c>
      <x:c r="R38" s="56" t="n">
        <x:f>'08_Premissas_Custos'!$B$17*M38*IF(I38="Sim",1.8,0.15)</x:f>
        <x:v>2.3249999999999997</x:v>
      </x:c>
      <x:c r="S38" s="56" t="n">
        <x:f>'08_Premissas_Custos'!$B$18*M38*(1+IF(I38="Sim",0.15)+IF(L38="Sim",0.10))</x:f>
        <x:v>31</x:v>
      </x:c>
      <x:c r="T38" s="56" t="n">
        <x:f>'08_Premissas_Custos'!$B$19*M38*(1+IF(J38="Sim",0.15))</x:f>
        <x:v>12.4</x:v>
      </x:c>
      <x:c r="U38" s="56" t="n">
        <x:f>'08_Premissas_Custos'!$B$20*M38*IF(K38="Sim",1.8,0.7)</x:f>
        <x:v>6.51</x:v>
      </x:c>
      <x:c r="V38" s="57" t="n">
        <x:f>SUM(N38:U38)</x:f>
        <x:v>259.78</x:v>
      </x:c>
      <x:c r="W38" s="57" t="n">
        <x:f>V38*(1-H38)*IF(E38="Fase 2",'08_Premissas_Custos'!$F$10,1)</x:f>
        <x:v>233.802</x:v>
      </x:c>
      <x:c r="X38" s="58" t="n">
        <x:f>(N38*'08_Premissas_Custos'!$C$13+O38*'08_Premissas_Custos'!$C$14+P38*'08_Premissas_Custos'!$C$15+Q38*'08_Premissas_Custos'!$C$16+R38*'08_Premissas_Custos'!$C$17+S38*'08_Premissas_Custos'!$C$18+T38*'08_Premissas_Custos'!$C$19+U38*'08_Premissas_Custos'!$C$20)*(1-H38)*IF(E38="Fase 2",'08_Premissas_Custos'!$F$10,1)</x:f>
        <x:v>52114.409999999996</x:v>
      </x:c>
      <x:c r="Y38" s="58" t="n">
        <x:f>X38*'08_Premissas_Custos'!$F$7</x:f>
        <x:v>6253.7292</x:v>
      </x:c>
      <x:c r="Z38" s="58" t="n">
        <x:f>(X38+Y38)*'08_Premissas_Custos'!$F$6</x:f>
        <x:v>8755.220879999999</x:v>
      </x:c>
      <x:c r="AA38" s="58" t="n">
        <x:f>SUM(X38:Z38)</x:f>
        <x:v>67123.36008</x:v>
      </x:c>
      <x:c r="AB38" s="14" t="str">
        <x:v>Prontidão</x:v>
      </x:c>
    </x:row>
    <x:row r="39">
      <x:c r="A39" s="14" t="n">
        <x:v>34</x:v>
      </x:c>
      <x:c r="B39" s="14" t="str">
        <x:v>COL</x:v>
      </x:c>
      <x:c r="C39" s="14" t="str">
        <x:v>Colaboradores / Meu Time</x:v>
      </x:c>
      <x:c r="D39" s="14" t="str">
        <x:v>Saúde do time / alertas</x:v>
      </x:c>
      <x:c r="E39" s="14" t="str">
        <x:v>MVP</x:v>
      </x:c>
      <x:c r="F39" s="14" t="str">
        <x:v>Alta</x:v>
      </x:c>
      <x:c r="G39" s="14" t="str"/>
      <x:c r="H39" s="54" t="n">
        <x:v>0</x:v>
      </x:c>
      <x:c r="I39" s="44" t="str">
        <x:v>Não</x:v>
      </x:c>
      <x:c r="J39" s="44" t="str">
        <x:v>Sim</x:v>
      </x:c>
      <x:c r="K39" s="44" t="str">
        <x:v>Não</x:v>
      </x:c>
      <x:c r="L39" s="44" t="str">
        <x:v>Não</x:v>
      </x:c>
      <x:c r="M39" s="55" t="n">
        <x:f>IF(F39="Baixa",'08_Premissas_Custos'!$B$6,IF(F39="Média",'08_Premissas_Custos'!$B$7,IF(F39="Alta",'08_Premissas_Custos'!$B$8,'08_Premissas_Custos'!$B$9)))</x:f>
        <x:v>1.55</x:v>
      </x:c>
      <x:c r="N39" s="56" t="n">
        <x:f>'08_Premissas_Custos'!$B$13*M39</x:f>
        <x:v>34.1</x:v>
      </x:c>
      <x:c r="O39" s="56" t="n">
        <x:f>'08_Premissas_Custos'!$B$14*M39*(1+IF(L39="Sim",0.25,0))</x:f>
        <x:v>74.4</x:v>
      </x:c>
      <x:c r="P39" s="56" t="n">
        <x:f>'08_Premissas_Custos'!$B$15*M39*(1+IF(I39="Sim",0.20,0)+IF(K39="Sim",0.15,0))</x:f>
        <x:v>83.7</x:v>
      </x:c>
      <x:c r="Q39" s="56" t="n">
        <x:f>'08_Premissas_Custos'!$B$16*M39*IF(J39="Sim",1.6,0.55)</x:f>
        <x:v>44.64000000000001</x:v>
      </x:c>
      <x:c r="R39" s="56" t="n">
        <x:f>'08_Premissas_Custos'!$B$17*M39*IF(I39="Sim",1.8,0.15)</x:f>
        <x:v>2.3249999999999997</x:v>
      </x:c>
      <x:c r="S39" s="56" t="n">
        <x:f>'08_Premissas_Custos'!$B$18*M39*(1+IF(I39="Sim",0.15)+IF(L39="Sim",0.10))</x:f>
        <x:v>31</x:v>
      </x:c>
      <x:c r="T39" s="56" t="n">
        <x:f>'08_Premissas_Custos'!$B$19*M39*(1+IF(J39="Sim",0.15))</x:f>
        <x:v>14.26</x:v>
      </x:c>
      <x:c r="U39" s="56" t="n">
        <x:f>'08_Premissas_Custos'!$B$20*M39*IF(K39="Sim",1.8,0.7)</x:f>
        <x:v>6.51</x:v>
      </x:c>
      <x:c r="V39" s="57" t="n">
        <x:f>SUM(N39:U39)</x:f>
        <x:v>290.93499999999995</x:v>
      </x:c>
      <x:c r="W39" s="57" t="n">
        <x:f>V39*(1-H39)*IF(E39="Fase 2",'08_Premissas_Custos'!$F$10,1)</x:f>
        <x:v>290.93499999999995</x:v>
      </x:c>
      <x:c r="X39" s="58" t="n">
        <x:f>(N39*'08_Premissas_Custos'!$C$13+O39*'08_Premissas_Custos'!$C$14+P39*'08_Premissas_Custos'!$C$15+Q39*'08_Premissas_Custos'!$C$16+R39*'08_Premissas_Custos'!$C$17+S39*'08_Premissas_Custos'!$C$18+T39*'08_Premissas_Custos'!$C$19+U39*'08_Premissas_Custos'!$C$20)*(1-H39)*IF(E39="Fase 2",'08_Premissas_Custos'!$F$10,1)</x:f>
        <x:v>66005.2</x:v>
      </x:c>
      <x:c r="Y39" s="58" t="n">
        <x:f>X39*'08_Premissas_Custos'!$F$7</x:f>
        <x:v>7920.624</x:v>
      </x:c>
      <x:c r="Z39" s="58" t="n">
        <x:f>(X39+Y39)*'08_Premissas_Custos'!$F$6</x:f>
        <x:v>11088.873599999999</x:v>
      </x:c>
      <x:c r="AA39" s="58" t="n">
        <x:f>SUM(X39:Z39)</x:f>
        <x:v>85014.69759999998</x:v>
      </x:c>
      <x:c r="AB39" s="14" t="str">
        <x:v>Risco</x:v>
      </x:c>
    </x:row>
    <x:row r="40">
      <x:c r="A40" s="14" t="n">
        <x:v>35</x:v>
      </x:c>
      <x:c r="B40" s="14" t="str">
        <x:v>CAN</x:v>
      </x:c>
      <x:c r="C40" s="14" t="str">
        <x:v>Candidatos &amp; Carreira</x:v>
      </x:c>
      <x:c r="D40" s="14" t="str">
        <x:v>Perfil do candidato</x:v>
      </x:c>
      <x:c r="E40" s="14" t="str">
        <x:v>MVP</x:v>
      </x:c>
      <x:c r="F40" s="14" t="str">
        <x:v>Média</x:v>
      </x:c>
      <x:c r="G40" s="14" t="str">
        <x:v>Perfil do candidato</x:v>
      </x:c>
      <x:c r="H40" s="54" t="n">
        <x:v>0.45</x:v>
      </x:c>
      <x:c r="I40" s="44" t="str">
        <x:v>Não</x:v>
      </x:c>
      <x:c r="J40" s="44" t="str">
        <x:v>Não</x:v>
      </x:c>
      <x:c r="K40" s="44" t="str">
        <x:v>Não</x:v>
      </x:c>
      <x:c r="L40" s="44" t="str">
        <x:v>Sim</x:v>
      </x:c>
      <x:c r="M40" s="55" t="n">
        <x:f>IF(F40="Baixa",'08_Premissas_Custos'!$B$6,IF(F40="Média",'08_Premissas_Custos'!$B$7,IF(F40="Alta",'08_Premissas_Custos'!$B$8,'08_Premissas_Custos'!$B$9)))</x:f>
        <x:v>1</x:v>
      </x:c>
      <x:c r="N40" s="56" t="n">
        <x:f>'08_Premissas_Custos'!$B$13*M40</x:f>
        <x:v>22</x:v>
      </x:c>
      <x:c r="O40" s="56" t="n">
        <x:f>'08_Premissas_Custos'!$B$14*M40*(1+IF(L40="Sim",0.25,0))</x:f>
        <x:v>60</x:v>
      </x:c>
      <x:c r="P40" s="56" t="n">
        <x:f>'08_Premissas_Custos'!$B$15*M40*(1+IF(I40="Sim",0.20,0)+IF(K40="Sim",0.15,0))</x:f>
        <x:v>54</x:v>
      </x:c>
      <x:c r="Q40" s="56" t="n">
        <x:f>'08_Premissas_Custos'!$B$16*M40*IF(J40="Sim",1.6,0.55)</x:f>
        <x:v>9.9</x:v>
      </x:c>
      <x:c r="R40" s="56" t="n">
        <x:f>'08_Premissas_Custos'!$B$17*M40*IF(I40="Sim",1.8,0.15)</x:f>
        <x:v>1.5</x:v>
      </x:c>
      <x:c r="S40" s="56" t="n">
        <x:f>'08_Premissas_Custos'!$B$18*M40*(1+IF(I40="Sim",0.15)+IF(L40="Sim",0.10))</x:f>
        <x:v>22</x:v>
      </x:c>
      <x:c r="T40" s="56" t="n">
        <x:f>'08_Premissas_Custos'!$B$19*M40*(1+IF(J40="Sim",0.15))</x:f>
        <x:v>8</x:v>
      </x:c>
      <x:c r="U40" s="56" t="n">
        <x:f>'08_Premissas_Custos'!$B$20*M40*IF(K40="Sim",1.8,0.7)</x:f>
        <x:v>4.199999999999999</x:v>
      </x:c>
      <x:c r="V40" s="57" t="n">
        <x:f>SUM(N40:U40)</x:f>
        <x:v>181.6</x:v>
      </x:c>
      <x:c r="W40" s="57" t="n">
        <x:f>V40*(1-H40)*IF(E40="Fase 2",'08_Premissas_Custos'!$F$10,1)</x:f>
        <x:v>99.88000000000001</x:v>
      </x:c>
      <x:c r="X40" s="58" t="n">
        <x:f>(N40*'08_Premissas_Custos'!$C$13+O40*'08_Premissas_Custos'!$C$14+P40*'08_Premissas_Custos'!$C$15+Q40*'08_Premissas_Custos'!$C$16+R40*'08_Premissas_Custos'!$C$17+S40*'08_Premissas_Custos'!$C$18+T40*'08_Premissas_Custos'!$C$19+U40*'08_Premissas_Custos'!$C$20)*(1-H40)*IF(E40="Fase 2",'08_Premissas_Custos'!$F$10,1)</x:f>
        <x:v>22185.9</x:v>
      </x:c>
      <x:c r="Y40" s="58" t="n">
        <x:f>X40*'08_Premissas_Custos'!$F$7</x:f>
        <x:v>2662.308</x:v>
      </x:c>
      <x:c r="Z40" s="58" t="n">
        <x:f>(X40+Y40)*'08_Premissas_Custos'!$F$6</x:f>
        <x:v>3727.2312</x:v>
      </x:c>
      <x:c r="AA40" s="58" t="n">
        <x:f>SUM(X40:Z40)</x:f>
        <x:v>28575.4392</x:v>
      </x:c>
      <x:c r="AB40" s="14" t="str">
        <x:v>Perfil</x:v>
      </x:c>
    </x:row>
    <x:row r="41">
      <x:c r="A41" s="14" t="n">
        <x:v>36</x:v>
      </x:c>
      <x:c r="B41" s="14" t="str">
        <x:v>CAN</x:v>
      </x:c>
      <x:c r="C41" s="14" t="str">
        <x:v>Candidatos &amp; Carreira</x:v>
      </x:c>
      <x:c r="D41" s="14" t="str">
        <x:v>Currículo / portfólio</x:v>
      </x:c>
      <x:c r="E41" s="14" t="str">
        <x:v>MVP</x:v>
      </x:c>
      <x:c r="F41" s="14" t="str">
        <x:v>Média</x:v>
      </x:c>
      <x:c r="G41" s="14" t="str"/>
      <x:c r="H41" s="54" t="n">
        <x:v>0</x:v>
      </x:c>
      <x:c r="I41" s="44" t="str">
        <x:v>Não</x:v>
      </x:c>
      <x:c r="J41" s="44" t="str">
        <x:v>Não</x:v>
      </x:c>
      <x:c r="K41" s="44" t="str">
        <x:v>Não</x:v>
      </x:c>
      <x:c r="L41" s="44" t="str">
        <x:v>Sim</x:v>
      </x:c>
      <x:c r="M41" s="55" t="n">
        <x:f>IF(F41="Baixa",'08_Premissas_Custos'!$B$6,IF(F41="Média",'08_Premissas_Custos'!$B$7,IF(F41="Alta",'08_Premissas_Custos'!$B$8,'08_Premissas_Custos'!$B$9)))</x:f>
        <x:v>1</x:v>
      </x:c>
      <x:c r="N41" s="56" t="n">
        <x:f>'08_Premissas_Custos'!$B$13*M41</x:f>
        <x:v>22</x:v>
      </x:c>
      <x:c r="O41" s="56" t="n">
        <x:f>'08_Premissas_Custos'!$B$14*M41*(1+IF(L41="Sim",0.25,0))</x:f>
        <x:v>60</x:v>
      </x:c>
      <x:c r="P41" s="56" t="n">
        <x:f>'08_Premissas_Custos'!$B$15*M41*(1+IF(I41="Sim",0.20,0)+IF(K41="Sim",0.15,0))</x:f>
        <x:v>54</x:v>
      </x:c>
      <x:c r="Q41" s="56" t="n">
        <x:f>'08_Premissas_Custos'!$B$16*M41*IF(J41="Sim",1.6,0.55)</x:f>
        <x:v>9.9</x:v>
      </x:c>
      <x:c r="R41" s="56" t="n">
        <x:f>'08_Premissas_Custos'!$B$17*M41*IF(I41="Sim",1.8,0.15)</x:f>
        <x:v>1.5</x:v>
      </x:c>
      <x:c r="S41" s="56" t="n">
        <x:f>'08_Premissas_Custos'!$B$18*M41*(1+IF(I41="Sim",0.15)+IF(L41="Sim",0.10))</x:f>
        <x:v>22</x:v>
      </x:c>
      <x:c r="T41" s="56" t="n">
        <x:f>'08_Premissas_Custos'!$B$19*M41*(1+IF(J41="Sim",0.15))</x:f>
        <x:v>8</x:v>
      </x:c>
      <x:c r="U41" s="56" t="n">
        <x:f>'08_Premissas_Custos'!$B$20*M41*IF(K41="Sim",1.8,0.7)</x:f>
        <x:v>4.199999999999999</x:v>
      </x:c>
      <x:c r="V41" s="57" t="n">
        <x:f>SUM(N41:U41)</x:f>
        <x:v>181.6</x:v>
      </x:c>
      <x:c r="W41" s="57" t="n">
        <x:f>V41*(1-H41)*IF(E41="Fase 2",'08_Premissas_Custos'!$F$10,1)</x:f>
        <x:v>181.6</x:v>
      </x:c>
      <x:c r="X41" s="58" t="n">
        <x:f>(N41*'08_Premissas_Custos'!$C$13+O41*'08_Premissas_Custos'!$C$14+P41*'08_Premissas_Custos'!$C$15+Q41*'08_Premissas_Custos'!$C$16+R41*'08_Premissas_Custos'!$C$17+S41*'08_Premissas_Custos'!$C$18+T41*'08_Premissas_Custos'!$C$19+U41*'08_Premissas_Custos'!$C$20)*(1-H41)*IF(E41="Fase 2",'08_Premissas_Custos'!$F$10,1)</x:f>
        <x:v>40338</x:v>
      </x:c>
      <x:c r="Y41" s="58" t="n">
        <x:f>X41*'08_Premissas_Custos'!$F$7</x:f>
        <x:v>4840.5599999999995</x:v>
      </x:c>
      <x:c r="Z41" s="58" t="n">
        <x:f>(X41+Y41)*'08_Premissas_Custos'!$F$6</x:f>
        <x:v>6776.784</x:v>
      </x:c>
      <x:c r="AA41" s="58" t="n">
        <x:f>SUM(X41:Z41)</x:f>
        <x:v>51955.344</x:v>
      </x:c>
      <x:c r="AB41" s="14" t="str">
        <x:v>Evidências</x:v>
      </x:c>
    </x:row>
    <x:row r="42">
      <x:c r="A42" s="14" t="n">
        <x:v>37</x:v>
      </x:c>
      <x:c r="B42" s="14" t="str">
        <x:v>CAN</x:v>
      </x:c>
      <x:c r="C42" s="14" t="str">
        <x:v>Candidatos &amp; Carreira</x:v>
      </x:c>
      <x:c r="D42" s="14" t="str">
        <x:v>Competências e interesses</x:v>
      </x:c>
      <x:c r="E42" s="14" t="str">
        <x:v>MVP</x:v>
      </x:c>
      <x:c r="F42" s="14" t="str">
        <x:v>Média</x:v>
      </x:c>
      <x:c r="G42" s="14" t="str"/>
      <x:c r="H42" s="54" t="n">
        <x:v>0</x:v>
      </x:c>
      <x:c r="I42" s="44" t="str">
        <x:v>Não</x:v>
      </x:c>
      <x:c r="J42" s="44" t="str">
        <x:v>Não</x:v>
      </x:c>
      <x:c r="K42" s="44" t="str">
        <x:v>Não</x:v>
      </x:c>
      <x:c r="L42" s="44" t="str">
        <x:v>Sim</x:v>
      </x:c>
      <x:c r="M42" s="55" t="n">
        <x:f>IF(F42="Baixa",'08_Premissas_Custos'!$B$6,IF(F42="Média",'08_Premissas_Custos'!$B$7,IF(F42="Alta",'08_Premissas_Custos'!$B$8,'08_Premissas_Custos'!$B$9)))</x:f>
        <x:v>1</x:v>
      </x:c>
      <x:c r="N42" s="56" t="n">
        <x:f>'08_Premissas_Custos'!$B$13*M42</x:f>
        <x:v>22</x:v>
      </x:c>
      <x:c r="O42" s="56" t="n">
        <x:f>'08_Premissas_Custos'!$B$14*M42*(1+IF(L42="Sim",0.25,0))</x:f>
        <x:v>60</x:v>
      </x:c>
      <x:c r="P42" s="56" t="n">
        <x:f>'08_Premissas_Custos'!$B$15*M42*(1+IF(I42="Sim",0.20,0)+IF(K42="Sim",0.15,0))</x:f>
        <x:v>54</x:v>
      </x:c>
      <x:c r="Q42" s="56" t="n">
        <x:f>'08_Premissas_Custos'!$B$16*M42*IF(J42="Sim",1.6,0.55)</x:f>
        <x:v>9.9</x:v>
      </x:c>
      <x:c r="R42" s="56" t="n">
        <x:f>'08_Premissas_Custos'!$B$17*M42*IF(I42="Sim",1.8,0.15)</x:f>
        <x:v>1.5</x:v>
      </x:c>
      <x:c r="S42" s="56" t="n">
        <x:f>'08_Premissas_Custos'!$B$18*M42*(1+IF(I42="Sim",0.15)+IF(L42="Sim",0.10))</x:f>
        <x:v>22</x:v>
      </x:c>
      <x:c r="T42" s="56" t="n">
        <x:f>'08_Premissas_Custos'!$B$19*M42*(1+IF(J42="Sim",0.15))</x:f>
        <x:v>8</x:v>
      </x:c>
      <x:c r="U42" s="56" t="n">
        <x:f>'08_Premissas_Custos'!$B$20*M42*IF(K42="Sim",1.8,0.7)</x:f>
        <x:v>4.199999999999999</x:v>
      </x:c>
      <x:c r="V42" s="57" t="n">
        <x:f>SUM(N42:U42)</x:f>
        <x:v>181.6</x:v>
      </x:c>
      <x:c r="W42" s="57" t="n">
        <x:f>V42*(1-H42)*IF(E42="Fase 2",'08_Premissas_Custos'!$F$10,1)</x:f>
        <x:v>181.6</x:v>
      </x:c>
      <x:c r="X42" s="58" t="n">
        <x:f>(N42*'08_Premissas_Custos'!$C$13+O42*'08_Premissas_Custos'!$C$14+P42*'08_Premissas_Custos'!$C$15+Q42*'08_Premissas_Custos'!$C$16+R42*'08_Premissas_Custos'!$C$17+S42*'08_Premissas_Custos'!$C$18+T42*'08_Premissas_Custos'!$C$19+U42*'08_Premissas_Custos'!$C$20)*(1-H42)*IF(E42="Fase 2",'08_Premissas_Custos'!$F$10,1)</x:f>
        <x:v>40338</x:v>
      </x:c>
      <x:c r="Y42" s="58" t="n">
        <x:f>X42*'08_Premissas_Custos'!$F$7</x:f>
        <x:v>4840.5599999999995</x:v>
      </x:c>
      <x:c r="Z42" s="58" t="n">
        <x:f>(X42+Y42)*'08_Premissas_Custos'!$F$6</x:f>
        <x:v>6776.784</x:v>
      </x:c>
      <x:c r="AA42" s="58" t="n">
        <x:f>SUM(X42:Z42)</x:f>
        <x:v>51955.344</x:v>
      </x:c>
      <x:c r="AB42" s="14" t="str">
        <x:v>Skills</x:v>
      </x:c>
    </x:row>
    <x:row r="43">
      <x:c r="A43" s="14" t="n">
        <x:v>38</x:v>
      </x:c>
      <x:c r="B43" s="14" t="str">
        <x:v>CAN</x:v>
      </x:c>
      <x:c r="C43" s="14" t="str">
        <x:v>Candidatos &amp; Carreira</x:v>
      </x:c>
      <x:c r="D43" s="14" t="str">
        <x:v>Oportunidades recomendadas</x:v>
      </x:c>
      <x:c r="E43" s="14" t="str">
        <x:v>MVP</x:v>
      </x:c>
      <x:c r="F43" s="14" t="str">
        <x:v>Alta</x:v>
      </x:c>
      <x:c r="G43" s="14" t="str"/>
      <x:c r="H43" s="54" t="n">
        <x:v>0</x:v>
      </x:c>
      <x:c r="I43" s="44" t="str">
        <x:v>Sim</x:v>
      </x:c>
      <x:c r="J43" s="44" t="str">
        <x:v>Não</x:v>
      </x:c>
      <x:c r="K43" s="44" t="str">
        <x:v>Não</x:v>
      </x:c>
      <x:c r="L43" s="44" t="str">
        <x:v>Sim</x:v>
      </x:c>
      <x:c r="M43" s="55" t="n">
        <x:f>IF(F43="Baixa",'08_Premissas_Custos'!$B$6,IF(F43="Média",'08_Premissas_Custos'!$B$7,IF(F43="Alta",'08_Premissas_Custos'!$B$8,'08_Premissas_Custos'!$B$9)))</x:f>
        <x:v>1.55</x:v>
      </x:c>
      <x:c r="N43" s="56" t="n">
        <x:f>'08_Premissas_Custos'!$B$13*M43</x:f>
        <x:v>34.1</x:v>
      </x:c>
      <x:c r="O43" s="56" t="n">
        <x:f>'08_Premissas_Custos'!$B$14*M43*(1+IF(L43="Sim",0.25,0))</x:f>
        <x:v>93</x:v>
      </x:c>
      <x:c r="P43" s="56" t="n">
        <x:f>'08_Premissas_Custos'!$B$15*M43*(1+IF(I43="Sim",0.20,0)+IF(K43="Sim",0.15,0))</x:f>
        <x:v>100.44</x:v>
      </x:c>
      <x:c r="Q43" s="56" t="n">
        <x:f>'08_Premissas_Custos'!$B$16*M43*IF(J43="Sim",1.6,0.55)</x:f>
        <x:v>15.345000000000002</x:v>
      </x:c>
      <x:c r="R43" s="56" t="n">
        <x:f>'08_Premissas_Custos'!$B$17*M43*IF(I43="Sim",1.8,0.15)</x:f>
        <x:v>27.900000000000002</x:v>
      </x:c>
      <x:c r="S43" s="56" t="n">
        <x:f>'08_Premissas_Custos'!$B$18*M43*(1+IF(I43="Sim",0.15)+IF(L43="Sim",0.10))</x:f>
        <x:v>38.75</x:v>
      </x:c>
      <x:c r="T43" s="56" t="n">
        <x:f>'08_Premissas_Custos'!$B$19*M43*(1+IF(J43="Sim",0.15))</x:f>
        <x:v>12.4</x:v>
      </x:c>
      <x:c r="U43" s="56" t="n">
        <x:f>'08_Premissas_Custos'!$B$20*M43*IF(K43="Sim",1.8,0.7)</x:f>
        <x:v>6.51</x:v>
      </x:c>
      <x:c r="V43" s="57" t="n">
        <x:f>SUM(N43:U43)</x:f>
        <x:v>328.44499999999994</x:v>
      </x:c>
      <x:c r="W43" s="57" t="n">
        <x:f>V43*(1-H43)*IF(E43="Fase 2",'08_Premissas_Custos'!$F$10,1)</x:f>
        <x:v>328.44499999999994</x:v>
      </x:c>
      <x:c r="X43" s="58" t="n">
        <x:f>(N43*'08_Premissas_Custos'!$C$13+O43*'08_Premissas_Custos'!$C$14+P43*'08_Premissas_Custos'!$C$15+Q43*'08_Premissas_Custos'!$C$16+R43*'08_Premissas_Custos'!$C$17+S43*'08_Premissas_Custos'!$C$18+T43*'08_Premissas_Custos'!$C$19+U43*'08_Premissas_Custos'!$C$20)*(1-H43)*IF(E43="Fase 2",'08_Premissas_Custos'!$F$10,1)</x:f>
        <x:v>75516</x:v>
      </x:c>
      <x:c r="Y43" s="58" t="n">
        <x:f>X43*'08_Premissas_Custos'!$F$7</x:f>
        <x:v>9061.92</x:v>
      </x:c>
      <x:c r="Z43" s="58" t="n">
        <x:f>(X43+Y43)*'08_Premissas_Custos'!$F$6</x:f>
        <x:v>12686.688</x:v>
      </x:c>
      <x:c r="AA43" s="58" t="n">
        <x:f>SUM(X43:Z43)</x:f>
        <x:v>97264.608</x:v>
      </x:c>
      <x:c r="AB43" s="14" t="str">
        <x:v>Feed</x:v>
      </x:c>
    </x:row>
    <x:row r="44">
      <x:c r="A44" s="14" t="n">
        <x:v>39</x:v>
      </x:c>
      <x:c r="B44" s="14" t="str">
        <x:v>CAN</x:v>
      </x:c>
      <x:c r="C44" s="14" t="str">
        <x:v>Candidatos &amp; Carreira</x:v>
      </x:c>
      <x:c r="D44" s="14" t="str">
        <x:v>Detalhe da oportunidade</x:v>
      </x:c>
      <x:c r="E44" s="14" t="str">
        <x:v>MVP</x:v>
      </x:c>
      <x:c r="F44" s="14" t="str">
        <x:v>Baixa</x:v>
      </x:c>
      <x:c r="G44" s="14" t="str"/>
      <x:c r="H44" s="54" t="n">
        <x:v>0</x:v>
      </x:c>
      <x:c r="I44" s="44" t="str">
        <x:v>Não</x:v>
      </x:c>
      <x:c r="J44" s="44" t="str">
        <x:v>Não</x:v>
      </x:c>
      <x:c r="K44" s="44" t="str">
        <x:v>Não</x:v>
      </x:c>
      <x:c r="L44" s="44" t="str">
        <x:v>Sim</x:v>
      </x:c>
      <x:c r="M44" s="55" t="n">
        <x:f>IF(F44="Baixa",'08_Premissas_Custos'!$B$6,IF(F44="Média",'08_Premissas_Custos'!$B$7,IF(F44="Alta",'08_Premissas_Custos'!$B$8,'08_Premissas_Custos'!$B$9)))</x:f>
        <x:v>0.65</x:v>
      </x:c>
      <x:c r="N44" s="56" t="n">
        <x:f>'08_Premissas_Custos'!$B$13*M44</x:f>
        <x:v>14.3</x:v>
      </x:c>
      <x:c r="O44" s="56" t="n">
        <x:f>'08_Premissas_Custos'!$B$14*M44*(1+IF(L44="Sim",0.25,0))</x:f>
        <x:v>39</x:v>
      </x:c>
      <x:c r="P44" s="56" t="n">
        <x:f>'08_Premissas_Custos'!$B$15*M44*(1+IF(I44="Sim",0.20,0)+IF(K44="Sim",0.15,0))</x:f>
        <x:v>35.1</x:v>
      </x:c>
      <x:c r="Q44" s="56" t="n">
        <x:f>'08_Premissas_Custos'!$B$16*M44*IF(J44="Sim",1.6,0.55)</x:f>
        <x:v>6.435000000000001</x:v>
      </x:c>
      <x:c r="R44" s="56" t="n">
        <x:f>'08_Premissas_Custos'!$B$17*M44*IF(I44="Sim",1.8,0.15)</x:f>
        <x:v>0.975</x:v>
      </x:c>
      <x:c r="S44" s="56" t="n">
        <x:f>'08_Premissas_Custos'!$B$18*M44*(1+IF(I44="Sim",0.15)+IF(L44="Sim",0.10))</x:f>
        <x:v>14.3</x:v>
      </x:c>
      <x:c r="T44" s="56" t="n">
        <x:f>'08_Premissas_Custos'!$B$19*M44*(1+IF(J44="Sim",0.15))</x:f>
        <x:v>5.2</x:v>
      </x:c>
      <x:c r="U44" s="56" t="n">
        <x:f>'08_Premissas_Custos'!$B$20*M44*IF(K44="Sim",1.8,0.7)</x:f>
        <x:v>2.73</x:v>
      </x:c>
      <x:c r="V44" s="57" t="n">
        <x:f>SUM(N44:U44)</x:f>
        <x:v>118.04</x:v>
      </x:c>
      <x:c r="W44" s="57" t="n">
        <x:f>V44*(1-H44)*IF(E44="Fase 2",'08_Premissas_Custos'!$F$10,1)</x:f>
        <x:v>118.04</x:v>
      </x:c>
      <x:c r="X44" s="58" t="n">
        <x:f>(N44*'08_Premissas_Custos'!$C$13+O44*'08_Premissas_Custos'!$C$14+P44*'08_Premissas_Custos'!$C$15+Q44*'08_Premissas_Custos'!$C$16+R44*'08_Premissas_Custos'!$C$17+S44*'08_Premissas_Custos'!$C$18+T44*'08_Premissas_Custos'!$C$19+U44*'08_Premissas_Custos'!$C$20)*(1-H44)*IF(E44="Fase 2",'08_Premissas_Custos'!$F$10,1)</x:f>
        <x:v>26219.699999999997</x:v>
      </x:c>
      <x:c r="Y44" s="58" t="n">
        <x:f>X44*'08_Premissas_Custos'!$F$7</x:f>
        <x:v>3146.3639999999996</x:v>
      </x:c>
      <x:c r="Z44" s="58" t="n">
        <x:f>(X44+Y44)*'08_Premissas_Custos'!$F$6</x:f>
        <x:v>4404.9096</x:v>
      </x:c>
      <x:c r="AA44" s="58" t="n">
        <x:f>SUM(X44:Z44)</x:f>
        <x:v>33770.9736</x:v>
      </x:c>
      <x:c r="AB44" s="14" t="str">
        <x:v>Vaga/projeto</x:v>
      </x:c>
    </x:row>
    <x:row r="45">
      <x:c r="A45" s="14" t="n">
        <x:v>40</x:v>
      </x:c>
      <x:c r="B45" s="14" t="str">
        <x:v>CAN</x:v>
      </x:c>
      <x:c r="C45" s="14" t="str">
        <x:v>Candidatos &amp; Carreira</x:v>
      </x:c>
      <x:c r="D45" s="14" t="str">
        <x:v>Candidatura</x:v>
      </x:c>
      <x:c r="E45" s="14" t="str">
        <x:v>MVP</x:v>
      </x:c>
      <x:c r="F45" s="14" t="str">
        <x:v>Média</x:v>
      </x:c>
      <x:c r="G45" s="14" t="str"/>
      <x:c r="H45" s="54" t="n">
        <x:v>0</x:v>
      </x:c>
      <x:c r="I45" s="44" t="str">
        <x:v>Não</x:v>
      </x:c>
      <x:c r="J45" s="44" t="str">
        <x:v>Não</x:v>
      </x:c>
      <x:c r="K45" s="44" t="str">
        <x:v>Não</x:v>
      </x:c>
      <x:c r="L45" s="44" t="str">
        <x:v>Sim</x:v>
      </x:c>
      <x:c r="M45" s="55" t="n">
        <x:f>IF(F45="Baixa",'08_Premissas_Custos'!$B$6,IF(F45="Média",'08_Premissas_Custos'!$B$7,IF(F45="Alta",'08_Premissas_Custos'!$B$8,'08_Premissas_Custos'!$B$9)))</x:f>
        <x:v>1</x:v>
      </x:c>
      <x:c r="N45" s="56" t="n">
        <x:f>'08_Premissas_Custos'!$B$13*M45</x:f>
        <x:v>22</x:v>
      </x:c>
      <x:c r="O45" s="56" t="n">
        <x:f>'08_Premissas_Custos'!$B$14*M45*(1+IF(L45="Sim",0.25,0))</x:f>
        <x:v>60</x:v>
      </x:c>
      <x:c r="P45" s="56" t="n">
        <x:f>'08_Premissas_Custos'!$B$15*M45*(1+IF(I45="Sim",0.20,0)+IF(K45="Sim",0.15,0))</x:f>
        <x:v>54</x:v>
      </x:c>
      <x:c r="Q45" s="56" t="n">
        <x:f>'08_Premissas_Custos'!$B$16*M45*IF(J45="Sim",1.6,0.55)</x:f>
        <x:v>9.9</x:v>
      </x:c>
      <x:c r="R45" s="56" t="n">
        <x:f>'08_Premissas_Custos'!$B$17*M45*IF(I45="Sim",1.8,0.15)</x:f>
        <x:v>1.5</x:v>
      </x:c>
      <x:c r="S45" s="56" t="n">
        <x:f>'08_Premissas_Custos'!$B$18*M45*(1+IF(I45="Sim",0.15)+IF(L45="Sim",0.10))</x:f>
        <x:v>22</x:v>
      </x:c>
      <x:c r="T45" s="56" t="n">
        <x:f>'08_Premissas_Custos'!$B$19*M45*(1+IF(J45="Sim",0.15))</x:f>
        <x:v>8</x:v>
      </x:c>
      <x:c r="U45" s="56" t="n">
        <x:f>'08_Premissas_Custos'!$B$20*M45*IF(K45="Sim",1.8,0.7)</x:f>
        <x:v>4.199999999999999</x:v>
      </x:c>
      <x:c r="V45" s="57" t="n">
        <x:f>SUM(N45:U45)</x:f>
        <x:v>181.6</x:v>
      </x:c>
      <x:c r="W45" s="57" t="n">
        <x:f>V45*(1-H45)*IF(E45="Fase 2",'08_Premissas_Custos'!$F$10,1)</x:f>
        <x:v>181.6</x:v>
      </x:c>
      <x:c r="X45" s="58" t="n">
        <x:f>(N45*'08_Premissas_Custos'!$C$13+O45*'08_Premissas_Custos'!$C$14+P45*'08_Premissas_Custos'!$C$15+Q45*'08_Premissas_Custos'!$C$16+R45*'08_Premissas_Custos'!$C$17+S45*'08_Premissas_Custos'!$C$18+T45*'08_Premissas_Custos'!$C$19+U45*'08_Premissas_Custos'!$C$20)*(1-H45)*IF(E45="Fase 2",'08_Premissas_Custos'!$F$10,1)</x:f>
        <x:v>40338</x:v>
      </x:c>
      <x:c r="Y45" s="58" t="n">
        <x:f>X45*'08_Premissas_Custos'!$F$7</x:f>
        <x:v>4840.5599999999995</x:v>
      </x:c>
      <x:c r="Z45" s="58" t="n">
        <x:f>(X45+Y45)*'08_Premissas_Custos'!$F$6</x:f>
        <x:v>6776.784</x:v>
      </x:c>
      <x:c r="AA45" s="58" t="n">
        <x:f>SUM(X45:Z45)</x:f>
        <x:v>51955.344</x:v>
      </x:c>
      <x:c r="AB45" s="14" t="str">
        <x:v>Aplicação</x:v>
      </x:c>
    </x:row>
    <x:row r="46">
      <x:c r="A46" s="14" t="n">
        <x:v>41</x:v>
      </x:c>
      <x:c r="B46" s="14" t="str">
        <x:v>CAN</x:v>
      </x:c>
      <x:c r="C46" s="14" t="str">
        <x:v>Candidatos &amp; Carreira</x:v>
      </x:c>
      <x:c r="D46" s="14" t="str">
        <x:v>Match candidato-vaga</x:v>
      </x:c>
      <x:c r="E46" s="14" t="str">
        <x:v>MVP</x:v>
      </x:c>
      <x:c r="F46" s="14" t="str">
        <x:v>Muito alta</x:v>
      </x:c>
      <x:c r="G46" s="14" t="str"/>
      <x:c r="H46" s="54" t="n">
        <x:v>0</x:v>
      </x:c>
      <x:c r="I46" s="44" t="str">
        <x:v>Sim</x:v>
      </x:c>
      <x:c r="J46" s="44" t="str">
        <x:v>Não</x:v>
      </x:c>
      <x:c r="K46" s="44" t="str">
        <x:v>Não</x:v>
      </x:c>
      <x:c r="L46" s="44" t="str">
        <x:v>Não</x:v>
      </x:c>
      <x:c r="M46" s="55" t="n">
        <x:f>IF(F46="Baixa",'08_Premissas_Custos'!$B$6,IF(F46="Média",'08_Premissas_Custos'!$B$7,IF(F46="Alta",'08_Premissas_Custos'!$B$8,'08_Premissas_Custos'!$B$9)))</x:f>
        <x:v>2.2</x:v>
      </x:c>
      <x:c r="N46" s="56" t="n">
        <x:f>'08_Premissas_Custos'!$B$13*M46</x:f>
        <x:v>48.400000000000006</x:v>
      </x:c>
      <x:c r="O46" s="56" t="n">
        <x:f>'08_Premissas_Custos'!$B$14*M46*(1+IF(L46="Sim",0.25,0))</x:f>
        <x:v>105.60000000000001</x:v>
      </x:c>
      <x:c r="P46" s="56" t="n">
        <x:f>'08_Premissas_Custos'!$B$15*M46*(1+IF(I46="Sim",0.20,0)+IF(K46="Sim",0.15,0))</x:f>
        <x:v>142.56</x:v>
      </x:c>
      <x:c r="Q46" s="56" t="n">
        <x:f>'08_Premissas_Custos'!$B$16*M46*IF(J46="Sim",1.6,0.55)</x:f>
        <x:v>21.78</x:v>
      </x:c>
      <x:c r="R46" s="56" t="n">
        <x:f>'08_Premissas_Custos'!$B$17*M46*IF(I46="Sim",1.8,0.15)</x:f>
        <x:v>39.6</x:v>
      </x:c>
      <x:c r="S46" s="56" t="n">
        <x:f>'08_Premissas_Custos'!$B$18*M46*(1+IF(I46="Sim",0.15)+IF(L46="Sim",0.10))</x:f>
        <x:v>50.599999999999994</x:v>
      </x:c>
      <x:c r="T46" s="56" t="n">
        <x:f>'08_Premissas_Custos'!$B$19*M46*(1+IF(J46="Sim",0.15))</x:f>
        <x:v>17.6</x:v>
      </x:c>
      <x:c r="U46" s="56" t="n">
        <x:f>'08_Premissas_Custos'!$B$20*M46*IF(K46="Sim",1.8,0.7)</x:f>
        <x:v>9.24</x:v>
      </x:c>
      <x:c r="V46" s="57" t="n">
        <x:f>SUM(N46:U46)</x:f>
        <x:v>435.3800000000001</x:v>
      </x:c>
      <x:c r="W46" s="57" t="n">
        <x:f>V46*(1-H46)*IF(E46="Fase 2",'08_Premissas_Custos'!$F$10,1)</x:f>
        <x:v>435.3800000000001</x:v>
      </x:c>
      <x:c r="X46" s="58" t="n">
        <x:f>(N46*'08_Premissas_Custos'!$C$13+O46*'08_Premissas_Custos'!$C$14+P46*'08_Premissas_Custos'!$C$15+Q46*'08_Premissas_Custos'!$C$16+R46*'08_Premissas_Custos'!$C$17+S46*'08_Premissas_Custos'!$C$18+T46*'08_Premissas_Custos'!$C$19+U46*'08_Premissas_Custos'!$C$20)*(1-H46)*IF(E46="Fase 2",'08_Premissas_Custos'!$F$10,1)</x:f>
        <x:v>100628.00000000001</x:v>
      </x:c>
      <x:c r="Y46" s="58" t="n">
        <x:f>X46*'08_Premissas_Custos'!$F$7</x:f>
        <x:v>12075.36</x:v>
      </x:c>
      <x:c r="Z46" s="58" t="n">
        <x:f>(X46+Y46)*'08_Premissas_Custos'!$F$6</x:f>
        <x:v>16905.504</x:v>
      </x:c>
      <x:c r="AA46" s="58" t="n">
        <x:f>SUM(X46:Z46)</x:f>
        <x:v>129608.86400000002</x:v>
      </x:c>
      <x:c r="AB46" s="14" t="str">
        <x:v>Aderência</x:v>
      </x:c>
    </x:row>
    <x:row r="47">
      <x:c r="A47" s="14" t="n">
        <x:v>42</x:v>
      </x:c>
      <x:c r="B47" s="14" t="str">
        <x:v>CAN</x:v>
      </x:c>
      <x:c r="C47" s="14" t="str">
        <x:v>Candidatos &amp; Carreira</x:v>
      </x:c>
      <x:c r="D47" s="14" t="str">
        <x:v>Minha jornada</x:v>
      </x:c>
      <x:c r="E47" s="14" t="str">
        <x:v>MVP</x:v>
      </x:c>
      <x:c r="F47" s="14" t="str">
        <x:v>Média</x:v>
      </x:c>
      <x:c r="G47" s="14" t="str"/>
      <x:c r="H47" s="54" t="n">
        <x:v>0</x:v>
      </x:c>
      <x:c r="I47" s="44" t="str">
        <x:v>Não</x:v>
      </x:c>
      <x:c r="J47" s="44" t="str">
        <x:v>Não</x:v>
      </x:c>
      <x:c r="K47" s="44" t="str">
        <x:v>Não</x:v>
      </x:c>
      <x:c r="L47" s="44" t="str">
        <x:v>Sim</x:v>
      </x:c>
      <x:c r="M47" s="55" t="n">
        <x:f>IF(F47="Baixa",'08_Premissas_Custos'!$B$6,IF(F47="Média",'08_Premissas_Custos'!$B$7,IF(F47="Alta",'08_Premissas_Custos'!$B$8,'08_Premissas_Custos'!$B$9)))</x:f>
        <x:v>1</x:v>
      </x:c>
      <x:c r="N47" s="56" t="n">
        <x:f>'08_Premissas_Custos'!$B$13*M47</x:f>
        <x:v>22</x:v>
      </x:c>
      <x:c r="O47" s="56" t="n">
        <x:f>'08_Premissas_Custos'!$B$14*M47*(1+IF(L47="Sim",0.25,0))</x:f>
        <x:v>60</x:v>
      </x:c>
      <x:c r="P47" s="56" t="n">
        <x:f>'08_Premissas_Custos'!$B$15*M47*(1+IF(I47="Sim",0.20,0)+IF(K47="Sim",0.15,0))</x:f>
        <x:v>54</x:v>
      </x:c>
      <x:c r="Q47" s="56" t="n">
        <x:f>'08_Premissas_Custos'!$B$16*M47*IF(J47="Sim",1.6,0.55)</x:f>
        <x:v>9.9</x:v>
      </x:c>
      <x:c r="R47" s="56" t="n">
        <x:f>'08_Premissas_Custos'!$B$17*M47*IF(I47="Sim",1.8,0.15)</x:f>
        <x:v>1.5</x:v>
      </x:c>
      <x:c r="S47" s="56" t="n">
        <x:f>'08_Premissas_Custos'!$B$18*M47*(1+IF(I47="Sim",0.15)+IF(L47="Sim",0.10))</x:f>
        <x:v>22</x:v>
      </x:c>
      <x:c r="T47" s="56" t="n">
        <x:f>'08_Premissas_Custos'!$B$19*M47*(1+IF(J47="Sim",0.15))</x:f>
        <x:v>8</x:v>
      </x:c>
      <x:c r="U47" s="56" t="n">
        <x:f>'08_Premissas_Custos'!$B$20*M47*IF(K47="Sim",1.8,0.7)</x:f>
        <x:v>4.199999999999999</x:v>
      </x:c>
      <x:c r="V47" s="57" t="n">
        <x:f>SUM(N47:U47)</x:f>
        <x:v>181.6</x:v>
      </x:c>
      <x:c r="W47" s="57" t="n">
        <x:f>V47*(1-H47)*IF(E47="Fase 2",'08_Premissas_Custos'!$F$10,1)</x:f>
        <x:v>181.6</x:v>
      </x:c>
      <x:c r="X47" s="58" t="n">
        <x:f>(N47*'08_Premissas_Custos'!$C$13+O47*'08_Premissas_Custos'!$C$14+P47*'08_Premissas_Custos'!$C$15+Q47*'08_Premissas_Custos'!$C$16+R47*'08_Premissas_Custos'!$C$17+S47*'08_Premissas_Custos'!$C$18+T47*'08_Premissas_Custos'!$C$19+U47*'08_Premissas_Custos'!$C$20)*(1-H47)*IF(E47="Fase 2",'08_Premissas_Custos'!$F$10,1)</x:f>
        <x:v>40338</x:v>
      </x:c>
      <x:c r="Y47" s="58" t="n">
        <x:f>X47*'08_Premissas_Custos'!$F$7</x:f>
        <x:v>4840.5599999999995</x:v>
      </x:c>
      <x:c r="Z47" s="58" t="n">
        <x:f>(X47+Y47)*'08_Premissas_Custos'!$F$6</x:f>
        <x:v>6776.784</x:v>
      </x:c>
      <x:c r="AA47" s="58" t="n">
        <x:f>SUM(X47:Z47)</x:f>
        <x:v>51955.344</x:v>
      </x:c>
      <x:c r="AB47" s="14" t="str">
        <x:v>Progresso</x:v>
      </x:c>
    </x:row>
    <x:row r="48">
      <x:c r="A48" s="14" t="n">
        <x:v>43</x:v>
      </x:c>
      <x:c r="B48" s="14" t="str">
        <x:v>CAN</x:v>
      </x:c>
      <x:c r="C48" s="14" t="str">
        <x:v>Candidatos &amp; Carreira</x:v>
      </x:c>
      <x:c r="D48" s="14" t="str">
        <x:v>Capacitação recomendada</x:v>
      </x:c>
      <x:c r="E48" s="14" t="str">
        <x:v>Fase 2</x:v>
      </x:c>
      <x:c r="F48" s="14" t="str">
        <x:v>Alta</x:v>
      </x:c>
      <x:c r="G48" s="14" t="str"/>
      <x:c r="H48" s="54" t="n">
        <x:v>0</x:v>
      </x:c>
      <x:c r="I48" s="44" t="str">
        <x:v>Sim</x:v>
      </x:c>
      <x:c r="J48" s="44" t="str">
        <x:v>Não</x:v>
      </x:c>
      <x:c r="K48" s="44" t="str">
        <x:v>Não</x:v>
      </x:c>
      <x:c r="L48" s="44" t="str">
        <x:v>Sim</x:v>
      </x:c>
      <x:c r="M48" s="55" t="n">
        <x:f>IF(F48="Baixa",'08_Premissas_Custos'!$B$6,IF(F48="Média",'08_Premissas_Custos'!$B$7,IF(F48="Alta",'08_Premissas_Custos'!$B$8,'08_Premissas_Custos'!$B$9)))</x:f>
        <x:v>1.55</x:v>
      </x:c>
      <x:c r="N48" s="56" t="n">
        <x:f>'08_Premissas_Custos'!$B$13*M48</x:f>
        <x:v>34.1</x:v>
      </x:c>
      <x:c r="O48" s="56" t="n">
        <x:f>'08_Premissas_Custos'!$B$14*M48*(1+IF(L48="Sim",0.25,0))</x:f>
        <x:v>93</x:v>
      </x:c>
      <x:c r="P48" s="56" t="n">
        <x:f>'08_Premissas_Custos'!$B$15*M48*(1+IF(I48="Sim",0.20,0)+IF(K48="Sim",0.15,0))</x:f>
        <x:v>100.44</x:v>
      </x:c>
      <x:c r="Q48" s="56" t="n">
        <x:f>'08_Premissas_Custos'!$B$16*M48*IF(J48="Sim",1.6,0.55)</x:f>
        <x:v>15.345000000000002</x:v>
      </x:c>
      <x:c r="R48" s="56" t="n">
        <x:f>'08_Premissas_Custos'!$B$17*M48*IF(I48="Sim",1.8,0.15)</x:f>
        <x:v>27.900000000000002</x:v>
      </x:c>
      <x:c r="S48" s="56" t="n">
        <x:f>'08_Premissas_Custos'!$B$18*M48*(1+IF(I48="Sim",0.15)+IF(L48="Sim",0.10))</x:f>
        <x:v>38.75</x:v>
      </x:c>
      <x:c r="T48" s="56" t="n">
        <x:f>'08_Premissas_Custos'!$B$19*M48*(1+IF(J48="Sim",0.15))</x:f>
        <x:v>12.4</x:v>
      </x:c>
      <x:c r="U48" s="56" t="n">
        <x:f>'08_Premissas_Custos'!$B$20*M48*IF(K48="Sim",1.8,0.7)</x:f>
        <x:v>6.51</x:v>
      </x:c>
      <x:c r="V48" s="57" t="n">
        <x:f>SUM(N48:U48)</x:f>
        <x:v>328.44499999999994</x:v>
      </x:c>
      <x:c r="W48" s="57" t="n">
        <x:f>V48*(1-H48)*IF(E48="Fase 2",'08_Premissas_Custos'!$F$10,1)</x:f>
        <x:v>295.60049999999995</x:v>
      </x:c>
      <x:c r="X48" s="58" t="n">
        <x:f>(N48*'08_Premissas_Custos'!$C$13+O48*'08_Premissas_Custos'!$C$14+P48*'08_Premissas_Custos'!$C$15+Q48*'08_Premissas_Custos'!$C$16+R48*'08_Premissas_Custos'!$C$17+S48*'08_Premissas_Custos'!$C$18+T48*'08_Premissas_Custos'!$C$19+U48*'08_Premissas_Custos'!$C$20)*(1-H48)*IF(E48="Fase 2",'08_Premissas_Custos'!$F$10,1)</x:f>
        <x:v>67964.40000000001</x:v>
      </x:c>
      <x:c r="Y48" s="58" t="n">
        <x:f>X48*'08_Premissas_Custos'!$F$7</x:f>
        <x:v>8155.728000000001</x:v>
      </x:c>
      <x:c r="Z48" s="58" t="n">
        <x:f>(X48+Y48)*'08_Premissas_Custos'!$F$6</x:f>
        <x:v>11418.0192</x:v>
      </x:c>
      <x:c r="AA48" s="58" t="n">
        <x:f>SUM(X48:Z48)</x:f>
        <x:v>87538.1472</x:v>
      </x:c>
      <x:c r="AB48" s="14" t="str">
        <x:v>Gap-&gt;trilha</x:v>
      </x:c>
    </x:row>
    <x:row r="49">
      <x:c r="A49" s="14" t="n">
        <x:v>44</x:v>
      </x:c>
      <x:c r="B49" s="14" t="str">
        <x:v>CAN</x:v>
      </x:c>
      <x:c r="C49" s="14" t="str">
        <x:v>Candidatos &amp; Carreira</x:v>
      </x:c>
      <x:c r="D49" s="14" t="str">
        <x:v>Mentoria / preparação</x:v>
      </x:c>
      <x:c r="E49" s="14" t="str">
        <x:v>Fase 2</x:v>
      </x:c>
      <x:c r="F49" s="14" t="str">
        <x:v>Média</x:v>
      </x:c>
      <x:c r="G49" s="14" t="str"/>
      <x:c r="H49" s="54" t="n">
        <x:v>0</x:v>
      </x:c>
      <x:c r="I49" s="44" t="str">
        <x:v>Não</x:v>
      </x:c>
      <x:c r="J49" s="44" t="str">
        <x:v>Não</x:v>
      </x:c>
      <x:c r="K49" s="44" t="str">
        <x:v>Não</x:v>
      </x:c>
      <x:c r="L49" s="44" t="str">
        <x:v>Sim</x:v>
      </x:c>
      <x:c r="M49" s="55" t="n">
        <x:f>IF(F49="Baixa",'08_Premissas_Custos'!$B$6,IF(F49="Média",'08_Premissas_Custos'!$B$7,IF(F49="Alta",'08_Premissas_Custos'!$B$8,'08_Premissas_Custos'!$B$9)))</x:f>
        <x:v>1</x:v>
      </x:c>
      <x:c r="N49" s="56" t="n">
        <x:f>'08_Premissas_Custos'!$B$13*M49</x:f>
        <x:v>22</x:v>
      </x:c>
      <x:c r="O49" s="56" t="n">
        <x:f>'08_Premissas_Custos'!$B$14*M49*(1+IF(L49="Sim",0.25,0))</x:f>
        <x:v>60</x:v>
      </x:c>
      <x:c r="P49" s="56" t="n">
        <x:f>'08_Premissas_Custos'!$B$15*M49*(1+IF(I49="Sim",0.20,0)+IF(K49="Sim",0.15,0))</x:f>
        <x:v>54</x:v>
      </x:c>
      <x:c r="Q49" s="56" t="n">
        <x:f>'08_Premissas_Custos'!$B$16*M49*IF(J49="Sim",1.6,0.55)</x:f>
        <x:v>9.9</x:v>
      </x:c>
      <x:c r="R49" s="56" t="n">
        <x:f>'08_Premissas_Custos'!$B$17*M49*IF(I49="Sim",1.8,0.15)</x:f>
        <x:v>1.5</x:v>
      </x:c>
      <x:c r="S49" s="56" t="n">
        <x:f>'08_Premissas_Custos'!$B$18*M49*(1+IF(I49="Sim",0.15)+IF(L49="Sim",0.10))</x:f>
        <x:v>22</x:v>
      </x:c>
      <x:c r="T49" s="56" t="n">
        <x:f>'08_Premissas_Custos'!$B$19*M49*(1+IF(J49="Sim",0.15))</x:f>
        <x:v>8</x:v>
      </x:c>
      <x:c r="U49" s="56" t="n">
        <x:f>'08_Premissas_Custos'!$B$20*M49*IF(K49="Sim",1.8,0.7)</x:f>
        <x:v>4.199999999999999</x:v>
      </x:c>
      <x:c r="V49" s="57" t="n">
        <x:f>SUM(N49:U49)</x:f>
        <x:v>181.6</x:v>
      </x:c>
      <x:c r="W49" s="57" t="n">
        <x:f>V49*(1-H49)*IF(E49="Fase 2",'08_Premissas_Custos'!$F$10,1)</x:f>
        <x:v>163.44</x:v>
      </x:c>
      <x:c r="X49" s="58" t="n">
        <x:f>(N49*'08_Premissas_Custos'!$C$13+O49*'08_Premissas_Custos'!$C$14+P49*'08_Premissas_Custos'!$C$15+Q49*'08_Premissas_Custos'!$C$16+R49*'08_Premissas_Custos'!$C$17+S49*'08_Premissas_Custos'!$C$18+T49*'08_Premissas_Custos'!$C$19+U49*'08_Premissas_Custos'!$C$20)*(1-H49)*IF(E49="Fase 2",'08_Premissas_Custos'!$F$10,1)</x:f>
        <x:v>36304.200000000004</x:v>
      </x:c>
      <x:c r="Y49" s="58" t="n">
        <x:f>X49*'08_Premissas_Custos'!$F$7</x:f>
        <x:v>4356.504000000001</x:v>
      </x:c>
      <x:c r="Z49" s="58" t="n">
        <x:f>(X49+Y49)*'08_Premissas_Custos'!$F$6</x:f>
        <x:v>6099.105600000001</x:v>
      </x:c>
      <x:c r="AA49" s="58" t="n">
        <x:f>SUM(X49:Z49)</x:f>
        <x:v>46759.80960000001</x:v>
      </x:c>
      <x:c r="AB49" s="14" t="str">
        <x:v>Carreira</x:v>
      </x:c>
    </x:row>
    <x:row r="50">
      <x:c r="A50" s="14" t="n">
        <x:v>45</x:v>
      </x:c>
      <x:c r="B50" s="14" t="str">
        <x:v>CAN</x:v>
      </x:c>
      <x:c r="C50" s="14" t="str">
        <x:v>Candidatos &amp; Carreira</x:v>
      </x:c>
      <x:c r="D50" s="14" t="str">
        <x:v>Feedbacks do processo</x:v>
      </x:c>
      <x:c r="E50" s="14" t="str">
        <x:v>Fase 2</x:v>
      </x:c>
      <x:c r="F50" s="14" t="str">
        <x:v>Média</x:v>
      </x:c>
      <x:c r="G50" s="14" t="str"/>
      <x:c r="H50" s="54" t="n">
        <x:v>0</x:v>
      </x:c>
      <x:c r="I50" s="44" t="str">
        <x:v>Não</x:v>
      </x:c>
      <x:c r="J50" s="44" t="str">
        <x:v>Não</x:v>
      </x:c>
      <x:c r="K50" s="44" t="str">
        <x:v>Não</x:v>
      </x:c>
      <x:c r="L50" s="44" t="str">
        <x:v>Sim</x:v>
      </x:c>
      <x:c r="M50" s="55" t="n">
        <x:f>IF(F50="Baixa",'08_Premissas_Custos'!$B$6,IF(F50="Média",'08_Premissas_Custos'!$B$7,IF(F50="Alta",'08_Premissas_Custos'!$B$8,'08_Premissas_Custos'!$B$9)))</x:f>
        <x:v>1</x:v>
      </x:c>
      <x:c r="N50" s="56" t="n">
        <x:f>'08_Premissas_Custos'!$B$13*M50</x:f>
        <x:v>22</x:v>
      </x:c>
      <x:c r="O50" s="56" t="n">
        <x:f>'08_Premissas_Custos'!$B$14*M50*(1+IF(L50="Sim",0.25,0))</x:f>
        <x:v>60</x:v>
      </x:c>
      <x:c r="P50" s="56" t="n">
        <x:f>'08_Premissas_Custos'!$B$15*M50*(1+IF(I50="Sim",0.20,0)+IF(K50="Sim",0.15,0))</x:f>
        <x:v>54</x:v>
      </x:c>
      <x:c r="Q50" s="56" t="n">
        <x:f>'08_Premissas_Custos'!$B$16*M50*IF(J50="Sim",1.6,0.55)</x:f>
        <x:v>9.9</x:v>
      </x:c>
      <x:c r="R50" s="56" t="n">
        <x:f>'08_Premissas_Custos'!$B$17*M50*IF(I50="Sim",1.8,0.15)</x:f>
        <x:v>1.5</x:v>
      </x:c>
      <x:c r="S50" s="56" t="n">
        <x:f>'08_Premissas_Custos'!$B$18*M50*(1+IF(I50="Sim",0.15)+IF(L50="Sim",0.10))</x:f>
        <x:v>22</x:v>
      </x:c>
      <x:c r="T50" s="56" t="n">
        <x:f>'08_Premissas_Custos'!$B$19*M50*(1+IF(J50="Sim",0.15))</x:f>
        <x:v>8</x:v>
      </x:c>
      <x:c r="U50" s="56" t="n">
        <x:f>'08_Premissas_Custos'!$B$20*M50*IF(K50="Sim",1.8,0.7)</x:f>
        <x:v>4.199999999999999</x:v>
      </x:c>
      <x:c r="V50" s="57" t="n">
        <x:f>SUM(N50:U50)</x:f>
        <x:v>181.6</x:v>
      </x:c>
      <x:c r="W50" s="57" t="n">
        <x:f>V50*(1-H50)*IF(E50="Fase 2",'08_Premissas_Custos'!$F$10,1)</x:f>
        <x:v>163.44</x:v>
      </x:c>
      <x:c r="X50" s="58" t="n">
        <x:f>(N50*'08_Premissas_Custos'!$C$13+O50*'08_Premissas_Custos'!$C$14+P50*'08_Premissas_Custos'!$C$15+Q50*'08_Premissas_Custos'!$C$16+R50*'08_Premissas_Custos'!$C$17+S50*'08_Premissas_Custos'!$C$18+T50*'08_Premissas_Custos'!$C$19+U50*'08_Premissas_Custos'!$C$20)*(1-H50)*IF(E50="Fase 2",'08_Premissas_Custos'!$F$10,1)</x:f>
        <x:v>36304.200000000004</x:v>
      </x:c>
      <x:c r="Y50" s="58" t="n">
        <x:f>X50*'08_Premissas_Custos'!$F$7</x:f>
        <x:v>4356.504000000001</x:v>
      </x:c>
      <x:c r="Z50" s="58" t="n">
        <x:f>(X50+Y50)*'08_Premissas_Custos'!$F$6</x:f>
        <x:v>6099.105600000001</x:v>
      </x:c>
      <x:c r="AA50" s="58" t="n">
        <x:f>SUM(X50:Z50)</x:f>
        <x:v>46759.80960000001</x:v>
      </x:c>
      <x:c r="AB50" s="14" t="str">
        <x:v>Retorno</x:v>
      </x:c>
    </x:row>
    <x:row r="51">
      <x:c r="A51" s="14" t="n">
        <x:v>46</x:v>
      </x:c>
      <x:c r="B51" s="14" t="str">
        <x:v>CAN</x:v>
      </x:c>
      <x:c r="C51" s="14" t="str">
        <x:v>Candidatos &amp; Carreira</x:v>
      </x:c>
      <x:c r="D51" s="14" t="str">
        <x:v>Painel empresa - talentos</x:v>
      </x:c>
      <x:c r="E51" s="14" t="str">
        <x:v>MVP</x:v>
      </x:c>
      <x:c r="F51" s="14" t="str">
        <x:v>Alta</x:v>
      </x:c>
      <x:c r="G51" s="14" t="str"/>
      <x:c r="H51" s="54" t="n">
        <x:v>0</x:v>
      </x:c>
      <x:c r="I51" s="44" t="str">
        <x:v>Não</x:v>
      </x:c>
      <x:c r="J51" s="44" t="str">
        <x:v>Não</x:v>
      </x:c>
      <x:c r="K51" s="44" t="str">
        <x:v>Não</x:v>
      </x:c>
      <x:c r="L51" s="44" t="str">
        <x:v>Não</x:v>
      </x:c>
      <x:c r="M51" s="55" t="n">
        <x:f>IF(F51="Baixa",'08_Premissas_Custos'!$B$6,IF(F51="Média",'08_Premissas_Custos'!$B$7,IF(F51="Alta",'08_Premissas_Custos'!$B$8,'08_Premissas_Custos'!$B$9)))</x:f>
        <x:v>1.55</x:v>
      </x:c>
      <x:c r="N51" s="56" t="n">
        <x:f>'08_Premissas_Custos'!$B$13*M51</x:f>
        <x:v>34.1</x:v>
      </x:c>
      <x:c r="O51" s="56" t="n">
        <x:f>'08_Premissas_Custos'!$B$14*M51*(1+IF(L51="Sim",0.25,0))</x:f>
        <x:v>74.4</x:v>
      </x:c>
      <x:c r="P51" s="56" t="n">
        <x:f>'08_Premissas_Custos'!$B$15*M51*(1+IF(I51="Sim",0.20,0)+IF(K51="Sim",0.15,0))</x:f>
        <x:v>83.7</x:v>
      </x:c>
      <x:c r="Q51" s="56" t="n">
        <x:f>'08_Premissas_Custos'!$B$16*M51*IF(J51="Sim",1.6,0.55)</x:f>
        <x:v>15.345000000000002</x:v>
      </x:c>
      <x:c r="R51" s="56" t="n">
        <x:f>'08_Premissas_Custos'!$B$17*M51*IF(I51="Sim",1.8,0.15)</x:f>
        <x:v>2.3249999999999997</x:v>
      </x:c>
      <x:c r="S51" s="56" t="n">
        <x:f>'08_Premissas_Custos'!$B$18*M51*(1+IF(I51="Sim",0.15)+IF(L51="Sim",0.10))</x:f>
        <x:v>31</x:v>
      </x:c>
      <x:c r="T51" s="56" t="n">
        <x:f>'08_Premissas_Custos'!$B$19*M51*(1+IF(J51="Sim",0.15))</x:f>
        <x:v>12.4</x:v>
      </x:c>
      <x:c r="U51" s="56" t="n">
        <x:f>'08_Premissas_Custos'!$B$20*M51*IF(K51="Sim",1.8,0.7)</x:f>
        <x:v>6.51</x:v>
      </x:c>
      <x:c r="V51" s="57" t="n">
        <x:f>SUM(N51:U51)</x:f>
        <x:v>259.78</x:v>
      </x:c>
      <x:c r="W51" s="57" t="n">
        <x:f>V51*(1-H51)*IF(E51="Fase 2",'08_Premissas_Custos'!$F$10,1)</x:f>
        <x:v>259.78</x:v>
      </x:c>
      <x:c r="X51" s="58" t="n">
        <x:f>(N51*'08_Premissas_Custos'!$C$13+O51*'08_Premissas_Custos'!$C$14+P51*'08_Premissas_Custos'!$C$15+Q51*'08_Premissas_Custos'!$C$16+R51*'08_Premissas_Custos'!$C$17+S51*'08_Premissas_Custos'!$C$18+T51*'08_Premissas_Custos'!$C$19+U51*'08_Premissas_Custos'!$C$20)*(1-H51)*IF(E51="Fase 2",'08_Premissas_Custos'!$F$10,1)</x:f>
        <x:v>57904.899999999994</x:v>
      </x:c>
      <x:c r="Y51" s="58" t="n">
        <x:f>X51*'08_Premissas_Custos'!$F$7</x:f>
        <x:v>6948.587999999999</x:v>
      </x:c>
      <x:c r="Z51" s="58" t="n">
        <x:f>(X51+Y51)*'08_Premissas_Custos'!$F$6</x:f>
        <x:v>9728.023199999998</x:v>
      </x:c>
      <x:c r="AA51" s="58" t="n">
        <x:f>SUM(X51:Z51)</x:f>
        <x:v>74581.5112</x:v>
      </x:c>
      <x:c r="AB51" s="14" t="str">
        <x:v>Shortlist</x:v>
      </x:c>
    </x:row>
    <x:row r="52">
      <x:c r="A52" s="14" t="n">
        <x:v>47</x:v>
      </x:c>
      <x:c r="B52" s="14" t="str">
        <x:v>CAN</x:v>
      </x:c>
      <x:c r="C52" s="14" t="str">
        <x:v>Candidatos &amp; Carreira</x:v>
      </x:c>
      <x:c r="D52" s="14" t="str">
        <x:v>Inteligência de vagas</x:v>
      </x:c>
      <x:c r="E52" s="14" t="str">
        <x:v>Fase 2</x:v>
      </x:c>
      <x:c r="F52" s="14" t="str">
        <x:v>Muito alta</x:v>
      </x:c>
      <x:c r="G52" s="14" t="str"/>
      <x:c r="H52" s="54" t="n">
        <x:v>0</x:v>
      </x:c>
      <x:c r="I52" s="44" t="str">
        <x:v>Sim</x:v>
      </x:c>
      <x:c r="J52" s="44" t="str">
        <x:v>Não</x:v>
      </x:c>
      <x:c r="K52" s="44" t="str">
        <x:v>Não</x:v>
      </x:c>
      <x:c r="L52" s="44" t="str">
        <x:v>Não</x:v>
      </x:c>
      <x:c r="M52" s="55" t="n">
        <x:f>IF(F52="Baixa",'08_Premissas_Custos'!$B$6,IF(F52="Média",'08_Premissas_Custos'!$B$7,IF(F52="Alta",'08_Premissas_Custos'!$B$8,'08_Premissas_Custos'!$B$9)))</x:f>
        <x:v>2.2</x:v>
      </x:c>
      <x:c r="N52" s="56" t="n">
        <x:f>'08_Premissas_Custos'!$B$13*M52</x:f>
        <x:v>48.400000000000006</x:v>
      </x:c>
      <x:c r="O52" s="56" t="n">
        <x:f>'08_Premissas_Custos'!$B$14*M52*(1+IF(L52="Sim",0.25,0))</x:f>
        <x:v>105.60000000000001</x:v>
      </x:c>
      <x:c r="P52" s="56" t="n">
        <x:f>'08_Premissas_Custos'!$B$15*M52*(1+IF(I52="Sim",0.20,0)+IF(K52="Sim",0.15,0))</x:f>
        <x:v>142.56</x:v>
      </x:c>
      <x:c r="Q52" s="56" t="n">
        <x:f>'08_Premissas_Custos'!$B$16*M52*IF(J52="Sim",1.6,0.55)</x:f>
        <x:v>21.78</x:v>
      </x:c>
      <x:c r="R52" s="56" t="n">
        <x:f>'08_Premissas_Custos'!$B$17*M52*IF(I52="Sim",1.8,0.15)</x:f>
        <x:v>39.6</x:v>
      </x:c>
      <x:c r="S52" s="56" t="n">
        <x:f>'08_Premissas_Custos'!$B$18*M52*(1+IF(I52="Sim",0.15)+IF(L52="Sim",0.10))</x:f>
        <x:v>50.599999999999994</x:v>
      </x:c>
      <x:c r="T52" s="56" t="n">
        <x:f>'08_Premissas_Custos'!$B$19*M52*(1+IF(J52="Sim",0.15))</x:f>
        <x:v>17.6</x:v>
      </x:c>
      <x:c r="U52" s="56" t="n">
        <x:f>'08_Premissas_Custos'!$B$20*M52*IF(K52="Sim",1.8,0.7)</x:f>
        <x:v>9.24</x:v>
      </x:c>
      <x:c r="V52" s="57" t="n">
        <x:f>SUM(N52:U52)</x:f>
        <x:v>435.3800000000001</x:v>
      </x:c>
      <x:c r="W52" s="57" t="n">
        <x:f>V52*(1-H52)*IF(E52="Fase 2",'08_Premissas_Custos'!$F$10,1)</x:f>
        <x:v>391.8420000000001</x:v>
      </x:c>
      <x:c r="X52" s="58" t="n">
        <x:f>(N52*'08_Premissas_Custos'!$C$13+O52*'08_Premissas_Custos'!$C$14+P52*'08_Premissas_Custos'!$C$15+Q52*'08_Premissas_Custos'!$C$16+R52*'08_Premissas_Custos'!$C$17+S52*'08_Premissas_Custos'!$C$18+T52*'08_Premissas_Custos'!$C$19+U52*'08_Premissas_Custos'!$C$20)*(1-H52)*IF(E52="Fase 2",'08_Premissas_Custos'!$F$10,1)</x:f>
        <x:v>90565.20000000001</x:v>
      </x:c>
      <x:c r="Y52" s="58" t="n">
        <x:f>X52*'08_Premissas_Custos'!$F$7</x:f>
        <x:v>10867.824</x:v>
      </x:c>
      <x:c r="Z52" s="58" t="n">
        <x:f>(X52+Y52)*'08_Premissas_Custos'!$F$6</x:f>
        <x:v>15214.9536</x:v>
      </x:c>
      <x:c r="AA52" s="58" t="n">
        <x:f>SUM(X52:Z52)</x:f>
        <x:v>116647.97760000001</x:v>
      </x:c>
      <x:c r="AB52" s="14" t="str">
        <x:v>Requisitos por evidência</x:v>
      </x:c>
    </x:row>
    <x:row r="53">
      <x:c r="A53" s="14" t="n">
        <x:v>48</x:v>
      </x:c>
      <x:c r="B53" s="14" t="str">
        <x:v>FOR</x:v>
      </x:c>
      <x:c r="C53" s="14" t="str">
        <x:v>Fornecedores &amp; Negócios</x:v>
      </x:c>
      <x:c r="D53" s="14" t="str">
        <x:v>Perfil do fornecedor</x:v>
      </x:c>
      <x:c r="E53" s="14" t="str">
        <x:v>MVP</x:v>
      </x:c>
      <x:c r="F53" s="14" t="str">
        <x:v>Média</x:v>
      </x:c>
      <x:c r="G53" s="14" t="str">
        <x:v>Perfil do fornecedor</x:v>
      </x:c>
      <x:c r="H53" s="54" t="n">
        <x:v>0.45</x:v>
      </x:c>
      <x:c r="I53" s="44" t="str">
        <x:v>Não</x:v>
      </x:c>
      <x:c r="J53" s="44" t="str">
        <x:v>Não</x:v>
      </x:c>
      <x:c r="K53" s="44" t="str">
        <x:v>Não</x:v>
      </x:c>
      <x:c r="L53" s="44" t="str">
        <x:v>Não</x:v>
      </x:c>
      <x:c r="M53" s="55" t="n">
        <x:f>IF(F53="Baixa",'08_Premissas_Custos'!$B$6,IF(F53="Média",'08_Premissas_Custos'!$B$7,IF(F53="Alta",'08_Premissas_Custos'!$B$8,'08_Premissas_Custos'!$B$9)))</x:f>
        <x:v>1</x:v>
      </x:c>
      <x:c r="N53" s="56" t="n">
        <x:f>'08_Premissas_Custos'!$B$13*M53</x:f>
        <x:v>22</x:v>
      </x:c>
      <x:c r="O53" s="56" t="n">
        <x:f>'08_Premissas_Custos'!$B$14*M53*(1+IF(L53="Sim",0.25,0))</x:f>
        <x:v>48</x:v>
      </x:c>
      <x:c r="P53" s="56" t="n">
        <x:f>'08_Premissas_Custos'!$B$15*M53*(1+IF(I53="Sim",0.20,0)+IF(K53="Sim",0.15,0))</x:f>
        <x:v>54</x:v>
      </x:c>
      <x:c r="Q53" s="56" t="n">
        <x:f>'08_Premissas_Custos'!$B$16*M53*IF(J53="Sim",1.6,0.55)</x:f>
        <x:v>9.9</x:v>
      </x:c>
      <x:c r="R53" s="56" t="n">
        <x:f>'08_Premissas_Custos'!$B$17*M53*IF(I53="Sim",1.8,0.15)</x:f>
        <x:v>1.5</x:v>
      </x:c>
      <x:c r="S53" s="56" t="n">
        <x:f>'08_Premissas_Custos'!$B$18*M53*(1+IF(I53="Sim",0.15)+IF(L53="Sim",0.10))</x:f>
        <x:v>20</x:v>
      </x:c>
      <x:c r="T53" s="56" t="n">
        <x:f>'08_Premissas_Custos'!$B$19*M53*(1+IF(J53="Sim",0.15))</x:f>
        <x:v>8</x:v>
      </x:c>
      <x:c r="U53" s="56" t="n">
        <x:f>'08_Premissas_Custos'!$B$20*M53*IF(K53="Sim",1.8,0.7)</x:f>
        <x:v>4.199999999999999</x:v>
      </x:c>
      <x:c r="V53" s="57" t="n">
        <x:f>SUM(N53:U53)</x:f>
        <x:v>167.6</x:v>
      </x:c>
      <x:c r="W53" s="57" t="n">
        <x:f>V53*(1-H53)*IF(E53="Fase 2",'08_Premissas_Custos'!$F$10,1)</x:f>
        <x:v>92.18</x:v>
      </x:c>
      <x:c r="X53" s="58" t="n">
        <x:f>(N53*'08_Premissas_Custos'!$C$13+O53*'08_Premissas_Custos'!$C$14+P53*'08_Premissas_Custos'!$C$15+Q53*'08_Premissas_Custos'!$C$16+R53*'08_Premissas_Custos'!$C$17+S53*'08_Premissas_Custos'!$C$18+T53*'08_Premissas_Custos'!$C$19+U53*'08_Premissas_Custos'!$C$20)*(1-H53)*IF(E53="Fase 2",'08_Premissas_Custos'!$F$10,1)</x:f>
        <x:v>20546.9</x:v>
      </x:c>
      <x:c r="Y53" s="58" t="n">
        <x:f>X53*'08_Premissas_Custos'!$F$7</x:f>
        <x:v>2465.628</x:v>
      </x:c>
      <x:c r="Z53" s="58" t="n">
        <x:f>(X53+Y53)*'08_Premissas_Custos'!$F$6</x:f>
        <x:v>3451.8792000000003</x:v>
      </x:c>
      <x:c r="AA53" s="58" t="n">
        <x:f>SUM(X53:Z53)</x:f>
        <x:v>26464.4072</x:v>
      </x:c>
      <x:c r="AB53" s="14" t="str">
        <x:v>Capacidades</x:v>
      </x:c>
    </x:row>
    <x:row r="54">
      <x:c r="A54" s="14" t="n">
        <x:v>49</x:v>
      </x:c>
      <x:c r="B54" s="14" t="str">
        <x:v>FOR</x:v>
      </x:c>
      <x:c r="C54" s="14" t="str">
        <x:v>Fornecedores &amp; Negócios</x:v>
      </x:c>
      <x:c r="D54" s="14" t="str">
        <x:v>Documentos e compliance</x:v>
      </x:c>
      <x:c r="E54" s="14" t="str">
        <x:v>MVP</x:v>
      </x:c>
      <x:c r="F54" s="14" t="str">
        <x:v>Alta</x:v>
      </x:c>
      <x:c r="G54" s="14" t="str"/>
      <x:c r="H54" s="54" t="n">
        <x:v>0</x:v>
      </x:c>
      <x:c r="I54" s="44" t="str">
        <x:v>Não</x:v>
      </x:c>
      <x:c r="J54" s="44" t="str">
        <x:v>Não</x:v>
      </x:c>
      <x:c r="K54" s="44" t="str">
        <x:v>Sim</x:v>
      </x:c>
      <x:c r="L54" s="44" t="str">
        <x:v>Não</x:v>
      </x:c>
      <x:c r="M54" s="55" t="n">
        <x:f>IF(F54="Baixa",'08_Premissas_Custos'!$B$6,IF(F54="Média",'08_Premissas_Custos'!$B$7,IF(F54="Alta",'08_Premissas_Custos'!$B$8,'08_Premissas_Custos'!$B$9)))</x:f>
        <x:v>1.55</x:v>
      </x:c>
      <x:c r="N54" s="56" t="n">
        <x:f>'08_Premissas_Custos'!$B$13*M54</x:f>
        <x:v>34.1</x:v>
      </x:c>
      <x:c r="O54" s="56" t="n">
        <x:f>'08_Premissas_Custos'!$B$14*M54*(1+IF(L54="Sim",0.25,0))</x:f>
        <x:v>74.4</x:v>
      </x:c>
      <x:c r="P54" s="56" t="n">
        <x:f>'08_Premissas_Custos'!$B$15*M54*(1+IF(I54="Sim",0.20,0)+IF(K54="Sim",0.15,0))</x:f>
        <x:v>96.255</x:v>
      </x:c>
      <x:c r="Q54" s="56" t="n">
        <x:f>'08_Premissas_Custos'!$B$16*M54*IF(J54="Sim",1.6,0.55)</x:f>
        <x:v>15.345000000000002</x:v>
      </x:c>
      <x:c r="R54" s="56" t="n">
        <x:f>'08_Premissas_Custos'!$B$17*M54*IF(I54="Sim",1.8,0.15)</x:f>
        <x:v>2.3249999999999997</x:v>
      </x:c>
      <x:c r="S54" s="56" t="n">
        <x:f>'08_Premissas_Custos'!$B$18*M54*(1+IF(I54="Sim",0.15)+IF(L54="Sim",0.10))</x:f>
        <x:v>31</x:v>
      </x:c>
      <x:c r="T54" s="56" t="n">
        <x:f>'08_Premissas_Custos'!$B$19*M54*(1+IF(J54="Sim",0.15))</x:f>
        <x:v>12.4</x:v>
      </x:c>
      <x:c r="U54" s="56" t="n">
        <x:f>'08_Premissas_Custos'!$B$20*M54*IF(K54="Sim",1.8,0.7)</x:f>
        <x:v>16.740000000000002</x:v>
      </x:c>
      <x:c r="V54" s="57" t="n">
        <x:f>SUM(N54:U54)</x:f>
        <x:v>282.565</x:v>
      </x:c>
      <x:c r="W54" s="57" t="n">
        <x:f>V54*(1-H54)*IF(E54="Fase 2",'08_Premissas_Custos'!$F$10,1)</x:f>
        <x:v>282.565</x:v>
      </x:c>
      <x:c r="X54" s="58" t="n">
        <x:f>(N54*'08_Premissas_Custos'!$C$13+O54*'08_Premissas_Custos'!$C$14+P54*'08_Premissas_Custos'!$C$15+Q54*'08_Premissas_Custos'!$C$16+R54*'08_Premissas_Custos'!$C$17+S54*'08_Premissas_Custos'!$C$18+T54*'08_Premissas_Custos'!$C$19+U54*'08_Premissas_Custos'!$C$20)*(1-H54)*IF(E54="Fase 2",'08_Premissas_Custos'!$F$10,1)</x:f>
        <x:v>64191.7</x:v>
      </x:c>
      <x:c r="Y54" s="58" t="n">
        <x:f>X54*'08_Premissas_Custos'!$F$7</x:f>
        <x:v>7703.003999999999</x:v>
      </x:c>
      <x:c r="Z54" s="58" t="n">
        <x:f>(X54+Y54)*'08_Premissas_Custos'!$F$6</x:f>
        <x:v>10784.2056</x:v>
      </x:c>
      <x:c r="AA54" s="58" t="n">
        <x:f>SUM(X54:Z54)</x:f>
        <x:v>82678.9096</x:v>
      </x:c>
      <x:c r="AB54" s="14" t="str">
        <x:v>Certificações</x:v>
      </x:c>
    </x:row>
    <x:row r="55">
      <x:c r="A55" s="14" t="n">
        <x:v>50</x:v>
      </x:c>
      <x:c r="B55" s="14" t="str">
        <x:v>FOR</x:v>
      </x:c>
      <x:c r="C55" s="14" t="str">
        <x:v>Fornecedores &amp; Negócios</x:v>
      </x:c>
      <x:c r="D55" s="14" t="str">
        <x:v>Maturidade</x:v>
      </x:c>
      <x:c r="E55" s="14" t="str">
        <x:v>MVP</x:v>
      </x:c>
      <x:c r="F55" s="14" t="str">
        <x:v>Alta</x:v>
      </x:c>
      <x:c r="G55" s="14" t="str"/>
      <x:c r="H55" s="54" t="n">
        <x:v>0</x:v>
      </x:c>
      <x:c r="I55" s="44" t="str">
        <x:v>Não</x:v>
      </x:c>
      <x:c r="J55" s="44" t="str">
        <x:v>Não</x:v>
      </x:c>
      <x:c r="K55" s="44" t="str">
        <x:v>Não</x:v>
      </x:c>
      <x:c r="L55" s="44" t="str">
        <x:v>Não</x:v>
      </x:c>
      <x:c r="M55" s="55" t="n">
        <x:f>IF(F55="Baixa",'08_Premissas_Custos'!$B$6,IF(F55="Média",'08_Premissas_Custos'!$B$7,IF(F55="Alta",'08_Premissas_Custos'!$B$8,'08_Premissas_Custos'!$B$9)))</x:f>
        <x:v>1.55</x:v>
      </x:c>
      <x:c r="N55" s="56" t="n">
        <x:f>'08_Premissas_Custos'!$B$13*M55</x:f>
        <x:v>34.1</x:v>
      </x:c>
      <x:c r="O55" s="56" t="n">
        <x:f>'08_Premissas_Custos'!$B$14*M55*(1+IF(L55="Sim",0.25,0))</x:f>
        <x:v>74.4</x:v>
      </x:c>
      <x:c r="P55" s="56" t="n">
        <x:f>'08_Premissas_Custos'!$B$15*M55*(1+IF(I55="Sim",0.20,0)+IF(K55="Sim",0.15,0))</x:f>
        <x:v>83.7</x:v>
      </x:c>
      <x:c r="Q55" s="56" t="n">
        <x:f>'08_Premissas_Custos'!$B$16*M55*IF(J55="Sim",1.6,0.55)</x:f>
        <x:v>15.345000000000002</x:v>
      </x:c>
      <x:c r="R55" s="56" t="n">
        <x:f>'08_Premissas_Custos'!$B$17*M55*IF(I55="Sim",1.8,0.15)</x:f>
        <x:v>2.3249999999999997</x:v>
      </x:c>
      <x:c r="S55" s="56" t="n">
        <x:f>'08_Premissas_Custos'!$B$18*M55*(1+IF(I55="Sim",0.15)+IF(L55="Sim",0.10))</x:f>
        <x:v>31</x:v>
      </x:c>
      <x:c r="T55" s="56" t="n">
        <x:f>'08_Premissas_Custos'!$B$19*M55*(1+IF(J55="Sim",0.15))</x:f>
        <x:v>12.4</x:v>
      </x:c>
      <x:c r="U55" s="56" t="n">
        <x:f>'08_Premissas_Custos'!$B$20*M55*IF(K55="Sim",1.8,0.7)</x:f>
        <x:v>6.51</x:v>
      </x:c>
      <x:c r="V55" s="57" t="n">
        <x:f>SUM(N55:U55)</x:f>
        <x:v>259.78</x:v>
      </x:c>
      <x:c r="W55" s="57" t="n">
        <x:f>V55*(1-H55)*IF(E55="Fase 2",'08_Premissas_Custos'!$F$10,1)</x:f>
        <x:v>259.78</x:v>
      </x:c>
      <x:c r="X55" s="58" t="n">
        <x:f>(N55*'08_Premissas_Custos'!$C$13+O55*'08_Premissas_Custos'!$C$14+P55*'08_Premissas_Custos'!$C$15+Q55*'08_Premissas_Custos'!$C$16+R55*'08_Premissas_Custos'!$C$17+S55*'08_Premissas_Custos'!$C$18+T55*'08_Premissas_Custos'!$C$19+U55*'08_Premissas_Custos'!$C$20)*(1-H55)*IF(E55="Fase 2",'08_Premissas_Custos'!$F$10,1)</x:f>
        <x:v>57904.899999999994</x:v>
      </x:c>
      <x:c r="Y55" s="58" t="n">
        <x:f>X55*'08_Premissas_Custos'!$F$7</x:f>
        <x:v>6948.587999999999</x:v>
      </x:c>
      <x:c r="Z55" s="58" t="n">
        <x:f>(X55+Y55)*'08_Premissas_Custos'!$F$6</x:f>
        <x:v>9728.023199999998</x:v>
      </x:c>
      <x:c r="AA55" s="58" t="n">
        <x:f>SUM(X55:Z55)</x:f>
        <x:v>74581.5112</x:v>
      </x:c>
      <x:c r="AB55" s="14" t="str">
        <x:v>Diagnóstico</x:v>
      </x:c>
    </x:row>
    <x:row r="56">
      <x:c r="A56" s="14" t="n">
        <x:v>51</x:v>
      </x:c>
      <x:c r="B56" s="14" t="str">
        <x:v>FOR</x:v>
      </x:c>
      <x:c r="C56" s="14" t="str">
        <x:v>Fornecedores &amp; Negócios</x:v>
      </x:c>
      <x:c r="D56" s="14" t="str">
        <x:v>Plano de desenvolvimento</x:v>
      </x:c>
      <x:c r="E56" s="14" t="str">
        <x:v>MVP</x:v>
      </x:c>
      <x:c r="F56" s="14" t="str">
        <x:v>Alta</x:v>
      </x:c>
      <x:c r="G56" s="14" t="str">
        <x:v>Plano de desenvolvimento</x:v>
      </x:c>
      <x:c r="H56" s="54" t="n">
        <x:v>0.45</x:v>
      </x:c>
      <x:c r="I56" s="44" t="str">
        <x:v>Não</x:v>
      </x:c>
      <x:c r="J56" s="44" t="str">
        <x:v>Não</x:v>
      </x:c>
      <x:c r="K56" s="44" t="str">
        <x:v>Não</x:v>
      </x:c>
      <x:c r="L56" s="44" t="str">
        <x:v>Não</x:v>
      </x:c>
      <x:c r="M56" s="55" t="n">
        <x:f>IF(F56="Baixa",'08_Premissas_Custos'!$B$6,IF(F56="Média",'08_Premissas_Custos'!$B$7,IF(F56="Alta",'08_Premissas_Custos'!$B$8,'08_Premissas_Custos'!$B$9)))</x:f>
        <x:v>1.55</x:v>
      </x:c>
      <x:c r="N56" s="56" t="n">
        <x:f>'08_Premissas_Custos'!$B$13*M56</x:f>
        <x:v>34.1</x:v>
      </x:c>
      <x:c r="O56" s="56" t="n">
        <x:f>'08_Premissas_Custos'!$B$14*M56*(1+IF(L56="Sim",0.25,0))</x:f>
        <x:v>74.4</x:v>
      </x:c>
      <x:c r="P56" s="56" t="n">
        <x:f>'08_Premissas_Custos'!$B$15*M56*(1+IF(I56="Sim",0.20,0)+IF(K56="Sim",0.15,0))</x:f>
        <x:v>83.7</x:v>
      </x:c>
      <x:c r="Q56" s="56" t="n">
        <x:f>'08_Premissas_Custos'!$B$16*M56*IF(J56="Sim",1.6,0.55)</x:f>
        <x:v>15.345000000000002</x:v>
      </x:c>
      <x:c r="R56" s="56" t="n">
        <x:f>'08_Premissas_Custos'!$B$17*M56*IF(I56="Sim",1.8,0.15)</x:f>
        <x:v>2.3249999999999997</x:v>
      </x:c>
      <x:c r="S56" s="56" t="n">
        <x:f>'08_Premissas_Custos'!$B$18*M56*(1+IF(I56="Sim",0.15)+IF(L56="Sim",0.10))</x:f>
        <x:v>31</x:v>
      </x:c>
      <x:c r="T56" s="56" t="n">
        <x:f>'08_Premissas_Custos'!$B$19*M56*(1+IF(J56="Sim",0.15))</x:f>
        <x:v>12.4</x:v>
      </x:c>
      <x:c r="U56" s="56" t="n">
        <x:f>'08_Premissas_Custos'!$B$20*M56*IF(K56="Sim",1.8,0.7)</x:f>
        <x:v>6.51</x:v>
      </x:c>
      <x:c r="V56" s="57" t="n">
        <x:f>SUM(N56:U56)</x:f>
        <x:v>259.78</x:v>
      </x:c>
      <x:c r="W56" s="57" t="n">
        <x:f>V56*(1-H56)*IF(E56="Fase 2",'08_Premissas_Custos'!$F$10,1)</x:f>
        <x:v>142.879</x:v>
      </x:c>
      <x:c r="X56" s="58" t="n">
        <x:f>(N56*'08_Premissas_Custos'!$C$13+O56*'08_Premissas_Custos'!$C$14+P56*'08_Premissas_Custos'!$C$15+Q56*'08_Premissas_Custos'!$C$16+R56*'08_Premissas_Custos'!$C$17+S56*'08_Premissas_Custos'!$C$18+T56*'08_Premissas_Custos'!$C$19+U56*'08_Premissas_Custos'!$C$20)*(1-H56)*IF(E56="Fase 2",'08_Premissas_Custos'!$F$10,1)</x:f>
        <x:v>31847.695</x:v>
      </x:c>
      <x:c r="Y56" s="58" t="n">
        <x:f>X56*'08_Premissas_Custos'!$F$7</x:f>
        <x:v>3821.7234</x:v>
      </x:c>
      <x:c r="Z56" s="58" t="n">
        <x:f>(X56+Y56)*'08_Premissas_Custos'!$F$6</x:f>
        <x:v>5350.41276</x:v>
      </x:c>
      <x:c r="AA56" s="58" t="n">
        <x:f>SUM(X56:Z56)</x:f>
        <x:v>41019.83116</x:v>
      </x:c>
      <x:c r="AB56" s="14" t="str">
        <x:v>Gaps</x:v>
      </x:c>
    </x:row>
    <x:row r="57">
      <x:c r="A57" s="14" t="n">
        <x:v>52</x:v>
      </x:c>
      <x:c r="B57" s="14" t="str">
        <x:v>FOR</x:v>
      </x:c>
      <x:c r="C57" s="14" t="str">
        <x:v>Fornecedores &amp; Negócios</x:v>
      </x:c>
      <x:c r="D57" s="14" t="str">
        <x:v>Trilhas / apoio</x:v>
      </x:c>
      <x:c r="E57" s="14" t="str">
        <x:v>Fase 2</x:v>
      </x:c>
      <x:c r="F57" s="14" t="str">
        <x:v>Média</x:v>
      </x:c>
      <x:c r="G57" s="14" t="str"/>
      <x:c r="H57" s="54" t="n">
        <x:v>0</x:v>
      </x:c>
      <x:c r="I57" s="44" t="str">
        <x:v>Não</x:v>
      </x:c>
      <x:c r="J57" s="44" t="str">
        <x:v>Não</x:v>
      </x:c>
      <x:c r="K57" s="44" t="str">
        <x:v>Não</x:v>
      </x:c>
      <x:c r="L57" s="44" t="str">
        <x:v>Não</x:v>
      </x:c>
      <x:c r="M57" s="55" t="n">
        <x:f>IF(F57="Baixa",'08_Premissas_Custos'!$B$6,IF(F57="Média",'08_Premissas_Custos'!$B$7,IF(F57="Alta",'08_Premissas_Custos'!$B$8,'08_Premissas_Custos'!$B$9)))</x:f>
        <x:v>1</x:v>
      </x:c>
      <x:c r="N57" s="56" t="n">
        <x:f>'08_Premissas_Custos'!$B$13*M57</x:f>
        <x:v>22</x:v>
      </x:c>
      <x:c r="O57" s="56" t="n">
        <x:f>'08_Premissas_Custos'!$B$14*M57*(1+IF(L57="Sim",0.25,0))</x:f>
        <x:v>48</x:v>
      </x:c>
      <x:c r="P57" s="56" t="n">
        <x:f>'08_Premissas_Custos'!$B$15*M57*(1+IF(I57="Sim",0.20,0)+IF(K57="Sim",0.15,0))</x:f>
        <x:v>54</x:v>
      </x:c>
      <x:c r="Q57" s="56" t="n">
        <x:f>'08_Premissas_Custos'!$B$16*M57*IF(J57="Sim",1.6,0.55)</x:f>
        <x:v>9.9</x:v>
      </x:c>
      <x:c r="R57" s="56" t="n">
        <x:f>'08_Premissas_Custos'!$B$17*M57*IF(I57="Sim",1.8,0.15)</x:f>
        <x:v>1.5</x:v>
      </x:c>
      <x:c r="S57" s="56" t="n">
        <x:f>'08_Premissas_Custos'!$B$18*M57*(1+IF(I57="Sim",0.15)+IF(L57="Sim",0.10))</x:f>
        <x:v>20</x:v>
      </x:c>
      <x:c r="T57" s="56" t="n">
        <x:f>'08_Premissas_Custos'!$B$19*M57*(1+IF(J57="Sim",0.15))</x:f>
        <x:v>8</x:v>
      </x:c>
      <x:c r="U57" s="56" t="n">
        <x:f>'08_Premissas_Custos'!$B$20*M57*IF(K57="Sim",1.8,0.7)</x:f>
        <x:v>4.199999999999999</x:v>
      </x:c>
      <x:c r="V57" s="57" t="n">
        <x:f>SUM(N57:U57)</x:f>
        <x:v>167.6</x:v>
      </x:c>
      <x:c r="W57" s="57" t="n">
        <x:f>V57*(1-H57)*IF(E57="Fase 2",'08_Premissas_Custos'!$F$10,1)</x:f>
        <x:v>150.84</x:v>
      </x:c>
      <x:c r="X57" s="58" t="n">
        <x:f>(N57*'08_Premissas_Custos'!$C$13+O57*'08_Premissas_Custos'!$C$14+P57*'08_Premissas_Custos'!$C$15+Q57*'08_Premissas_Custos'!$C$16+R57*'08_Premissas_Custos'!$C$17+S57*'08_Premissas_Custos'!$C$18+T57*'08_Premissas_Custos'!$C$19+U57*'08_Premissas_Custos'!$C$20)*(1-H57)*IF(E57="Fase 2",'08_Premissas_Custos'!$F$10,1)</x:f>
        <x:v>33622.200000000004</x:v>
      </x:c>
      <x:c r="Y57" s="58" t="n">
        <x:f>X57*'08_Premissas_Custos'!$F$7</x:f>
        <x:v>4034.664</x:v>
      </x:c>
      <x:c r="Z57" s="58" t="n">
        <x:f>(X57+Y57)*'08_Premissas_Custos'!$F$6</x:f>
        <x:v>5648.5296</x:v>
      </x:c>
      <x:c r="AA57" s="58" t="n">
        <x:f>SUM(X57:Z57)</x:f>
        <x:v>43305.3936</x:v>
      </x:c>
      <x:c r="AB57" s="14" t="str">
        <x:v>Cursos/crédito</x:v>
      </x:c>
    </x:row>
    <x:row r="58">
      <x:c r="A58" s="14" t="n">
        <x:v>53</x:v>
      </x:c>
      <x:c r="B58" s="14" t="str">
        <x:v>FOR</x:v>
      </x:c>
      <x:c r="C58" s="14" t="str">
        <x:v>Fornecedores &amp; Negócios</x:v>
      </x:c>
      <x:c r="D58" s="14" t="str">
        <x:v>Oportunidades / demandas</x:v>
      </x:c>
      <x:c r="E58" s="14" t="str">
        <x:v>MVP</x:v>
      </x:c>
      <x:c r="F58" s="14" t="str">
        <x:v>Média</x:v>
      </x:c>
      <x:c r="G58" s="14" t="str"/>
      <x:c r="H58" s="54" t="n">
        <x:v>0</x:v>
      </x:c>
      <x:c r="I58" s="44" t="str">
        <x:v>Não</x:v>
      </x:c>
      <x:c r="J58" s="44" t="str">
        <x:v>Não</x:v>
      </x:c>
      <x:c r="K58" s="44" t="str">
        <x:v>Não</x:v>
      </x:c>
      <x:c r="L58" s="44" t="str">
        <x:v>Não</x:v>
      </x:c>
      <x:c r="M58" s="55" t="n">
        <x:f>IF(F58="Baixa",'08_Premissas_Custos'!$B$6,IF(F58="Média",'08_Premissas_Custos'!$B$7,IF(F58="Alta",'08_Premissas_Custos'!$B$8,'08_Premissas_Custos'!$B$9)))</x:f>
        <x:v>1</x:v>
      </x:c>
      <x:c r="N58" s="56" t="n">
        <x:f>'08_Premissas_Custos'!$B$13*M58</x:f>
        <x:v>22</x:v>
      </x:c>
      <x:c r="O58" s="56" t="n">
        <x:f>'08_Premissas_Custos'!$B$14*M58*(1+IF(L58="Sim",0.25,0))</x:f>
        <x:v>48</x:v>
      </x:c>
      <x:c r="P58" s="56" t="n">
        <x:f>'08_Premissas_Custos'!$B$15*M58*(1+IF(I58="Sim",0.20,0)+IF(K58="Sim",0.15,0))</x:f>
        <x:v>54</x:v>
      </x:c>
      <x:c r="Q58" s="56" t="n">
        <x:f>'08_Premissas_Custos'!$B$16*M58*IF(J58="Sim",1.6,0.55)</x:f>
        <x:v>9.9</x:v>
      </x:c>
      <x:c r="R58" s="56" t="n">
        <x:f>'08_Premissas_Custos'!$B$17*M58*IF(I58="Sim",1.8,0.15)</x:f>
        <x:v>1.5</x:v>
      </x:c>
      <x:c r="S58" s="56" t="n">
        <x:f>'08_Premissas_Custos'!$B$18*M58*(1+IF(I58="Sim",0.15)+IF(L58="Sim",0.10))</x:f>
        <x:v>20</x:v>
      </x:c>
      <x:c r="T58" s="56" t="n">
        <x:f>'08_Premissas_Custos'!$B$19*M58*(1+IF(J58="Sim",0.15))</x:f>
        <x:v>8</x:v>
      </x:c>
      <x:c r="U58" s="56" t="n">
        <x:f>'08_Premissas_Custos'!$B$20*M58*IF(K58="Sim",1.8,0.7)</x:f>
        <x:v>4.199999999999999</x:v>
      </x:c>
      <x:c r="V58" s="57" t="n">
        <x:f>SUM(N58:U58)</x:f>
        <x:v>167.6</x:v>
      </x:c>
      <x:c r="W58" s="57" t="n">
        <x:f>V58*(1-H58)*IF(E58="Fase 2",'08_Premissas_Custos'!$F$10,1)</x:f>
        <x:v>167.6</x:v>
      </x:c>
      <x:c r="X58" s="58" t="n">
        <x:f>(N58*'08_Premissas_Custos'!$C$13+O58*'08_Premissas_Custos'!$C$14+P58*'08_Premissas_Custos'!$C$15+Q58*'08_Premissas_Custos'!$C$16+R58*'08_Premissas_Custos'!$C$17+S58*'08_Premissas_Custos'!$C$18+T58*'08_Premissas_Custos'!$C$19+U58*'08_Premissas_Custos'!$C$20)*(1-H58)*IF(E58="Fase 2",'08_Premissas_Custos'!$F$10,1)</x:f>
        <x:v>37358</x:v>
      </x:c>
      <x:c r="Y58" s="58" t="n">
        <x:f>X58*'08_Premissas_Custos'!$F$7</x:f>
        <x:v>4482.96</x:v>
      </x:c>
      <x:c r="Z58" s="58" t="n">
        <x:f>(X58+Y58)*'08_Premissas_Custos'!$F$6</x:f>
        <x:v>6276.143999999999</x:v>
      </x:c>
      <x:c r="AA58" s="58" t="n">
        <x:f>SUM(X58:Z58)</x:f>
        <x:v>48117.104</x:v>
      </x:c>
      <x:c r="AB58" s="14" t="str">
        <x:v>Compras</x:v>
      </x:c>
    </x:row>
    <x:row r="59">
      <x:c r="A59" s="14" t="n">
        <x:v>54</x:v>
      </x:c>
      <x:c r="B59" s="14" t="str">
        <x:v>FOR</x:v>
      </x:c>
      <x:c r="C59" s="14" t="str">
        <x:v>Fornecedores &amp; Negócios</x:v>
      </x:c>
      <x:c r="D59" s="14" t="str">
        <x:v>Detalhe da demanda</x:v>
      </x:c>
      <x:c r="E59" s="14" t="str">
        <x:v>MVP</x:v>
      </x:c>
      <x:c r="F59" s="14" t="str">
        <x:v>Baixa</x:v>
      </x:c>
      <x:c r="G59" s="14" t="str"/>
      <x:c r="H59" s="54" t="n">
        <x:v>0</x:v>
      </x:c>
      <x:c r="I59" s="44" t="str">
        <x:v>Não</x:v>
      </x:c>
      <x:c r="J59" s="44" t="str">
        <x:v>Não</x:v>
      </x:c>
      <x:c r="K59" s="44" t="str">
        <x:v>Não</x:v>
      </x:c>
      <x:c r="L59" s="44" t="str">
        <x:v>Não</x:v>
      </x:c>
      <x:c r="M59" s="55" t="n">
        <x:f>IF(F59="Baixa",'08_Premissas_Custos'!$B$6,IF(F59="Média",'08_Premissas_Custos'!$B$7,IF(F59="Alta",'08_Premissas_Custos'!$B$8,'08_Premissas_Custos'!$B$9)))</x:f>
        <x:v>0.65</x:v>
      </x:c>
      <x:c r="N59" s="56" t="n">
        <x:f>'08_Premissas_Custos'!$B$13*M59</x:f>
        <x:v>14.3</x:v>
      </x:c>
      <x:c r="O59" s="56" t="n">
        <x:f>'08_Premissas_Custos'!$B$14*M59*(1+IF(L59="Sim",0.25,0))</x:f>
        <x:v>31.200000000000003</x:v>
      </x:c>
      <x:c r="P59" s="56" t="n">
        <x:f>'08_Premissas_Custos'!$B$15*M59*(1+IF(I59="Sim",0.20,0)+IF(K59="Sim",0.15,0))</x:f>
        <x:v>35.1</x:v>
      </x:c>
      <x:c r="Q59" s="56" t="n">
        <x:f>'08_Premissas_Custos'!$B$16*M59*IF(J59="Sim",1.6,0.55)</x:f>
        <x:v>6.435000000000001</x:v>
      </x:c>
      <x:c r="R59" s="56" t="n">
        <x:f>'08_Premissas_Custos'!$B$17*M59*IF(I59="Sim",1.8,0.15)</x:f>
        <x:v>0.975</x:v>
      </x:c>
      <x:c r="S59" s="56" t="n">
        <x:f>'08_Premissas_Custos'!$B$18*M59*(1+IF(I59="Sim",0.15)+IF(L59="Sim",0.10))</x:f>
        <x:v>13</x:v>
      </x:c>
      <x:c r="T59" s="56" t="n">
        <x:f>'08_Premissas_Custos'!$B$19*M59*(1+IF(J59="Sim",0.15))</x:f>
        <x:v>5.2</x:v>
      </x:c>
      <x:c r="U59" s="56" t="n">
        <x:f>'08_Premissas_Custos'!$B$20*M59*IF(K59="Sim",1.8,0.7)</x:f>
        <x:v>2.73</x:v>
      </x:c>
      <x:c r="V59" s="57" t="n">
        <x:f>SUM(N59:U59)</x:f>
        <x:v>108.94</x:v>
      </x:c>
      <x:c r="W59" s="57" t="n">
        <x:f>V59*(1-H59)*IF(E59="Fase 2",'08_Premissas_Custos'!$F$10,1)</x:f>
        <x:v>108.94</x:v>
      </x:c>
      <x:c r="X59" s="58" t="n">
        <x:f>(N59*'08_Premissas_Custos'!$C$13+O59*'08_Premissas_Custos'!$C$14+P59*'08_Premissas_Custos'!$C$15+Q59*'08_Premissas_Custos'!$C$16+R59*'08_Premissas_Custos'!$C$17+S59*'08_Premissas_Custos'!$C$18+T59*'08_Premissas_Custos'!$C$19+U59*'08_Premissas_Custos'!$C$20)*(1-H59)*IF(E59="Fase 2",'08_Premissas_Custos'!$F$10,1)</x:f>
        <x:v>24282.699999999997</x:v>
      </x:c>
      <x:c r="Y59" s="58" t="n">
        <x:f>X59*'08_Premissas_Custos'!$F$7</x:f>
        <x:v>2913.9239999999995</x:v>
      </x:c>
      <x:c r="Z59" s="58" t="n">
        <x:f>(X59+Y59)*'08_Premissas_Custos'!$F$6</x:f>
        <x:v>4079.4935999999993</x:v>
      </x:c>
      <x:c r="AA59" s="58" t="n">
        <x:f>SUM(X59:Z59)</x:f>
        <x:v>31276.117599999994</x:v>
      </x:c>
      <x:c r="AB59" s="14" t="str">
        <x:v>Critérios</x:v>
      </x:c>
    </x:row>
    <x:row r="60">
      <x:c r="A60" s="14" t="n">
        <x:v>55</x:v>
      </x:c>
      <x:c r="B60" s="14" t="str">
        <x:v>FOR</x:v>
      </x:c>
      <x:c r="C60" s="14" t="str">
        <x:v>Fornecedores &amp; Negócios</x:v>
      </x:c>
      <x:c r="D60" s="14" t="str">
        <x:v>Match fornecedor-demanda</x:v>
      </x:c>
      <x:c r="E60" s="14" t="str">
        <x:v>MVP</x:v>
      </x:c>
      <x:c r="F60" s="14" t="str">
        <x:v>Muito alta</x:v>
      </x:c>
      <x:c r="G60" s="14" t="str"/>
      <x:c r="H60" s="54" t="n">
        <x:v>0</x:v>
      </x:c>
      <x:c r="I60" s="44" t="str">
        <x:v>Sim</x:v>
      </x:c>
      <x:c r="J60" s="44" t="str">
        <x:v>Não</x:v>
      </x:c>
      <x:c r="K60" s="44" t="str">
        <x:v>Não</x:v>
      </x:c>
      <x:c r="L60" s="44" t="str">
        <x:v>Não</x:v>
      </x:c>
      <x:c r="M60" s="55" t="n">
        <x:f>IF(F60="Baixa",'08_Premissas_Custos'!$B$6,IF(F60="Média",'08_Premissas_Custos'!$B$7,IF(F60="Alta",'08_Premissas_Custos'!$B$8,'08_Premissas_Custos'!$B$9)))</x:f>
        <x:v>2.2</x:v>
      </x:c>
      <x:c r="N60" s="56" t="n">
        <x:f>'08_Premissas_Custos'!$B$13*M60</x:f>
        <x:v>48.400000000000006</x:v>
      </x:c>
      <x:c r="O60" s="56" t="n">
        <x:f>'08_Premissas_Custos'!$B$14*M60*(1+IF(L60="Sim",0.25,0))</x:f>
        <x:v>105.60000000000001</x:v>
      </x:c>
      <x:c r="P60" s="56" t="n">
        <x:f>'08_Premissas_Custos'!$B$15*M60*(1+IF(I60="Sim",0.20,0)+IF(K60="Sim",0.15,0))</x:f>
        <x:v>142.56</x:v>
      </x:c>
      <x:c r="Q60" s="56" t="n">
        <x:f>'08_Premissas_Custos'!$B$16*M60*IF(J60="Sim",1.6,0.55)</x:f>
        <x:v>21.78</x:v>
      </x:c>
      <x:c r="R60" s="56" t="n">
        <x:f>'08_Premissas_Custos'!$B$17*M60*IF(I60="Sim",1.8,0.15)</x:f>
        <x:v>39.6</x:v>
      </x:c>
      <x:c r="S60" s="56" t="n">
        <x:f>'08_Premissas_Custos'!$B$18*M60*(1+IF(I60="Sim",0.15)+IF(L60="Sim",0.10))</x:f>
        <x:v>50.599999999999994</x:v>
      </x:c>
      <x:c r="T60" s="56" t="n">
        <x:f>'08_Premissas_Custos'!$B$19*M60*(1+IF(J60="Sim",0.15))</x:f>
        <x:v>17.6</x:v>
      </x:c>
      <x:c r="U60" s="56" t="n">
        <x:f>'08_Premissas_Custos'!$B$20*M60*IF(K60="Sim",1.8,0.7)</x:f>
        <x:v>9.24</x:v>
      </x:c>
      <x:c r="V60" s="57" t="n">
        <x:f>SUM(N60:U60)</x:f>
        <x:v>435.3800000000001</x:v>
      </x:c>
      <x:c r="W60" s="57" t="n">
        <x:f>V60*(1-H60)*IF(E60="Fase 2",'08_Premissas_Custos'!$F$10,1)</x:f>
        <x:v>435.3800000000001</x:v>
      </x:c>
      <x:c r="X60" s="58" t="n">
        <x:f>(N60*'08_Premissas_Custos'!$C$13+O60*'08_Premissas_Custos'!$C$14+P60*'08_Premissas_Custos'!$C$15+Q60*'08_Premissas_Custos'!$C$16+R60*'08_Premissas_Custos'!$C$17+S60*'08_Premissas_Custos'!$C$18+T60*'08_Premissas_Custos'!$C$19+U60*'08_Premissas_Custos'!$C$20)*(1-H60)*IF(E60="Fase 2",'08_Premissas_Custos'!$F$10,1)</x:f>
        <x:v>100628.00000000001</x:v>
      </x:c>
      <x:c r="Y60" s="58" t="n">
        <x:f>X60*'08_Premissas_Custos'!$F$7</x:f>
        <x:v>12075.36</x:v>
      </x:c>
      <x:c r="Z60" s="58" t="n">
        <x:f>(X60+Y60)*'08_Premissas_Custos'!$F$6</x:f>
        <x:v>16905.504</x:v>
      </x:c>
      <x:c r="AA60" s="58" t="n">
        <x:f>SUM(X60:Z60)</x:f>
        <x:v>129608.86400000002</x:v>
      </x:c>
      <x:c r="AB60" s="14" t="str">
        <x:v>Aderência</x:v>
      </x:c>
    </x:row>
    <x:row r="61">
      <x:c r="A61" s="14" t="n">
        <x:v>56</x:v>
      </x:c>
      <x:c r="B61" s="14" t="str">
        <x:v>FOR</x:v>
      </x:c>
      <x:c r="C61" s="14" t="str">
        <x:v>Fornecedores &amp; Negócios</x:v>
      </x:c>
      <x:c r="D61" s="14" t="str">
        <x:v>Painel empresa compradora</x:v>
      </x:c>
      <x:c r="E61" s="14" t="str">
        <x:v>MVP</x:v>
      </x:c>
      <x:c r="F61" s="14" t="str">
        <x:v>Alta</x:v>
      </x:c>
      <x:c r="G61" s="14" t="str"/>
      <x:c r="H61" s="54" t="n">
        <x:v>0</x:v>
      </x:c>
      <x:c r="I61" s="44" t="str">
        <x:v>Não</x:v>
      </x:c>
      <x:c r="J61" s="44" t="str">
        <x:v>Não</x:v>
      </x:c>
      <x:c r="K61" s="44" t="str">
        <x:v>Não</x:v>
      </x:c>
      <x:c r="L61" s="44" t="str">
        <x:v>Não</x:v>
      </x:c>
      <x:c r="M61" s="55" t="n">
        <x:f>IF(F61="Baixa",'08_Premissas_Custos'!$B$6,IF(F61="Média",'08_Premissas_Custos'!$B$7,IF(F61="Alta",'08_Premissas_Custos'!$B$8,'08_Premissas_Custos'!$B$9)))</x:f>
        <x:v>1.55</x:v>
      </x:c>
      <x:c r="N61" s="56" t="n">
        <x:f>'08_Premissas_Custos'!$B$13*M61</x:f>
        <x:v>34.1</x:v>
      </x:c>
      <x:c r="O61" s="56" t="n">
        <x:f>'08_Premissas_Custos'!$B$14*M61*(1+IF(L61="Sim",0.25,0))</x:f>
        <x:v>74.4</x:v>
      </x:c>
      <x:c r="P61" s="56" t="n">
        <x:f>'08_Premissas_Custos'!$B$15*M61*(1+IF(I61="Sim",0.20,0)+IF(K61="Sim",0.15,0))</x:f>
        <x:v>83.7</x:v>
      </x:c>
      <x:c r="Q61" s="56" t="n">
        <x:f>'08_Premissas_Custos'!$B$16*M61*IF(J61="Sim",1.6,0.55)</x:f>
        <x:v>15.345000000000002</x:v>
      </x:c>
      <x:c r="R61" s="56" t="n">
        <x:f>'08_Premissas_Custos'!$B$17*M61*IF(I61="Sim",1.8,0.15)</x:f>
        <x:v>2.3249999999999997</x:v>
      </x:c>
      <x:c r="S61" s="56" t="n">
        <x:f>'08_Premissas_Custos'!$B$18*M61*(1+IF(I61="Sim",0.15)+IF(L61="Sim",0.10))</x:f>
        <x:v>31</x:v>
      </x:c>
      <x:c r="T61" s="56" t="n">
        <x:f>'08_Premissas_Custos'!$B$19*M61*(1+IF(J61="Sim",0.15))</x:f>
        <x:v>12.4</x:v>
      </x:c>
      <x:c r="U61" s="56" t="n">
        <x:f>'08_Premissas_Custos'!$B$20*M61*IF(K61="Sim",1.8,0.7)</x:f>
        <x:v>6.51</x:v>
      </x:c>
      <x:c r="V61" s="57" t="n">
        <x:f>SUM(N61:U61)</x:f>
        <x:v>259.78</x:v>
      </x:c>
      <x:c r="W61" s="57" t="n">
        <x:f>V61*(1-H61)*IF(E61="Fase 2",'08_Premissas_Custos'!$F$10,1)</x:f>
        <x:v>259.78</x:v>
      </x:c>
      <x:c r="X61" s="58" t="n">
        <x:f>(N61*'08_Premissas_Custos'!$C$13+O61*'08_Premissas_Custos'!$C$14+P61*'08_Premissas_Custos'!$C$15+Q61*'08_Premissas_Custos'!$C$16+R61*'08_Premissas_Custos'!$C$17+S61*'08_Premissas_Custos'!$C$18+T61*'08_Premissas_Custos'!$C$19+U61*'08_Premissas_Custos'!$C$20)*(1-H61)*IF(E61="Fase 2",'08_Premissas_Custos'!$F$10,1)</x:f>
        <x:v>57904.899999999994</x:v>
      </x:c>
      <x:c r="Y61" s="58" t="n">
        <x:f>X61*'08_Premissas_Custos'!$F$7</x:f>
        <x:v>6948.587999999999</x:v>
      </x:c>
      <x:c r="Z61" s="58" t="n">
        <x:f>(X61+Y61)*'08_Premissas_Custos'!$F$6</x:f>
        <x:v>9728.023199999998</x:v>
      </x:c>
      <x:c r="AA61" s="58" t="n">
        <x:f>SUM(X61:Z61)</x:f>
        <x:v>74581.5112</x:v>
      </x:c>
      <x:c r="AB61" s="14" t="str">
        <x:v>Criar demanda</x:v>
      </x:c>
    </x:row>
    <x:row r="62">
      <x:c r="A62" s="14" t="n">
        <x:v>57</x:v>
      </x:c>
      <x:c r="B62" s="14" t="str">
        <x:v>FOR</x:v>
      </x:c>
      <x:c r="C62" s="14" t="str">
        <x:v>Fornecedores &amp; Negócios</x:v>
      </x:c>
      <x:c r="D62" s="14" t="str">
        <x:v>Reuniões / conexões</x:v>
      </x:c>
      <x:c r="E62" s="14" t="str">
        <x:v>MVP</x:v>
      </x:c>
      <x:c r="F62" s="14" t="str">
        <x:v>Média</x:v>
      </x:c>
      <x:c r="G62" s="14" t="str"/>
      <x:c r="H62" s="54" t="n">
        <x:v>0</x:v>
      </x:c>
      <x:c r="I62" s="44" t="str">
        <x:v>Não</x:v>
      </x:c>
      <x:c r="J62" s="44" t="str">
        <x:v>Não</x:v>
      </x:c>
      <x:c r="K62" s="44" t="str">
        <x:v>Não</x:v>
      </x:c>
      <x:c r="L62" s="44" t="str">
        <x:v>Não</x:v>
      </x:c>
      <x:c r="M62" s="55" t="n">
        <x:f>IF(F62="Baixa",'08_Premissas_Custos'!$B$6,IF(F62="Média",'08_Premissas_Custos'!$B$7,IF(F62="Alta",'08_Premissas_Custos'!$B$8,'08_Premissas_Custos'!$B$9)))</x:f>
        <x:v>1</x:v>
      </x:c>
      <x:c r="N62" s="56" t="n">
        <x:f>'08_Premissas_Custos'!$B$13*M62</x:f>
        <x:v>22</x:v>
      </x:c>
      <x:c r="O62" s="56" t="n">
        <x:f>'08_Premissas_Custos'!$B$14*M62*(1+IF(L62="Sim",0.25,0))</x:f>
        <x:v>48</x:v>
      </x:c>
      <x:c r="P62" s="56" t="n">
        <x:f>'08_Premissas_Custos'!$B$15*M62*(1+IF(I62="Sim",0.20,0)+IF(K62="Sim",0.15,0))</x:f>
        <x:v>54</x:v>
      </x:c>
      <x:c r="Q62" s="56" t="n">
        <x:f>'08_Premissas_Custos'!$B$16*M62*IF(J62="Sim",1.6,0.55)</x:f>
        <x:v>9.9</x:v>
      </x:c>
      <x:c r="R62" s="56" t="n">
        <x:f>'08_Premissas_Custos'!$B$17*M62*IF(I62="Sim",1.8,0.15)</x:f>
        <x:v>1.5</x:v>
      </x:c>
      <x:c r="S62" s="56" t="n">
        <x:f>'08_Premissas_Custos'!$B$18*M62*(1+IF(I62="Sim",0.15)+IF(L62="Sim",0.10))</x:f>
        <x:v>20</x:v>
      </x:c>
      <x:c r="T62" s="56" t="n">
        <x:f>'08_Premissas_Custos'!$B$19*M62*(1+IF(J62="Sim",0.15))</x:f>
        <x:v>8</x:v>
      </x:c>
      <x:c r="U62" s="56" t="n">
        <x:f>'08_Premissas_Custos'!$B$20*M62*IF(K62="Sim",1.8,0.7)</x:f>
        <x:v>4.199999999999999</x:v>
      </x:c>
      <x:c r="V62" s="57" t="n">
        <x:f>SUM(N62:U62)</x:f>
        <x:v>167.6</x:v>
      </x:c>
      <x:c r="W62" s="57" t="n">
        <x:f>V62*(1-H62)*IF(E62="Fase 2",'08_Premissas_Custos'!$F$10,1)</x:f>
        <x:v>167.6</x:v>
      </x:c>
      <x:c r="X62" s="58" t="n">
        <x:f>(N62*'08_Premissas_Custos'!$C$13+O62*'08_Premissas_Custos'!$C$14+P62*'08_Premissas_Custos'!$C$15+Q62*'08_Premissas_Custos'!$C$16+R62*'08_Premissas_Custos'!$C$17+S62*'08_Premissas_Custos'!$C$18+T62*'08_Premissas_Custos'!$C$19+U62*'08_Premissas_Custos'!$C$20)*(1-H62)*IF(E62="Fase 2",'08_Premissas_Custos'!$F$10,1)</x:f>
        <x:v>37358</x:v>
      </x:c>
      <x:c r="Y62" s="58" t="n">
        <x:f>X62*'08_Premissas_Custos'!$F$7</x:f>
        <x:v>4482.96</x:v>
      </x:c>
      <x:c r="Z62" s="58" t="n">
        <x:f>(X62+Y62)*'08_Premissas_Custos'!$F$6</x:f>
        <x:v>6276.143999999999</x:v>
      </x:c>
      <x:c r="AA62" s="58" t="n">
        <x:f>SUM(X62:Z62)</x:f>
        <x:v>48117.104</x:v>
      </x:c>
      <x:c r="AB62" s="14" t="str">
        <x:v>Agenda</x:v>
      </x:c>
    </x:row>
    <x:row r="63">
      <x:c r="A63" s="14" t="n">
        <x:v>58</x:v>
      </x:c>
      <x:c r="B63" s="14" t="str">
        <x:v>FOR</x:v>
      </x:c>
      <x:c r="C63" s="14" t="str">
        <x:v>Fornecedores &amp; Negócios</x:v>
      </x:c>
      <x:c r="D63" s="14" t="str">
        <x:v>Propostas</x:v>
      </x:c>
      <x:c r="E63" s="14" t="str">
        <x:v>Fase 2</x:v>
      </x:c>
      <x:c r="F63" s="14" t="str">
        <x:v>Alta</x:v>
      </x:c>
      <x:c r="G63" s="14" t="str"/>
      <x:c r="H63" s="54" t="n">
        <x:v>0</x:v>
      </x:c>
      <x:c r="I63" s="44" t="str">
        <x:v>Não</x:v>
      </x:c>
      <x:c r="J63" s="44" t="str">
        <x:v>Não</x:v>
      </x:c>
      <x:c r="K63" s="44" t="str">
        <x:v>Não</x:v>
      </x:c>
      <x:c r="L63" s="44" t="str">
        <x:v>Não</x:v>
      </x:c>
      <x:c r="M63" s="55" t="n">
        <x:f>IF(F63="Baixa",'08_Premissas_Custos'!$B$6,IF(F63="Média",'08_Premissas_Custos'!$B$7,IF(F63="Alta",'08_Premissas_Custos'!$B$8,'08_Premissas_Custos'!$B$9)))</x:f>
        <x:v>1.55</x:v>
      </x:c>
      <x:c r="N63" s="56" t="n">
        <x:f>'08_Premissas_Custos'!$B$13*M63</x:f>
        <x:v>34.1</x:v>
      </x:c>
      <x:c r="O63" s="56" t="n">
        <x:f>'08_Premissas_Custos'!$B$14*M63*(1+IF(L63="Sim",0.25,0))</x:f>
        <x:v>74.4</x:v>
      </x:c>
      <x:c r="P63" s="56" t="n">
        <x:f>'08_Premissas_Custos'!$B$15*M63*(1+IF(I63="Sim",0.20,0)+IF(K63="Sim",0.15,0))</x:f>
        <x:v>83.7</x:v>
      </x:c>
      <x:c r="Q63" s="56" t="n">
        <x:f>'08_Premissas_Custos'!$B$16*M63*IF(J63="Sim",1.6,0.55)</x:f>
        <x:v>15.345000000000002</x:v>
      </x:c>
      <x:c r="R63" s="56" t="n">
        <x:f>'08_Premissas_Custos'!$B$17*M63*IF(I63="Sim",1.8,0.15)</x:f>
        <x:v>2.3249999999999997</x:v>
      </x:c>
      <x:c r="S63" s="56" t="n">
        <x:f>'08_Premissas_Custos'!$B$18*M63*(1+IF(I63="Sim",0.15)+IF(L63="Sim",0.10))</x:f>
        <x:v>31</x:v>
      </x:c>
      <x:c r="T63" s="56" t="n">
        <x:f>'08_Premissas_Custos'!$B$19*M63*(1+IF(J63="Sim",0.15))</x:f>
        <x:v>12.4</x:v>
      </x:c>
      <x:c r="U63" s="56" t="n">
        <x:f>'08_Premissas_Custos'!$B$20*M63*IF(K63="Sim",1.8,0.7)</x:f>
        <x:v>6.51</x:v>
      </x:c>
      <x:c r="V63" s="57" t="n">
        <x:f>SUM(N63:U63)</x:f>
        <x:v>259.78</x:v>
      </x:c>
      <x:c r="W63" s="57" t="n">
        <x:f>V63*(1-H63)*IF(E63="Fase 2",'08_Premissas_Custos'!$F$10,1)</x:f>
        <x:v>233.802</x:v>
      </x:c>
      <x:c r="X63" s="58" t="n">
        <x:f>(N63*'08_Premissas_Custos'!$C$13+O63*'08_Premissas_Custos'!$C$14+P63*'08_Premissas_Custos'!$C$15+Q63*'08_Premissas_Custos'!$C$16+R63*'08_Premissas_Custos'!$C$17+S63*'08_Premissas_Custos'!$C$18+T63*'08_Premissas_Custos'!$C$19+U63*'08_Premissas_Custos'!$C$20)*(1-H63)*IF(E63="Fase 2",'08_Premissas_Custos'!$F$10,1)</x:f>
        <x:v>52114.409999999996</x:v>
      </x:c>
      <x:c r="Y63" s="58" t="n">
        <x:f>X63*'08_Premissas_Custos'!$F$7</x:f>
        <x:v>6253.7292</x:v>
      </x:c>
      <x:c r="Z63" s="58" t="n">
        <x:f>(X63+Y63)*'08_Premissas_Custos'!$F$6</x:f>
        <x:v>8755.220879999999</x:v>
      </x:c>
      <x:c r="AA63" s="58" t="n">
        <x:f>SUM(X63:Z63)</x:f>
        <x:v>67123.36008</x:v>
      </x:c>
      <x:c r="AB63" s="14" t="str">
        <x:v>Pipeline</x:v>
      </x:c>
    </x:row>
    <x:row r="64">
      <x:c r="A64" s="14" t="n">
        <x:v>59</x:v>
      </x:c>
      <x:c r="B64" s="14" t="str">
        <x:v>FOR</x:v>
      </x:c>
      <x:c r="C64" s="14" t="str">
        <x:v>Fornecedores &amp; Negócios</x:v>
      </x:c>
      <x:c r="D64" s="14" t="str">
        <x:v>Negociações</x:v>
      </x:c>
      <x:c r="E64" s="14" t="str">
        <x:v>Fase 2</x:v>
      </x:c>
      <x:c r="F64" s="14" t="str">
        <x:v>Alta</x:v>
      </x:c>
      <x:c r="G64" s="14" t="str"/>
      <x:c r="H64" s="54" t="n">
        <x:v>0</x:v>
      </x:c>
      <x:c r="I64" s="44" t="str">
        <x:v>Não</x:v>
      </x:c>
      <x:c r="J64" s="44" t="str">
        <x:v>Não</x:v>
      </x:c>
      <x:c r="K64" s="44" t="str">
        <x:v>Não</x:v>
      </x:c>
      <x:c r="L64" s="44" t="str">
        <x:v>Não</x:v>
      </x:c>
      <x:c r="M64" s="55" t="n">
        <x:f>IF(F64="Baixa",'08_Premissas_Custos'!$B$6,IF(F64="Média",'08_Premissas_Custos'!$B$7,IF(F64="Alta",'08_Premissas_Custos'!$B$8,'08_Premissas_Custos'!$B$9)))</x:f>
        <x:v>1.55</x:v>
      </x:c>
      <x:c r="N64" s="56" t="n">
        <x:f>'08_Premissas_Custos'!$B$13*M64</x:f>
        <x:v>34.1</x:v>
      </x:c>
      <x:c r="O64" s="56" t="n">
        <x:f>'08_Premissas_Custos'!$B$14*M64*(1+IF(L64="Sim",0.25,0))</x:f>
        <x:v>74.4</x:v>
      </x:c>
      <x:c r="P64" s="56" t="n">
        <x:f>'08_Premissas_Custos'!$B$15*M64*(1+IF(I64="Sim",0.20,0)+IF(K64="Sim",0.15,0))</x:f>
        <x:v>83.7</x:v>
      </x:c>
      <x:c r="Q64" s="56" t="n">
        <x:f>'08_Premissas_Custos'!$B$16*M64*IF(J64="Sim",1.6,0.55)</x:f>
        <x:v>15.345000000000002</x:v>
      </x:c>
      <x:c r="R64" s="56" t="n">
        <x:f>'08_Premissas_Custos'!$B$17*M64*IF(I64="Sim",1.8,0.15)</x:f>
        <x:v>2.3249999999999997</x:v>
      </x:c>
      <x:c r="S64" s="56" t="n">
        <x:f>'08_Premissas_Custos'!$B$18*M64*(1+IF(I64="Sim",0.15)+IF(L64="Sim",0.10))</x:f>
        <x:v>31</x:v>
      </x:c>
      <x:c r="T64" s="56" t="n">
        <x:f>'08_Premissas_Custos'!$B$19*M64*(1+IF(J64="Sim",0.15))</x:f>
        <x:v>12.4</x:v>
      </x:c>
      <x:c r="U64" s="56" t="n">
        <x:f>'08_Premissas_Custos'!$B$20*M64*IF(K64="Sim",1.8,0.7)</x:f>
        <x:v>6.51</x:v>
      </x:c>
      <x:c r="V64" s="57" t="n">
        <x:f>SUM(N64:U64)</x:f>
        <x:v>259.78</x:v>
      </x:c>
      <x:c r="W64" s="57" t="n">
        <x:f>V64*(1-H64)*IF(E64="Fase 2",'08_Premissas_Custos'!$F$10,1)</x:f>
        <x:v>233.802</x:v>
      </x:c>
      <x:c r="X64" s="58" t="n">
        <x:f>(N64*'08_Premissas_Custos'!$C$13+O64*'08_Premissas_Custos'!$C$14+P64*'08_Premissas_Custos'!$C$15+Q64*'08_Premissas_Custos'!$C$16+R64*'08_Premissas_Custos'!$C$17+S64*'08_Premissas_Custos'!$C$18+T64*'08_Premissas_Custos'!$C$19+U64*'08_Premissas_Custos'!$C$20)*(1-H64)*IF(E64="Fase 2",'08_Premissas_Custos'!$F$10,1)</x:f>
        <x:v>52114.409999999996</x:v>
      </x:c>
      <x:c r="Y64" s="58" t="n">
        <x:f>X64*'08_Premissas_Custos'!$F$7</x:f>
        <x:v>6253.7292</x:v>
      </x:c>
      <x:c r="Z64" s="58" t="n">
        <x:f>(X64+Y64)*'08_Premissas_Custos'!$F$6</x:f>
        <x:v>8755.220879999999</x:v>
      </x:c>
      <x:c r="AA64" s="58" t="n">
        <x:f>SUM(X64:Z64)</x:f>
        <x:v>67123.36008</x:v>
      </x:c>
      <x:c r="AB64" s="14" t="str">
        <x:v>Pipeline</x:v>
      </x:c>
    </x:row>
    <x:row r="65">
      <x:c r="A65" s="14" t="n">
        <x:v>60</x:v>
      </x:c>
      <x:c r="B65" s="14" t="str">
        <x:v>FOR</x:v>
      </x:c>
      <x:c r="C65" s="14" t="str">
        <x:v>Fornecedores &amp; Negócios</x:v>
      </x:c>
      <x:c r="D65" s="14" t="str">
        <x:v>Contratos / negócios</x:v>
      </x:c>
      <x:c r="E65" s="14" t="str">
        <x:v>Fase 2</x:v>
      </x:c>
      <x:c r="F65" s="14" t="str">
        <x:v>Alta</x:v>
      </x:c>
      <x:c r="G65" s="14" t="str"/>
      <x:c r="H65" s="54" t="n">
        <x:v>0</x:v>
      </x:c>
      <x:c r="I65" s="44" t="str">
        <x:v>Não</x:v>
      </x:c>
      <x:c r="J65" s="44" t="str">
        <x:v>Não</x:v>
      </x:c>
      <x:c r="K65" s="44" t="str">
        <x:v>Não</x:v>
      </x:c>
      <x:c r="L65" s="44" t="str">
        <x:v>Não</x:v>
      </x:c>
      <x:c r="M65" s="55" t="n">
        <x:f>IF(F65="Baixa",'08_Premissas_Custos'!$B$6,IF(F65="Média",'08_Premissas_Custos'!$B$7,IF(F65="Alta",'08_Premissas_Custos'!$B$8,'08_Premissas_Custos'!$B$9)))</x:f>
        <x:v>1.55</x:v>
      </x:c>
      <x:c r="N65" s="56" t="n">
        <x:f>'08_Premissas_Custos'!$B$13*M65</x:f>
        <x:v>34.1</x:v>
      </x:c>
      <x:c r="O65" s="56" t="n">
        <x:f>'08_Premissas_Custos'!$B$14*M65*(1+IF(L65="Sim",0.25,0))</x:f>
        <x:v>74.4</x:v>
      </x:c>
      <x:c r="P65" s="56" t="n">
        <x:f>'08_Premissas_Custos'!$B$15*M65*(1+IF(I65="Sim",0.20,0)+IF(K65="Sim",0.15,0))</x:f>
        <x:v>83.7</x:v>
      </x:c>
      <x:c r="Q65" s="56" t="n">
        <x:f>'08_Premissas_Custos'!$B$16*M65*IF(J65="Sim",1.6,0.55)</x:f>
        <x:v>15.345000000000002</x:v>
      </x:c>
      <x:c r="R65" s="56" t="n">
        <x:f>'08_Premissas_Custos'!$B$17*M65*IF(I65="Sim",1.8,0.15)</x:f>
        <x:v>2.3249999999999997</x:v>
      </x:c>
      <x:c r="S65" s="56" t="n">
        <x:f>'08_Premissas_Custos'!$B$18*M65*(1+IF(I65="Sim",0.15)+IF(L65="Sim",0.10))</x:f>
        <x:v>31</x:v>
      </x:c>
      <x:c r="T65" s="56" t="n">
        <x:f>'08_Premissas_Custos'!$B$19*M65*(1+IF(J65="Sim",0.15))</x:f>
        <x:v>12.4</x:v>
      </x:c>
      <x:c r="U65" s="56" t="n">
        <x:f>'08_Premissas_Custos'!$B$20*M65*IF(K65="Sim",1.8,0.7)</x:f>
        <x:v>6.51</x:v>
      </x:c>
      <x:c r="V65" s="57" t="n">
        <x:f>SUM(N65:U65)</x:f>
        <x:v>259.78</x:v>
      </x:c>
      <x:c r="W65" s="57" t="n">
        <x:f>V65*(1-H65)*IF(E65="Fase 2",'08_Premissas_Custos'!$F$10,1)</x:f>
        <x:v>233.802</x:v>
      </x:c>
      <x:c r="X65" s="58" t="n">
        <x:f>(N65*'08_Premissas_Custos'!$C$13+O65*'08_Premissas_Custos'!$C$14+P65*'08_Premissas_Custos'!$C$15+Q65*'08_Premissas_Custos'!$C$16+R65*'08_Premissas_Custos'!$C$17+S65*'08_Premissas_Custos'!$C$18+T65*'08_Premissas_Custos'!$C$19+U65*'08_Premissas_Custos'!$C$20)*(1-H65)*IF(E65="Fase 2",'08_Premissas_Custos'!$F$10,1)</x:f>
        <x:v>52114.409999999996</x:v>
      </x:c>
      <x:c r="Y65" s="58" t="n">
        <x:f>X65*'08_Premissas_Custos'!$F$7</x:f>
        <x:v>6253.7292</x:v>
      </x:c>
      <x:c r="Z65" s="58" t="n">
        <x:f>(X65+Y65)*'08_Premissas_Custos'!$F$6</x:f>
        <x:v>8755.220879999999</x:v>
      </x:c>
      <x:c r="AA65" s="58" t="n">
        <x:f>SUM(X65:Z65)</x:f>
        <x:v>67123.36008</x:v>
      </x:c>
      <x:c r="AB65" s="14" t="str">
        <x:v>Conversão</x:v>
      </x:c>
    </x:row>
    <x:row r="66">
      <x:c r="A66" s="14" t="n">
        <x:v>61</x:v>
      </x:c>
      <x:c r="B66" s="14" t="str">
        <x:v>FOR</x:v>
      </x:c>
      <x:c r="C66" s="14" t="str">
        <x:v>Fornecedores &amp; Negócios</x:v>
      </x:c>
      <x:c r="D66" s="14" t="str">
        <x:v>Indicadores do ecossistema</x:v>
      </x:c>
      <x:c r="E66" s="14" t="str">
        <x:v>MVP</x:v>
      </x:c>
      <x:c r="F66" s="14" t="str">
        <x:v>Alta</x:v>
      </x:c>
      <x:c r="G66" s="14" t="str">
        <x:v>Indicadores do ecossistema</x:v>
      </x:c>
      <x:c r="H66" s="54" t="n">
        <x:v>0.45</x:v>
      </x:c>
      <x:c r="I66" s="44" t="str">
        <x:v>Não</x:v>
      </x:c>
      <x:c r="J66" s="44" t="str">
        <x:v>Sim</x:v>
      </x:c>
      <x:c r="K66" s="44" t="str">
        <x:v>Não</x:v>
      </x:c>
      <x:c r="L66" s="44" t="str">
        <x:v>Não</x:v>
      </x:c>
      <x:c r="M66" s="55" t="n">
        <x:f>IF(F66="Baixa",'08_Premissas_Custos'!$B$6,IF(F66="Média",'08_Premissas_Custos'!$B$7,IF(F66="Alta",'08_Premissas_Custos'!$B$8,'08_Premissas_Custos'!$B$9)))</x:f>
        <x:v>1.55</x:v>
      </x:c>
      <x:c r="N66" s="56" t="n">
        <x:f>'08_Premissas_Custos'!$B$13*M66</x:f>
        <x:v>34.1</x:v>
      </x:c>
      <x:c r="O66" s="56" t="n">
        <x:f>'08_Premissas_Custos'!$B$14*M66*(1+IF(L66="Sim",0.25,0))</x:f>
        <x:v>74.4</x:v>
      </x:c>
      <x:c r="P66" s="56" t="n">
        <x:f>'08_Premissas_Custos'!$B$15*M66*(1+IF(I66="Sim",0.20,0)+IF(K66="Sim",0.15,0))</x:f>
        <x:v>83.7</x:v>
      </x:c>
      <x:c r="Q66" s="56" t="n">
        <x:f>'08_Premissas_Custos'!$B$16*M66*IF(J66="Sim",1.6,0.55)</x:f>
        <x:v>44.64000000000001</x:v>
      </x:c>
      <x:c r="R66" s="56" t="n">
        <x:f>'08_Premissas_Custos'!$B$17*M66*IF(I66="Sim",1.8,0.15)</x:f>
        <x:v>2.3249999999999997</x:v>
      </x:c>
      <x:c r="S66" s="56" t="n">
        <x:f>'08_Premissas_Custos'!$B$18*M66*(1+IF(I66="Sim",0.15)+IF(L66="Sim",0.10))</x:f>
        <x:v>31</x:v>
      </x:c>
      <x:c r="T66" s="56" t="n">
        <x:f>'08_Premissas_Custos'!$B$19*M66*(1+IF(J66="Sim",0.15))</x:f>
        <x:v>14.26</x:v>
      </x:c>
      <x:c r="U66" s="56" t="n">
        <x:f>'08_Premissas_Custos'!$B$20*M66*IF(K66="Sim",1.8,0.7)</x:f>
        <x:v>6.51</x:v>
      </x:c>
      <x:c r="V66" s="57" t="n">
        <x:f>SUM(N66:U66)</x:f>
        <x:v>290.93499999999995</x:v>
      </x:c>
      <x:c r="W66" s="57" t="n">
        <x:f>V66*(1-H66)*IF(E66="Fase 2",'08_Premissas_Custos'!$F$10,1)</x:f>
        <x:v>160.01424999999998</x:v>
      </x:c>
      <x:c r="X66" s="58" t="n">
        <x:f>(N66*'08_Premissas_Custos'!$C$13+O66*'08_Premissas_Custos'!$C$14+P66*'08_Premissas_Custos'!$C$15+Q66*'08_Premissas_Custos'!$C$16+R66*'08_Premissas_Custos'!$C$17+S66*'08_Premissas_Custos'!$C$18+T66*'08_Premissas_Custos'!$C$19+U66*'08_Premissas_Custos'!$C$20)*(1-H66)*IF(E66="Fase 2",'08_Premissas_Custos'!$F$10,1)</x:f>
        <x:v>36302.86</x:v>
      </x:c>
      <x:c r="Y66" s="58" t="n">
        <x:f>X66*'08_Premissas_Custos'!$F$7</x:f>
        <x:v>4356.3432</x:v>
      </x:c>
      <x:c r="Z66" s="58" t="n">
        <x:f>(X66+Y66)*'08_Premissas_Custos'!$F$6</x:f>
        <x:v>6098.880480000001</x:v>
      </x:c>
      <x:c r="AA66" s="58" t="n">
        <x:f>SUM(X66:Z66)</x:f>
        <x:v>46758.08368</x:v>
      </x:c>
      <x:c r="AB66" s="14" t="str">
        <x:v>Impacto</x:v>
      </x:c>
    </x:row>
    <x:row r="67">
      <x:c r="A67" s="14" t="n">
        <x:v>62</x:v>
      </x:c>
      <x:c r="B67" s="14" t="str">
        <x:v>ACA</x:v>
      </x:c>
      <x:c r="C67" s="14" t="str">
        <x:v>Acadêmico / Universidades</x:v>
      </x:c>
      <x:c r="D67" s="14" t="str">
        <x:v>Portal da universidade</x:v>
      </x:c>
      <x:c r="E67" s="14" t="str">
        <x:v>MVP</x:v>
      </x:c>
      <x:c r="F67" s="14" t="str">
        <x:v>Média</x:v>
      </x:c>
      <x:c r="G67" s="14" t="str"/>
      <x:c r="H67" s="54" t="n">
        <x:v>0</x:v>
      </x:c>
      <x:c r="I67" s="44" t="str">
        <x:v>Não</x:v>
      </x:c>
      <x:c r="J67" s="44" t="str">
        <x:v>Não</x:v>
      </x:c>
      <x:c r="K67" s="44" t="str">
        <x:v>Não</x:v>
      </x:c>
      <x:c r="L67" s="44" t="str">
        <x:v>Não</x:v>
      </x:c>
      <x:c r="M67" s="55" t="n">
        <x:f>IF(F67="Baixa",'08_Premissas_Custos'!$B$6,IF(F67="Média",'08_Premissas_Custos'!$B$7,IF(F67="Alta",'08_Premissas_Custos'!$B$8,'08_Premissas_Custos'!$B$9)))</x:f>
        <x:v>1</x:v>
      </x:c>
      <x:c r="N67" s="56" t="n">
        <x:f>'08_Premissas_Custos'!$B$13*M67</x:f>
        <x:v>22</x:v>
      </x:c>
      <x:c r="O67" s="56" t="n">
        <x:f>'08_Premissas_Custos'!$B$14*M67*(1+IF(L67="Sim",0.25,0))</x:f>
        <x:v>48</x:v>
      </x:c>
      <x:c r="P67" s="56" t="n">
        <x:f>'08_Premissas_Custos'!$B$15*M67*(1+IF(I67="Sim",0.20,0)+IF(K67="Sim",0.15,0))</x:f>
        <x:v>54</x:v>
      </x:c>
      <x:c r="Q67" s="56" t="n">
        <x:f>'08_Premissas_Custos'!$B$16*M67*IF(J67="Sim",1.6,0.55)</x:f>
        <x:v>9.9</x:v>
      </x:c>
      <x:c r="R67" s="56" t="n">
        <x:f>'08_Premissas_Custos'!$B$17*M67*IF(I67="Sim",1.8,0.15)</x:f>
        <x:v>1.5</x:v>
      </x:c>
      <x:c r="S67" s="56" t="n">
        <x:f>'08_Premissas_Custos'!$B$18*M67*(1+IF(I67="Sim",0.15)+IF(L67="Sim",0.10))</x:f>
        <x:v>20</x:v>
      </x:c>
      <x:c r="T67" s="56" t="n">
        <x:f>'08_Premissas_Custos'!$B$19*M67*(1+IF(J67="Sim",0.15))</x:f>
        <x:v>8</x:v>
      </x:c>
      <x:c r="U67" s="56" t="n">
        <x:f>'08_Premissas_Custos'!$B$20*M67*IF(K67="Sim",1.8,0.7)</x:f>
        <x:v>4.199999999999999</x:v>
      </x:c>
      <x:c r="V67" s="57" t="n">
        <x:f>SUM(N67:U67)</x:f>
        <x:v>167.6</x:v>
      </x:c>
      <x:c r="W67" s="57" t="n">
        <x:f>V67*(1-H67)*IF(E67="Fase 2",'08_Premissas_Custos'!$F$10,1)</x:f>
        <x:v>167.6</x:v>
      </x:c>
      <x:c r="X67" s="58" t="n">
        <x:f>(N67*'08_Premissas_Custos'!$C$13+O67*'08_Premissas_Custos'!$C$14+P67*'08_Premissas_Custos'!$C$15+Q67*'08_Premissas_Custos'!$C$16+R67*'08_Premissas_Custos'!$C$17+S67*'08_Premissas_Custos'!$C$18+T67*'08_Premissas_Custos'!$C$19+U67*'08_Premissas_Custos'!$C$20)*(1-H67)*IF(E67="Fase 2",'08_Premissas_Custos'!$F$10,1)</x:f>
        <x:v>37358</x:v>
      </x:c>
      <x:c r="Y67" s="58" t="n">
        <x:f>X67*'08_Premissas_Custos'!$F$7</x:f>
        <x:v>4482.96</x:v>
      </x:c>
      <x:c r="Z67" s="58" t="n">
        <x:f>(X67+Y67)*'08_Premissas_Custos'!$F$6</x:f>
        <x:v>6276.143999999999</x:v>
      </x:c>
      <x:c r="AA67" s="58" t="n">
        <x:f>SUM(X67:Z67)</x:f>
        <x:v>48117.104</x:v>
      </x:c>
      <x:c r="AB67" s="14" t="str">
        <x:v>Institucional</x:v>
      </x:c>
    </x:row>
    <x:row r="68">
      <x:c r="A68" s="14" t="n">
        <x:v>63</x:v>
      </x:c>
      <x:c r="B68" s="14" t="str">
        <x:v>ACA</x:v>
      </x:c>
      <x:c r="C68" s="14" t="str">
        <x:v>Acadêmico / Universidades</x:v>
      </x:c>
      <x:c r="D68" s="14" t="str">
        <x:v>Perfil acadêmico do aluno</x:v>
      </x:c>
      <x:c r="E68" s="14" t="str">
        <x:v>MVP</x:v>
      </x:c>
      <x:c r="F68" s="14" t="str">
        <x:v>Média</x:v>
      </x:c>
      <x:c r="G68" s="14" t="str">
        <x:v>Perfil acadêmico do aluno</x:v>
      </x:c>
      <x:c r="H68" s="54" t="n">
        <x:v>0.45</x:v>
      </x:c>
      <x:c r="I68" s="44" t="str">
        <x:v>Não</x:v>
      </x:c>
      <x:c r="J68" s="44" t="str">
        <x:v>Não</x:v>
      </x:c>
      <x:c r="K68" s="44" t="str">
        <x:v>Não</x:v>
      </x:c>
      <x:c r="L68" s="44" t="str">
        <x:v>Sim</x:v>
      </x:c>
      <x:c r="M68" s="55" t="n">
        <x:f>IF(F68="Baixa",'08_Premissas_Custos'!$B$6,IF(F68="Média",'08_Premissas_Custos'!$B$7,IF(F68="Alta",'08_Premissas_Custos'!$B$8,'08_Premissas_Custos'!$B$9)))</x:f>
        <x:v>1</x:v>
      </x:c>
      <x:c r="N68" s="56" t="n">
        <x:f>'08_Premissas_Custos'!$B$13*M68</x:f>
        <x:v>22</x:v>
      </x:c>
      <x:c r="O68" s="56" t="n">
        <x:f>'08_Premissas_Custos'!$B$14*M68*(1+IF(L68="Sim",0.25,0))</x:f>
        <x:v>60</x:v>
      </x:c>
      <x:c r="P68" s="56" t="n">
        <x:f>'08_Premissas_Custos'!$B$15*M68*(1+IF(I68="Sim",0.20,0)+IF(K68="Sim",0.15,0))</x:f>
        <x:v>54</x:v>
      </x:c>
      <x:c r="Q68" s="56" t="n">
        <x:f>'08_Premissas_Custos'!$B$16*M68*IF(J68="Sim",1.6,0.55)</x:f>
        <x:v>9.9</x:v>
      </x:c>
      <x:c r="R68" s="56" t="n">
        <x:f>'08_Premissas_Custos'!$B$17*M68*IF(I68="Sim",1.8,0.15)</x:f>
        <x:v>1.5</x:v>
      </x:c>
      <x:c r="S68" s="56" t="n">
        <x:f>'08_Premissas_Custos'!$B$18*M68*(1+IF(I68="Sim",0.15)+IF(L68="Sim",0.10))</x:f>
        <x:v>22</x:v>
      </x:c>
      <x:c r="T68" s="56" t="n">
        <x:f>'08_Premissas_Custos'!$B$19*M68*(1+IF(J68="Sim",0.15))</x:f>
        <x:v>8</x:v>
      </x:c>
      <x:c r="U68" s="56" t="n">
        <x:f>'08_Premissas_Custos'!$B$20*M68*IF(K68="Sim",1.8,0.7)</x:f>
        <x:v>4.199999999999999</x:v>
      </x:c>
      <x:c r="V68" s="57" t="n">
        <x:f>SUM(N68:U68)</x:f>
        <x:v>181.6</x:v>
      </x:c>
      <x:c r="W68" s="57" t="n">
        <x:f>V68*(1-H68)*IF(E68="Fase 2",'08_Premissas_Custos'!$F$10,1)</x:f>
        <x:v>99.88000000000001</x:v>
      </x:c>
      <x:c r="X68" s="58" t="n">
        <x:f>(N68*'08_Premissas_Custos'!$C$13+O68*'08_Premissas_Custos'!$C$14+P68*'08_Premissas_Custos'!$C$15+Q68*'08_Premissas_Custos'!$C$16+R68*'08_Premissas_Custos'!$C$17+S68*'08_Premissas_Custos'!$C$18+T68*'08_Premissas_Custos'!$C$19+U68*'08_Premissas_Custos'!$C$20)*(1-H68)*IF(E68="Fase 2",'08_Premissas_Custos'!$F$10,1)</x:f>
        <x:v>22185.9</x:v>
      </x:c>
      <x:c r="Y68" s="58" t="n">
        <x:f>X68*'08_Premissas_Custos'!$F$7</x:f>
        <x:v>2662.308</x:v>
      </x:c>
      <x:c r="Z68" s="58" t="n">
        <x:f>(X68+Y68)*'08_Premissas_Custos'!$F$6</x:f>
        <x:v>3727.2312</x:v>
      </x:c>
      <x:c r="AA68" s="58" t="n">
        <x:f>SUM(X68:Z68)</x:f>
        <x:v>28575.4392</x:v>
      </x:c>
      <x:c r="AB68" s="14" t="str">
        <x:v>Formação</x:v>
      </x:c>
    </x:row>
    <x:row r="69">
      <x:c r="A69" s="14" t="n">
        <x:v>64</x:v>
      </x:c>
      <x:c r="B69" s="14" t="str">
        <x:v>ACA</x:v>
      </x:c>
      <x:c r="C69" s="14" t="str">
        <x:v>Acadêmico / Universidades</x:v>
      </x:c>
      <x:c r="D69" s="14" t="str">
        <x:v>Perfil pesquisador/docente</x:v>
      </x:c>
      <x:c r="E69" s="14" t="str">
        <x:v>Fase 2</x:v>
      </x:c>
      <x:c r="F69" s="14" t="str">
        <x:v>Média</x:v>
      </x:c>
      <x:c r="G69" s="14" t="str">
        <x:v>Perfil pesquisador/docente</x:v>
      </x:c>
      <x:c r="H69" s="54" t="n">
        <x:v>0.45</x:v>
      </x:c>
      <x:c r="I69" s="44" t="str">
        <x:v>Não</x:v>
      </x:c>
      <x:c r="J69" s="44" t="str">
        <x:v>Sim</x:v>
      </x:c>
      <x:c r="K69" s="44" t="str">
        <x:v>Não</x:v>
      </x:c>
      <x:c r="L69" s="44" t="str">
        <x:v>Não</x:v>
      </x:c>
      <x:c r="M69" s="55" t="n">
        <x:f>IF(F69="Baixa",'08_Premissas_Custos'!$B$6,IF(F69="Média",'08_Premissas_Custos'!$B$7,IF(F69="Alta",'08_Premissas_Custos'!$B$8,'08_Premissas_Custos'!$B$9)))</x:f>
        <x:v>1</x:v>
      </x:c>
      <x:c r="N69" s="56" t="n">
        <x:f>'08_Premissas_Custos'!$B$13*M69</x:f>
        <x:v>22</x:v>
      </x:c>
      <x:c r="O69" s="56" t="n">
        <x:f>'08_Premissas_Custos'!$B$14*M69*(1+IF(L69="Sim",0.25,0))</x:f>
        <x:v>48</x:v>
      </x:c>
      <x:c r="P69" s="56" t="n">
        <x:f>'08_Premissas_Custos'!$B$15*M69*(1+IF(I69="Sim",0.20,0)+IF(K69="Sim",0.15,0))</x:f>
        <x:v>54</x:v>
      </x:c>
      <x:c r="Q69" s="56" t="n">
        <x:f>'08_Premissas_Custos'!$B$16*M69*IF(J69="Sim",1.6,0.55)</x:f>
        <x:v>28.8</x:v>
      </x:c>
      <x:c r="R69" s="56" t="n">
        <x:f>'08_Premissas_Custos'!$B$17*M69*IF(I69="Sim",1.8,0.15)</x:f>
        <x:v>1.5</x:v>
      </x:c>
      <x:c r="S69" s="56" t="n">
        <x:f>'08_Premissas_Custos'!$B$18*M69*(1+IF(I69="Sim",0.15)+IF(L69="Sim",0.10))</x:f>
        <x:v>20</x:v>
      </x:c>
      <x:c r="T69" s="56" t="n">
        <x:f>'08_Premissas_Custos'!$B$19*M69*(1+IF(J69="Sim",0.15))</x:f>
        <x:v>9.2</x:v>
      </x:c>
      <x:c r="U69" s="56" t="n">
        <x:f>'08_Premissas_Custos'!$B$20*M69*IF(K69="Sim",1.8,0.7)</x:f>
        <x:v>4.199999999999999</x:v>
      </x:c>
      <x:c r="V69" s="57" t="n">
        <x:f>SUM(N69:U69)</x:f>
        <x:v>187.7</x:v>
      </x:c>
      <x:c r="W69" s="57" t="n">
        <x:f>V69*(1-H69)*IF(E69="Fase 2",'08_Premissas_Custos'!$F$10,1)</x:f>
        <x:v>92.9115</x:v>
      </x:c>
      <x:c r="X69" s="58" t="n">
        <x:f>(N69*'08_Premissas_Custos'!$C$13+O69*'08_Premissas_Custos'!$C$14+P69*'08_Premissas_Custos'!$C$15+Q69*'08_Premissas_Custos'!$C$16+R69*'08_Premissas_Custos'!$C$17+S69*'08_Premissas_Custos'!$C$18+T69*'08_Premissas_Custos'!$C$19+U69*'08_Premissas_Custos'!$C$20)*(1-H69)*IF(E69="Fase 2",'08_Premissas_Custos'!$F$10,1)</x:f>
        <x:v>21079.08</x:v>
      </x:c>
      <x:c r="Y69" s="58" t="n">
        <x:f>X69*'08_Premissas_Custos'!$F$7</x:f>
        <x:v>2529.4896000000003</x:v>
      </x:c>
      <x:c r="Z69" s="58" t="n">
        <x:f>(X69+Y69)*'08_Premissas_Custos'!$F$6</x:f>
        <x:v>3541.28544</x:v>
      </x:c>
      <x:c r="AA69" s="58" t="n">
        <x:f>SUM(X69:Z69)</x:f>
        <x:v>27149.855040000002</x:v>
      </x:c>
      <x:c r="AB69" s="14" t="str">
        <x:v>Linhas</x:v>
      </x:c>
    </x:row>
    <x:row r="70">
      <x:c r="A70" s="14" t="n">
        <x:v>65</x:v>
      </x:c>
      <x:c r="B70" s="14" t="str">
        <x:v>ACA</x:v>
      </x:c>
      <x:c r="C70" s="14" t="str">
        <x:v>Acadêmico / Universidades</x:v>
      </x:c>
      <x:c r="D70" s="14" t="str">
        <x:v>Oportunidades acadêmicas</x:v>
      </x:c>
      <x:c r="E70" s="14" t="str">
        <x:v>MVP</x:v>
      </x:c>
      <x:c r="F70" s="14" t="str">
        <x:v>Média</x:v>
      </x:c>
      <x:c r="G70" s="14" t="str"/>
      <x:c r="H70" s="54" t="n">
        <x:v>0</x:v>
      </x:c>
      <x:c r="I70" s="44" t="str">
        <x:v>Não</x:v>
      </x:c>
      <x:c r="J70" s="44" t="str">
        <x:v>Não</x:v>
      </x:c>
      <x:c r="K70" s="44" t="str">
        <x:v>Não</x:v>
      </x:c>
      <x:c r="L70" s="44" t="str">
        <x:v>Sim</x:v>
      </x:c>
      <x:c r="M70" s="55" t="n">
        <x:f>IF(F70="Baixa",'08_Premissas_Custos'!$B$6,IF(F70="Média",'08_Premissas_Custos'!$B$7,IF(F70="Alta",'08_Premissas_Custos'!$B$8,'08_Premissas_Custos'!$B$9)))</x:f>
        <x:v>1</x:v>
      </x:c>
      <x:c r="N70" s="56" t="n">
        <x:f>'08_Premissas_Custos'!$B$13*M70</x:f>
        <x:v>22</x:v>
      </x:c>
      <x:c r="O70" s="56" t="n">
        <x:f>'08_Premissas_Custos'!$B$14*M70*(1+IF(L70="Sim",0.25,0))</x:f>
        <x:v>60</x:v>
      </x:c>
      <x:c r="P70" s="56" t="n">
        <x:f>'08_Premissas_Custos'!$B$15*M70*(1+IF(I70="Sim",0.20,0)+IF(K70="Sim",0.15,0))</x:f>
        <x:v>54</x:v>
      </x:c>
      <x:c r="Q70" s="56" t="n">
        <x:f>'08_Premissas_Custos'!$B$16*M70*IF(J70="Sim",1.6,0.55)</x:f>
        <x:v>9.9</x:v>
      </x:c>
      <x:c r="R70" s="56" t="n">
        <x:f>'08_Premissas_Custos'!$B$17*M70*IF(I70="Sim",1.8,0.15)</x:f>
        <x:v>1.5</x:v>
      </x:c>
      <x:c r="S70" s="56" t="n">
        <x:f>'08_Premissas_Custos'!$B$18*M70*(1+IF(I70="Sim",0.15)+IF(L70="Sim",0.10))</x:f>
        <x:v>22</x:v>
      </x:c>
      <x:c r="T70" s="56" t="n">
        <x:f>'08_Premissas_Custos'!$B$19*M70*(1+IF(J70="Sim",0.15))</x:f>
        <x:v>8</x:v>
      </x:c>
      <x:c r="U70" s="56" t="n">
        <x:f>'08_Premissas_Custos'!$B$20*M70*IF(K70="Sim",1.8,0.7)</x:f>
        <x:v>4.199999999999999</x:v>
      </x:c>
      <x:c r="V70" s="57" t="n">
        <x:f>SUM(N70:U70)</x:f>
        <x:v>181.6</x:v>
      </x:c>
      <x:c r="W70" s="57" t="n">
        <x:f>V70*(1-H70)*IF(E70="Fase 2",'08_Premissas_Custos'!$F$10,1)</x:f>
        <x:v>181.6</x:v>
      </x:c>
      <x:c r="X70" s="58" t="n">
        <x:f>(N70*'08_Premissas_Custos'!$C$13+O70*'08_Premissas_Custos'!$C$14+P70*'08_Premissas_Custos'!$C$15+Q70*'08_Premissas_Custos'!$C$16+R70*'08_Premissas_Custos'!$C$17+S70*'08_Premissas_Custos'!$C$18+T70*'08_Premissas_Custos'!$C$19+U70*'08_Premissas_Custos'!$C$20)*(1-H70)*IF(E70="Fase 2",'08_Premissas_Custos'!$F$10,1)</x:f>
        <x:v>40338</x:v>
      </x:c>
      <x:c r="Y70" s="58" t="n">
        <x:f>X70*'08_Premissas_Custos'!$F$7</x:f>
        <x:v>4840.5599999999995</x:v>
      </x:c>
      <x:c r="Z70" s="58" t="n">
        <x:f>(X70+Y70)*'08_Premissas_Custos'!$F$6</x:f>
        <x:v>6776.784</x:v>
      </x:c>
      <x:c r="AA70" s="58" t="n">
        <x:f>SUM(X70:Z70)</x:f>
        <x:v>51955.344</x:v>
      </x:c>
      <x:c r="AB70" s="14" t="str">
        <x:v>Bolsas/projetos</x:v>
      </x:c>
    </x:row>
    <x:row r="71">
      <x:c r="A71" s="14" t="n">
        <x:v>66</x:v>
      </x:c>
      <x:c r="B71" s="14" t="str">
        <x:v>ACA</x:v>
      </x:c>
      <x:c r="C71" s="14" t="str">
        <x:v>Acadêmico / Universidades</x:v>
      </x:c>
      <x:c r="D71" s="14" t="str">
        <x:v>Projetos empresa-universidade</x:v>
      </x:c>
      <x:c r="E71" s="14" t="str">
        <x:v>MVP</x:v>
      </x:c>
      <x:c r="F71" s="14" t="str">
        <x:v>Alta</x:v>
      </x:c>
      <x:c r="G71" s="14" t="str"/>
      <x:c r="H71" s="54" t="n">
        <x:v>0</x:v>
      </x:c>
      <x:c r="I71" s="44" t="str">
        <x:v>Não</x:v>
      </x:c>
      <x:c r="J71" s="44" t="str">
        <x:v>Não</x:v>
      </x:c>
      <x:c r="K71" s="44" t="str">
        <x:v>Não</x:v>
      </x:c>
      <x:c r="L71" s="44" t="str">
        <x:v>Não</x:v>
      </x:c>
      <x:c r="M71" s="55" t="n">
        <x:f>IF(F71="Baixa",'08_Premissas_Custos'!$B$6,IF(F71="Média",'08_Premissas_Custos'!$B$7,IF(F71="Alta",'08_Premissas_Custos'!$B$8,'08_Premissas_Custos'!$B$9)))</x:f>
        <x:v>1.55</x:v>
      </x:c>
      <x:c r="N71" s="56" t="n">
        <x:f>'08_Premissas_Custos'!$B$13*M71</x:f>
        <x:v>34.1</x:v>
      </x:c>
      <x:c r="O71" s="56" t="n">
        <x:f>'08_Premissas_Custos'!$B$14*M71*(1+IF(L71="Sim",0.25,0))</x:f>
        <x:v>74.4</x:v>
      </x:c>
      <x:c r="P71" s="56" t="n">
        <x:f>'08_Premissas_Custos'!$B$15*M71*(1+IF(I71="Sim",0.20,0)+IF(K71="Sim",0.15,0))</x:f>
        <x:v>83.7</x:v>
      </x:c>
      <x:c r="Q71" s="56" t="n">
        <x:f>'08_Premissas_Custos'!$B$16*M71*IF(J71="Sim",1.6,0.55)</x:f>
        <x:v>15.345000000000002</x:v>
      </x:c>
      <x:c r="R71" s="56" t="n">
        <x:f>'08_Premissas_Custos'!$B$17*M71*IF(I71="Sim",1.8,0.15)</x:f>
        <x:v>2.3249999999999997</x:v>
      </x:c>
      <x:c r="S71" s="56" t="n">
        <x:f>'08_Premissas_Custos'!$B$18*M71*(1+IF(I71="Sim",0.15)+IF(L71="Sim",0.10))</x:f>
        <x:v>31</x:v>
      </x:c>
      <x:c r="T71" s="56" t="n">
        <x:f>'08_Premissas_Custos'!$B$19*M71*(1+IF(J71="Sim",0.15))</x:f>
        <x:v>12.4</x:v>
      </x:c>
      <x:c r="U71" s="56" t="n">
        <x:f>'08_Premissas_Custos'!$B$20*M71*IF(K71="Sim",1.8,0.7)</x:f>
        <x:v>6.51</x:v>
      </x:c>
      <x:c r="V71" s="57" t="n">
        <x:f>SUM(N71:U71)</x:f>
        <x:v>259.78</x:v>
      </x:c>
      <x:c r="W71" s="57" t="n">
        <x:f>V71*(1-H71)*IF(E71="Fase 2",'08_Premissas_Custos'!$F$10,1)</x:f>
        <x:v>259.78</x:v>
      </x:c>
      <x:c r="X71" s="58" t="n">
        <x:f>(N71*'08_Premissas_Custos'!$C$13+O71*'08_Premissas_Custos'!$C$14+P71*'08_Premissas_Custos'!$C$15+Q71*'08_Premissas_Custos'!$C$16+R71*'08_Premissas_Custos'!$C$17+S71*'08_Premissas_Custos'!$C$18+T71*'08_Premissas_Custos'!$C$19+U71*'08_Premissas_Custos'!$C$20)*(1-H71)*IF(E71="Fase 2",'08_Premissas_Custos'!$F$10,1)</x:f>
        <x:v>57904.899999999994</x:v>
      </x:c>
      <x:c r="Y71" s="58" t="n">
        <x:f>X71*'08_Premissas_Custos'!$F$7</x:f>
        <x:v>6948.587999999999</x:v>
      </x:c>
      <x:c r="Z71" s="58" t="n">
        <x:f>(X71+Y71)*'08_Premissas_Custos'!$F$6</x:f>
        <x:v>9728.023199999998</x:v>
      </x:c>
      <x:c r="AA71" s="58" t="n">
        <x:f>SUM(X71:Z71)</x:f>
        <x:v>74581.5112</x:v>
      </x:c>
      <x:c r="AB71" s="14" t="str">
        <x:v>Desafios</x:v>
      </x:c>
    </x:row>
    <x:row r="72">
      <x:c r="A72" s="14" t="n">
        <x:v>67</x:v>
      </x:c>
      <x:c r="B72" s="14" t="str">
        <x:v>ACA</x:v>
      </x:c>
      <x:c r="C72" s="14" t="str">
        <x:v>Acadêmico / Universidades</x:v>
      </x:c>
      <x:c r="D72" s="14" t="str">
        <x:v>Match aluno-projeto</x:v>
      </x:c>
      <x:c r="E72" s="14" t="str">
        <x:v>MVP</x:v>
      </x:c>
      <x:c r="F72" s="14" t="str">
        <x:v>Alta</x:v>
      </x:c>
      <x:c r="G72" s="14" t="str"/>
      <x:c r="H72" s="54" t="n">
        <x:v>0</x:v>
      </x:c>
      <x:c r="I72" s="44" t="str">
        <x:v>Sim</x:v>
      </x:c>
      <x:c r="J72" s="44" t="str">
        <x:v>Não</x:v>
      </x:c>
      <x:c r="K72" s="44" t="str">
        <x:v>Não</x:v>
      </x:c>
      <x:c r="L72" s="44" t="str">
        <x:v>Não</x:v>
      </x:c>
      <x:c r="M72" s="55" t="n">
        <x:f>IF(F72="Baixa",'08_Premissas_Custos'!$B$6,IF(F72="Média",'08_Premissas_Custos'!$B$7,IF(F72="Alta",'08_Premissas_Custos'!$B$8,'08_Premissas_Custos'!$B$9)))</x:f>
        <x:v>1.55</x:v>
      </x:c>
      <x:c r="N72" s="56" t="n">
        <x:f>'08_Premissas_Custos'!$B$13*M72</x:f>
        <x:v>34.1</x:v>
      </x:c>
      <x:c r="O72" s="56" t="n">
        <x:f>'08_Premissas_Custos'!$B$14*M72*(1+IF(L72="Sim",0.25,0))</x:f>
        <x:v>74.4</x:v>
      </x:c>
      <x:c r="P72" s="56" t="n">
        <x:f>'08_Premissas_Custos'!$B$15*M72*(1+IF(I72="Sim",0.20,0)+IF(K72="Sim",0.15,0))</x:f>
        <x:v>100.44</x:v>
      </x:c>
      <x:c r="Q72" s="56" t="n">
        <x:f>'08_Premissas_Custos'!$B$16*M72*IF(J72="Sim",1.6,0.55)</x:f>
        <x:v>15.345000000000002</x:v>
      </x:c>
      <x:c r="R72" s="56" t="n">
        <x:f>'08_Premissas_Custos'!$B$17*M72*IF(I72="Sim",1.8,0.15)</x:f>
        <x:v>27.900000000000002</x:v>
      </x:c>
      <x:c r="S72" s="56" t="n">
        <x:f>'08_Premissas_Custos'!$B$18*M72*(1+IF(I72="Sim",0.15)+IF(L72="Sim",0.10))</x:f>
        <x:v>35.65</x:v>
      </x:c>
      <x:c r="T72" s="56" t="n">
        <x:f>'08_Premissas_Custos'!$B$19*M72*(1+IF(J72="Sim",0.15))</x:f>
        <x:v>12.4</x:v>
      </x:c>
      <x:c r="U72" s="56" t="n">
        <x:f>'08_Premissas_Custos'!$B$20*M72*IF(K72="Sim",1.8,0.7)</x:f>
        <x:v>6.51</x:v>
      </x:c>
      <x:c r="V72" s="57" t="n">
        <x:f>SUM(N72:U72)</x:f>
        <x:v>306.74499999999995</x:v>
      </x:c>
      <x:c r="W72" s="57" t="n">
        <x:f>V72*(1-H72)*IF(E72="Fase 2",'08_Premissas_Custos'!$F$10,1)</x:f>
        <x:v>306.74499999999995</x:v>
      </x:c>
      <x:c r="X72" s="58" t="n">
        <x:f>(N72*'08_Premissas_Custos'!$C$13+O72*'08_Premissas_Custos'!$C$14+P72*'08_Premissas_Custos'!$C$15+Q72*'08_Premissas_Custos'!$C$16+R72*'08_Premissas_Custos'!$C$17+S72*'08_Premissas_Custos'!$C$18+T72*'08_Premissas_Custos'!$C$19+U72*'08_Premissas_Custos'!$C$20)*(1-H72)*IF(E72="Fase 2",'08_Premissas_Custos'!$F$10,1)</x:f>
        <x:v>70897</x:v>
      </x:c>
      <x:c r="Y72" s="58" t="n">
        <x:f>X72*'08_Premissas_Custos'!$F$7</x:f>
        <x:v>8507.64</x:v>
      </x:c>
      <x:c r="Z72" s="58" t="n">
        <x:f>(X72+Y72)*'08_Premissas_Custos'!$F$6</x:f>
        <x:v>11910.696</x:v>
      </x:c>
      <x:c r="AA72" s="58" t="n">
        <x:f>SUM(X72:Z72)</x:f>
        <x:v>91315.336</x:v>
      </x:c>
      <x:c r="AB72" s="14" t="str">
        <x:v>Aderência</x:v>
      </x:c>
    </x:row>
    <x:row r="73">
      <x:c r="A73" s="14" t="n">
        <x:v>68</x:v>
      </x:c>
      <x:c r="B73" s="14" t="str">
        <x:v>ACA</x:v>
      </x:c>
      <x:c r="C73" s="14" t="str">
        <x:v>Acadêmico / Universidades</x:v>
      </x:c>
      <x:c r="D73" s="14" t="str">
        <x:v>Match pesquisador-empresa</x:v>
      </x:c>
      <x:c r="E73" s="14" t="str">
        <x:v>Fase 2</x:v>
      </x:c>
      <x:c r="F73" s="14" t="str">
        <x:v>Muito alta</x:v>
      </x:c>
      <x:c r="G73" s="14" t="str"/>
      <x:c r="H73" s="54" t="n">
        <x:v>0</x:v>
      </x:c>
      <x:c r="I73" s="44" t="str">
        <x:v>Sim</x:v>
      </x:c>
      <x:c r="J73" s="44" t="str">
        <x:v>Sim</x:v>
      </x:c>
      <x:c r="K73" s="44" t="str">
        <x:v>Não</x:v>
      </x:c>
      <x:c r="L73" s="44" t="str">
        <x:v>Não</x:v>
      </x:c>
      <x:c r="M73" s="55" t="n">
        <x:f>IF(F73="Baixa",'08_Premissas_Custos'!$B$6,IF(F73="Média",'08_Premissas_Custos'!$B$7,IF(F73="Alta",'08_Premissas_Custos'!$B$8,'08_Premissas_Custos'!$B$9)))</x:f>
        <x:v>2.2</x:v>
      </x:c>
      <x:c r="N73" s="56" t="n">
        <x:f>'08_Premissas_Custos'!$B$13*M73</x:f>
        <x:v>48.400000000000006</x:v>
      </x:c>
      <x:c r="O73" s="56" t="n">
        <x:f>'08_Premissas_Custos'!$B$14*M73*(1+IF(L73="Sim",0.25,0))</x:f>
        <x:v>105.60000000000001</x:v>
      </x:c>
      <x:c r="P73" s="56" t="n">
        <x:f>'08_Premissas_Custos'!$B$15*M73*(1+IF(I73="Sim",0.20,0)+IF(K73="Sim",0.15,0))</x:f>
        <x:v>142.56</x:v>
      </x:c>
      <x:c r="Q73" s="56" t="n">
        <x:f>'08_Premissas_Custos'!$B$16*M73*IF(J73="Sim",1.6,0.55)</x:f>
        <x:v>63.36000000000001</x:v>
      </x:c>
      <x:c r="R73" s="56" t="n">
        <x:f>'08_Premissas_Custos'!$B$17*M73*IF(I73="Sim",1.8,0.15)</x:f>
        <x:v>39.6</x:v>
      </x:c>
      <x:c r="S73" s="56" t="n">
        <x:f>'08_Premissas_Custos'!$B$18*M73*(1+IF(I73="Sim",0.15)+IF(L73="Sim",0.10))</x:f>
        <x:v>50.599999999999994</x:v>
      </x:c>
      <x:c r="T73" s="56" t="n">
        <x:f>'08_Premissas_Custos'!$B$19*M73*(1+IF(J73="Sim",0.15))</x:f>
        <x:v>20.24</x:v>
      </x:c>
      <x:c r="U73" s="56" t="n">
        <x:f>'08_Premissas_Custos'!$B$20*M73*IF(K73="Sim",1.8,0.7)</x:f>
        <x:v>9.24</x:v>
      </x:c>
      <x:c r="V73" s="57" t="n">
        <x:f>SUM(N73:U73)</x:f>
        <x:v>479.6</x:v>
      </x:c>
      <x:c r="W73" s="57" t="n">
        <x:f>V73*(1-H73)*IF(E73="Fase 2",'08_Premissas_Custos'!$F$10,1)</x:f>
        <x:v>431.64000000000004</x:v>
      </x:c>
      <x:c r="X73" s="58" t="n">
        <x:f>(N73*'08_Premissas_Custos'!$C$13+O73*'08_Premissas_Custos'!$C$14+P73*'08_Premissas_Custos'!$C$15+Q73*'08_Premissas_Custos'!$C$16+R73*'08_Premissas_Custos'!$C$17+S73*'08_Premissas_Custos'!$C$18+T73*'08_Premissas_Custos'!$C$19+U73*'08_Premissas_Custos'!$C$20)*(1-H73)*IF(E73="Fase 2",'08_Premissas_Custos'!$F$10,1)</x:f>
        <x:v>100912.68000000001</x:v>
      </x:c>
      <x:c r="Y73" s="58" t="n">
        <x:f>X73*'08_Premissas_Custos'!$F$7</x:f>
        <x:v>12109.5216</x:v>
      </x:c>
      <x:c r="Z73" s="58" t="n">
        <x:f>(X73+Y73)*'08_Premissas_Custos'!$F$6</x:f>
        <x:v>16953.33024</x:v>
      </x:c>
      <x:c r="AA73" s="58" t="n">
        <x:f>SUM(X73:Z73)</x:f>
        <x:v>129975.53184</x:v>
      </x:c>
      <x:c r="AB73" s="14" t="str">
        <x:v>Pesquisa aplicada</x:v>
      </x:c>
    </x:row>
    <x:row r="74">
      <x:c r="A74" s="14" t="n">
        <x:v>69</x:v>
      </x:c>
      <x:c r="B74" s="14" t="str">
        <x:v>ACA</x:v>
      </x:c>
      <x:c r="C74" s="14" t="str">
        <x:v>Acadêmico / Universidades</x:v>
      </x:c>
      <x:c r="D74" s="14" t="str">
        <x:v>Estágios e carreira</x:v>
      </x:c>
      <x:c r="E74" s="14" t="str">
        <x:v>MVP</x:v>
      </x:c>
      <x:c r="F74" s="14" t="str">
        <x:v>Alta</x:v>
      </x:c>
      <x:c r="G74" s="14" t="str"/>
      <x:c r="H74" s="54" t="n">
        <x:v>0</x:v>
      </x:c>
      <x:c r="I74" s="44" t="str">
        <x:v>Não</x:v>
      </x:c>
      <x:c r="J74" s="44" t="str">
        <x:v>Não</x:v>
      </x:c>
      <x:c r="K74" s="44" t="str">
        <x:v>Não</x:v>
      </x:c>
      <x:c r="L74" s="44" t="str">
        <x:v>Sim</x:v>
      </x:c>
      <x:c r="M74" s="55" t="n">
        <x:f>IF(F74="Baixa",'08_Premissas_Custos'!$B$6,IF(F74="Média",'08_Premissas_Custos'!$B$7,IF(F74="Alta",'08_Premissas_Custos'!$B$8,'08_Premissas_Custos'!$B$9)))</x:f>
        <x:v>1.55</x:v>
      </x:c>
      <x:c r="N74" s="56" t="n">
        <x:f>'08_Premissas_Custos'!$B$13*M74</x:f>
        <x:v>34.1</x:v>
      </x:c>
      <x:c r="O74" s="56" t="n">
        <x:f>'08_Premissas_Custos'!$B$14*M74*(1+IF(L74="Sim",0.25,0))</x:f>
        <x:v>93</x:v>
      </x:c>
      <x:c r="P74" s="56" t="n">
        <x:f>'08_Premissas_Custos'!$B$15*M74*(1+IF(I74="Sim",0.20,0)+IF(K74="Sim",0.15,0))</x:f>
        <x:v>83.7</x:v>
      </x:c>
      <x:c r="Q74" s="56" t="n">
        <x:f>'08_Premissas_Custos'!$B$16*M74*IF(J74="Sim",1.6,0.55)</x:f>
        <x:v>15.345000000000002</x:v>
      </x:c>
      <x:c r="R74" s="56" t="n">
        <x:f>'08_Premissas_Custos'!$B$17*M74*IF(I74="Sim",1.8,0.15)</x:f>
        <x:v>2.3249999999999997</x:v>
      </x:c>
      <x:c r="S74" s="56" t="n">
        <x:f>'08_Premissas_Custos'!$B$18*M74*(1+IF(I74="Sim",0.15)+IF(L74="Sim",0.10))</x:f>
        <x:v>34.1</x:v>
      </x:c>
      <x:c r="T74" s="56" t="n">
        <x:f>'08_Premissas_Custos'!$B$19*M74*(1+IF(J74="Sim",0.15))</x:f>
        <x:v>12.4</x:v>
      </x:c>
      <x:c r="U74" s="56" t="n">
        <x:f>'08_Premissas_Custos'!$B$20*M74*IF(K74="Sim",1.8,0.7)</x:f>
        <x:v>6.51</x:v>
      </x:c>
      <x:c r="V74" s="57" t="n">
        <x:f>SUM(N74:U74)</x:f>
        <x:v>281.47999999999996</x:v>
      </x:c>
      <x:c r="W74" s="57" t="n">
        <x:f>V74*(1-H74)*IF(E74="Fase 2",'08_Premissas_Custos'!$F$10,1)</x:f>
        <x:v>281.47999999999996</x:v>
      </x:c>
      <x:c r="X74" s="58" t="n">
        <x:f>(N74*'08_Premissas_Custos'!$C$13+O74*'08_Premissas_Custos'!$C$14+P74*'08_Premissas_Custos'!$C$15+Q74*'08_Premissas_Custos'!$C$16+R74*'08_Premissas_Custos'!$C$17+S74*'08_Premissas_Custos'!$C$18+T74*'08_Premissas_Custos'!$C$19+U74*'08_Premissas_Custos'!$C$20)*(1-H74)*IF(E74="Fase 2",'08_Premissas_Custos'!$F$10,1)</x:f>
        <x:v>62523.899999999994</x:v>
      </x:c>
      <x:c r="Y74" s="58" t="n">
        <x:f>X74*'08_Premissas_Custos'!$F$7</x:f>
        <x:v>7502.867999999999</x:v>
      </x:c>
      <x:c r="Z74" s="58" t="n">
        <x:f>(X74+Y74)*'08_Premissas_Custos'!$F$6</x:f>
        <x:v>10504.0152</x:v>
      </x:c>
      <x:c r="AA74" s="58" t="n">
        <x:f>SUM(X74:Z74)</x:f>
        <x:v>80530.78319999999</x:v>
      </x:c>
      <x:c r="AB74" s="14" t="str">
        <x:v>Integra CAN</x:v>
      </x:c>
    </x:row>
    <x:row r="75">
      <x:c r="A75" s="14" t="n">
        <x:v>70</x:v>
      </x:c>
      <x:c r="B75" s="14" t="str">
        <x:v>ACA</x:v>
      </x:c>
      <x:c r="C75" s="14" t="str">
        <x:v>Acadêmico / Universidades</x:v>
      </x:c>
      <x:c r="D75" s="14" t="str">
        <x:v>Bolsas corporativas</x:v>
      </x:c>
      <x:c r="E75" s="14" t="str">
        <x:v>MVP</x:v>
      </x:c>
      <x:c r="F75" s="14" t="str">
        <x:v>Média</x:v>
      </x:c>
      <x:c r="G75" s="14" t="str"/>
      <x:c r="H75" s="54" t="n">
        <x:v>0</x:v>
      </x:c>
      <x:c r="I75" s="44" t="str">
        <x:v>Não</x:v>
      </x:c>
      <x:c r="J75" s="44" t="str">
        <x:v>Não</x:v>
      </x:c>
      <x:c r="K75" s="44" t="str">
        <x:v>Não</x:v>
      </x:c>
      <x:c r="L75" s="44" t="str">
        <x:v>Não</x:v>
      </x:c>
      <x:c r="M75" s="55" t="n">
        <x:f>IF(F75="Baixa",'08_Premissas_Custos'!$B$6,IF(F75="Média",'08_Premissas_Custos'!$B$7,IF(F75="Alta",'08_Premissas_Custos'!$B$8,'08_Premissas_Custos'!$B$9)))</x:f>
        <x:v>1</x:v>
      </x:c>
      <x:c r="N75" s="56" t="n">
        <x:f>'08_Premissas_Custos'!$B$13*M75</x:f>
        <x:v>22</x:v>
      </x:c>
      <x:c r="O75" s="56" t="n">
        <x:f>'08_Premissas_Custos'!$B$14*M75*(1+IF(L75="Sim",0.25,0))</x:f>
        <x:v>48</x:v>
      </x:c>
      <x:c r="P75" s="56" t="n">
        <x:f>'08_Premissas_Custos'!$B$15*M75*(1+IF(I75="Sim",0.20,0)+IF(K75="Sim",0.15,0))</x:f>
        <x:v>54</x:v>
      </x:c>
      <x:c r="Q75" s="56" t="n">
        <x:f>'08_Premissas_Custos'!$B$16*M75*IF(J75="Sim",1.6,0.55)</x:f>
        <x:v>9.9</x:v>
      </x:c>
      <x:c r="R75" s="56" t="n">
        <x:f>'08_Premissas_Custos'!$B$17*M75*IF(I75="Sim",1.8,0.15)</x:f>
        <x:v>1.5</x:v>
      </x:c>
      <x:c r="S75" s="56" t="n">
        <x:f>'08_Premissas_Custos'!$B$18*M75*(1+IF(I75="Sim",0.15)+IF(L75="Sim",0.10))</x:f>
        <x:v>20</x:v>
      </x:c>
      <x:c r="T75" s="56" t="n">
        <x:f>'08_Premissas_Custos'!$B$19*M75*(1+IF(J75="Sim",0.15))</x:f>
        <x:v>8</x:v>
      </x:c>
      <x:c r="U75" s="56" t="n">
        <x:f>'08_Premissas_Custos'!$B$20*M75*IF(K75="Sim",1.8,0.7)</x:f>
        <x:v>4.199999999999999</x:v>
      </x:c>
      <x:c r="V75" s="57" t="n">
        <x:f>SUM(N75:U75)</x:f>
        <x:v>167.6</x:v>
      </x:c>
      <x:c r="W75" s="57" t="n">
        <x:f>V75*(1-H75)*IF(E75="Fase 2",'08_Premissas_Custos'!$F$10,1)</x:f>
        <x:v>167.6</x:v>
      </x:c>
      <x:c r="X75" s="58" t="n">
        <x:f>(N75*'08_Premissas_Custos'!$C$13+O75*'08_Premissas_Custos'!$C$14+P75*'08_Premissas_Custos'!$C$15+Q75*'08_Premissas_Custos'!$C$16+R75*'08_Premissas_Custos'!$C$17+S75*'08_Premissas_Custos'!$C$18+T75*'08_Premissas_Custos'!$C$19+U75*'08_Premissas_Custos'!$C$20)*(1-H75)*IF(E75="Fase 2",'08_Premissas_Custos'!$F$10,1)</x:f>
        <x:v>37358</x:v>
      </x:c>
      <x:c r="Y75" s="58" t="n">
        <x:f>X75*'08_Premissas_Custos'!$F$7</x:f>
        <x:v>4482.96</x:v>
      </x:c>
      <x:c r="Z75" s="58" t="n">
        <x:f>(X75+Y75)*'08_Premissas_Custos'!$F$6</x:f>
        <x:v>6276.143999999999</x:v>
      </x:c>
      <x:c r="AA75" s="58" t="n">
        <x:f>SUM(X75:Z75)</x:f>
        <x:v>48117.104</x:v>
      </x:c>
      <x:c r="AB75" s="14" t="str">
        <x:v>Empresa-&gt;aluno</x:v>
      </x:c>
    </x:row>
    <x:row r="76">
      <x:c r="A76" s="14" t="n">
        <x:v>71</x:v>
      </x:c>
      <x:c r="B76" s="14" t="str">
        <x:v>ACA</x:v>
      </x:c>
      <x:c r="C76" s="14" t="str">
        <x:v>Acadêmico / Universidades</x:v>
      </x:c>
      <x:c r="D76" s="14" t="str">
        <x:v>Formação / trilhas</x:v>
      </x:c>
      <x:c r="E76" s="14" t="str">
        <x:v>Fase 2</x:v>
      </x:c>
      <x:c r="F76" s="14" t="str">
        <x:v>Média</x:v>
      </x:c>
      <x:c r="G76" s="14" t="str"/>
      <x:c r="H76" s="54" t="n">
        <x:v>0</x:v>
      </x:c>
      <x:c r="I76" s="44" t="str">
        <x:v>Não</x:v>
      </x:c>
      <x:c r="J76" s="44" t="str">
        <x:v>Não</x:v>
      </x:c>
      <x:c r="K76" s="44" t="str">
        <x:v>Não</x:v>
      </x:c>
      <x:c r="L76" s="44" t="str">
        <x:v>Sim</x:v>
      </x:c>
      <x:c r="M76" s="55" t="n">
        <x:f>IF(F76="Baixa",'08_Premissas_Custos'!$B$6,IF(F76="Média",'08_Premissas_Custos'!$B$7,IF(F76="Alta",'08_Premissas_Custos'!$B$8,'08_Premissas_Custos'!$B$9)))</x:f>
        <x:v>1</x:v>
      </x:c>
      <x:c r="N76" s="56" t="n">
        <x:f>'08_Premissas_Custos'!$B$13*M76</x:f>
        <x:v>22</x:v>
      </x:c>
      <x:c r="O76" s="56" t="n">
        <x:f>'08_Premissas_Custos'!$B$14*M76*(1+IF(L76="Sim",0.25,0))</x:f>
        <x:v>60</x:v>
      </x:c>
      <x:c r="P76" s="56" t="n">
        <x:f>'08_Premissas_Custos'!$B$15*M76*(1+IF(I76="Sim",0.20,0)+IF(K76="Sim",0.15,0))</x:f>
        <x:v>54</x:v>
      </x:c>
      <x:c r="Q76" s="56" t="n">
        <x:f>'08_Premissas_Custos'!$B$16*M76*IF(J76="Sim",1.6,0.55)</x:f>
        <x:v>9.9</x:v>
      </x:c>
      <x:c r="R76" s="56" t="n">
        <x:f>'08_Premissas_Custos'!$B$17*M76*IF(I76="Sim",1.8,0.15)</x:f>
        <x:v>1.5</x:v>
      </x:c>
      <x:c r="S76" s="56" t="n">
        <x:f>'08_Premissas_Custos'!$B$18*M76*(1+IF(I76="Sim",0.15)+IF(L76="Sim",0.10))</x:f>
        <x:v>22</x:v>
      </x:c>
      <x:c r="T76" s="56" t="n">
        <x:f>'08_Premissas_Custos'!$B$19*M76*(1+IF(J76="Sim",0.15))</x:f>
        <x:v>8</x:v>
      </x:c>
      <x:c r="U76" s="56" t="n">
        <x:f>'08_Premissas_Custos'!$B$20*M76*IF(K76="Sim",1.8,0.7)</x:f>
        <x:v>4.199999999999999</x:v>
      </x:c>
      <x:c r="V76" s="57" t="n">
        <x:f>SUM(N76:U76)</x:f>
        <x:v>181.6</x:v>
      </x:c>
      <x:c r="W76" s="57" t="n">
        <x:f>V76*(1-H76)*IF(E76="Fase 2",'08_Premissas_Custos'!$F$10,1)</x:f>
        <x:v>163.44</x:v>
      </x:c>
      <x:c r="X76" s="58" t="n">
        <x:f>(N76*'08_Premissas_Custos'!$C$13+O76*'08_Premissas_Custos'!$C$14+P76*'08_Premissas_Custos'!$C$15+Q76*'08_Premissas_Custos'!$C$16+R76*'08_Premissas_Custos'!$C$17+S76*'08_Premissas_Custos'!$C$18+T76*'08_Premissas_Custos'!$C$19+U76*'08_Premissas_Custos'!$C$20)*(1-H76)*IF(E76="Fase 2",'08_Premissas_Custos'!$F$10,1)</x:f>
        <x:v>36304.200000000004</x:v>
      </x:c>
      <x:c r="Y76" s="58" t="n">
        <x:f>X76*'08_Premissas_Custos'!$F$7</x:f>
        <x:v>4356.504000000001</x:v>
      </x:c>
      <x:c r="Z76" s="58" t="n">
        <x:f>(X76+Y76)*'08_Premissas_Custos'!$F$6</x:f>
        <x:v>6099.105600000001</x:v>
      </x:c>
      <x:c r="AA76" s="58" t="n">
        <x:f>SUM(X76:Z76)</x:f>
        <x:v>46759.80960000001</x:v>
      </x:c>
      <x:c r="AB76" s="14" t="str">
        <x:v>Desenvolvimento</x:v>
      </x:c>
    </x:row>
    <x:row r="77">
      <x:c r="A77" s="14" t="n">
        <x:v>72</x:v>
      </x:c>
      <x:c r="B77" s="14" t="str">
        <x:v>ACA</x:v>
      </x:c>
      <x:c r="C77" s="14" t="str">
        <x:v>Acadêmico / Universidades</x:v>
      </x:c>
      <x:c r="D77" s="14" t="str">
        <x:v>Acompanhamento de projeto</x:v>
      </x:c>
      <x:c r="E77" s="14" t="str">
        <x:v>Fase 2</x:v>
      </x:c>
      <x:c r="F77" s="14" t="str">
        <x:v>Alta</x:v>
      </x:c>
      <x:c r="G77" s="14" t="str"/>
      <x:c r="H77" s="54" t="n">
        <x:v>0</x:v>
      </x:c>
      <x:c r="I77" s="44" t="str">
        <x:v>Não</x:v>
      </x:c>
      <x:c r="J77" s="44" t="str">
        <x:v>Não</x:v>
      </x:c>
      <x:c r="K77" s="44" t="str">
        <x:v>Não</x:v>
      </x:c>
      <x:c r="L77" s="44" t="str">
        <x:v>Não</x:v>
      </x:c>
      <x:c r="M77" s="55" t="n">
        <x:f>IF(F77="Baixa",'08_Premissas_Custos'!$B$6,IF(F77="Média",'08_Premissas_Custos'!$B$7,IF(F77="Alta",'08_Premissas_Custos'!$B$8,'08_Premissas_Custos'!$B$9)))</x:f>
        <x:v>1.55</x:v>
      </x:c>
      <x:c r="N77" s="56" t="n">
        <x:f>'08_Premissas_Custos'!$B$13*M77</x:f>
        <x:v>34.1</x:v>
      </x:c>
      <x:c r="O77" s="56" t="n">
        <x:f>'08_Premissas_Custos'!$B$14*M77*(1+IF(L77="Sim",0.25,0))</x:f>
        <x:v>74.4</x:v>
      </x:c>
      <x:c r="P77" s="56" t="n">
        <x:f>'08_Premissas_Custos'!$B$15*M77*(1+IF(I77="Sim",0.20,0)+IF(K77="Sim",0.15,0))</x:f>
        <x:v>83.7</x:v>
      </x:c>
      <x:c r="Q77" s="56" t="n">
        <x:f>'08_Premissas_Custos'!$B$16*M77*IF(J77="Sim",1.6,0.55)</x:f>
        <x:v>15.345000000000002</x:v>
      </x:c>
      <x:c r="R77" s="56" t="n">
        <x:f>'08_Premissas_Custos'!$B$17*M77*IF(I77="Sim",1.8,0.15)</x:f>
        <x:v>2.3249999999999997</x:v>
      </x:c>
      <x:c r="S77" s="56" t="n">
        <x:f>'08_Premissas_Custos'!$B$18*M77*(1+IF(I77="Sim",0.15)+IF(L77="Sim",0.10))</x:f>
        <x:v>31</x:v>
      </x:c>
      <x:c r="T77" s="56" t="n">
        <x:f>'08_Premissas_Custos'!$B$19*M77*(1+IF(J77="Sim",0.15))</x:f>
        <x:v>12.4</x:v>
      </x:c>
      <x:c r="U77" s="56" t="n">
        <x:f>'08_Premissas_Custos'!$B$20*M77*IF(K77="Sim",1.8,0.7)</x:f>
        <x:v>6.51</x:v>
      </x:c>
      <x:c r="V77" s="57" t="n">
        <x:f>SUM(N77:U77)</x:f>
        <x:v>259.78</x:v>
      </x:c>
      <x:c r="W77" s="57" t="n">
        <x:f>V77*(1-H77)*IF(E77="Fase 2",'08_Premissas_Custos'!$F$10,1)</x:f>
        <x:v>233.802</x:v>
      </x:c>
      <x:c r="X77" s="58" t="n">
        <x:f>(N77*'08_Premissas_Custos'!$C$13+O77*'08_Premissas_Custos'!$C$14+P77*'08_Premissas_Custos'!$C$15+Q77*'08_Premissas_Custos'!$C$16+R77*'08_Premissas_Custos'!$C$17+S77*'08_Premissas_Custos'!$C$18+T77*'08_Premissas_Custos'!$C$19+U77*'08_Premissas_Custos'!$C$20)*(1-H77)*IF(E77="Fase 2",'08_Premissas_Custos'!$F$10,1)</x:f>
        <x:v>52114.409999999996</x:v>
      </x:c>
      <x:c r="Y77" s="58" t="n">
        <x:f>X77*'08_Premissas_Custos'!$F$7</x:f>
        <x:v>6253.7292</x:v>
      </x:c>
      <x:c r="Z77" s="58" t="n">
        <x:f>(X77+Y77)*'08_Premissas_Custos'!$F$6</x:f>
        <x:v>8755.220879999999</x:v>
      </x:c>
      <x:c r="AA77" s="58" t="n">
        <x:f>SUM(X77:Z77)</x:f>
        <x:v>67123.36008</x:v>
      </x:c>
      <x:c r="AB77" s="14" t="str">
        <x:v>Entregas</x:v>
      </x:c>
    </x:row>
    <x:row r="78">
      <x:c r="A78" s="14" t="n">
        <x:v>73</x:v>
      </x:c>
      <x:c r="B78" s="14" t="str">
        <x:v>ACA</x:v>
      </x:c>
      <x:c r="C78" s="14" t="str">
        <x:v>Acadêmico / Universidades</x:v>
      </x:c>
      <x:c r="D78" s="14" t="str">
        <x:v>Indicadores universidade-mercado</x:v>
      </x:c>
      <x:c r="E78" s="14" t="str">
        <x:v>MVP</x:v>
      </x:c>
      <x:c r="F78" s="14" t="str">
        <x:v>Alta</x:v>
      </x:c>
      <x:c r="G78" s="14" t="str">
        <x:v>Indicadores universidade-mercado</x:v>
      </x:c>
      <x:c r="H78" s="54" t="n">
        <x:v>0.45</x:v>
      </x:c>
      <x:c r="I78" s="44" t="str">
        <x:v>Não</x:v>
      </x:c>
      <x:c r="J78" s="44" t="str">
        <x:v>Sim</x:v>
      </x:c>
      <x:c r="K78" s="44" t="str">
        <x:v>Não</x:v>
      </x:c>
      <x:c r="L78" s="44" t="str">
        <x:v>Não</x:v>
      </x:c>
      <x:c r="M78" s="55" t="n">
        <x:f>IF(F78="Baixa",'08_Premissas_Custos'!$B$6,IF(F78="Média",'08_Premissas_Custos'!$B$7,IF(F78="Alta",'08_Premissas_Custos'!$B$8,'08_Premissas_Custos'!$B$9)))</x:f>
        <x:v>1.55</x:v>
      </x:c>
      <x:c r="N78" s="56" t="n">
        <x:f>'08_Premissas_Custos'!$B$13*M78</x:f>
        <x:v>34.1</x:v>
      </x:c>
      <x:c r="O78" s="56" t="n">
        <x:f>'08_Premissas_Custos'!$B$14*M78*(1+IF(L78="Sim",0.25,0))</x:f>
        <x:v>74.4</x:v>
      </x:c>
      <x:c r="P78" s="56" t="n">
        <x:f>'08_Premissas_Custos'!$B$15*M78*(1+IF(I78="Sim",0.20,0)+IF(K78="Sim",0.15,0))</x:f>
        <x:v>83.7</x:v>
      </x:c>
      <x:c r="Q78" s="56" t="n">
        <x:f>'08_Premissas_Custos'!$B$16*M78*IF(J78="Sim",1.6,0.55)</x:f>
        <x:v>44.64000000000001</x:v>
      </x:c>
      <x:c r="R78" s="56" t="n">
        <x:f>'08_Premissas_Custos'!$B$17*M78*IF(I78="Sim",1.8,0.15)</x:f>
        <x:v>2.3249999999999997</x:v>
      </x:c>
      <x:c r="S78" s="56" t="n">
        <x:f>'08_Premissas_Custos'!$B$18*M78*(1+IF(I78="Sim",0.15)+IF(L78="Sim",0.10))</x:f>
        <x:v>31</x:v>
      </x:c>
      <x:c r="T78" s="56" t="n">
        <x:f>'08_Premissas_Custos'!$B$19*M78*(1+IF(J78="Sim",0.15))</x:f>
        <x:v>14.26</x:v>
      </x:c>
      <x:c r="U78" s="56" t="n">
        <x:f>'08_Premissas_Custos'!$B$20*M78*IF(K78="Sim",1.8,0.7)</x:f>
        <x:v>6.51</x:v>
      </x:c>
      <x:c r="V78" s="57" t="n">
        <x:f>SUM(N78:U78)</x:f>
        <x:v>290.93499999999995</x:v>
      </x:c>
      <x:c r="W78" s="57" t="n">
        <x:f>V78*(1-H78)*IF(E78="Fase 2",'08_Premissas_Custos'!$F$10,1)</x:f>
        <x:v>160.01424999999998</x:v>
      </x:c>
      <x:c r="X78" s="58" t="n">
        <x:f>(N78*'08_Premissas_Custos'!$C$13+O78*'08_Premissas_Custos'!$C$14+P78*'08_Premissas_Custos'!$C$15+Q78*'08_Premissas_Custos'!$C$16+R78*'08_Premissas_Custos'!$C$17+S78*'08_Premissas_Custos'!$C$18+T78*'08_Premissas_Custos'!$C$19+U78*'08_Premissas_Custos'!$C$20)*(1-H78)*IF(E78="Fase 2",'08_Premissas_Custos'!$F$10,1)</x:f>
        <x:v>36302.86</x:v>
      </x:c>
      <x:c r="Y78" s="58" t="n">
        <x:f>X78*'08_Premissas_Custos'!$F$7</x:f>
        <x:v>4356.3432</x:v>
      </x:c>
      <x:c r="Z78" s="58" t="n">
        <x:f>(X78+Y78)*'08_Premissas_Custos'!$F$6</x:f>
        <x:v>6098.880480000001</x:v>
      </x:c>
      <x:c r="AA78" s="58" t="n">
        <x:f>SUM(X78:Z78)</x:f>
        <x:v>46758.08368</x:v>
      </x:c>
      <x:c r="AB78" s="14" t="str">
        <x:v>Impacto</x:v>
      </x:c>
    </x:row>
    <x:row r="79">
      <x:c r="A79" s="14" t="n">
        <x:v>74</x:v>
      </x:c>
      <x:c r="B79" s="14" t="str">
        <x:v>EVT</x:v>
      </x:c>
      <x:c r="C79" s="14" t="str">
        <x:v>Eventos</x:v>
      </x:c>
      <x:c r="D79" s="14" t="str">
        <x:v>Visão geral do evento</x:v>
      </x:c>
      <x:c r="E79" s="14" t="str">
        <x:v>MVP</x:v>
      </x:c>
      <x:c r="F79" s="14" t="str">
        <x:v>Alta</x:v>
      </x:c>
      <x:c r="G79" s="14" t="str"/>
      <x:c r="H79" s="54" t="n">
        <x:v>0</x:v>
      </x:c>
      <x:c r="I79" s="44" t="str">
        <x:v>Não</x:v>
      </x:c>
      <x:c r="J79" s="44" t="str">
        <x:v>Não</x:v>
      </x:c>
      <x:c r="K79" s="44" t="str">
        <x:v>Não</x:v>
      </x:c>
      <x:c r="L79" s="44" t="str">
        <x:v>Não</x:v>
      </x:c>
      <x:c r="M79" s="55" t="n">
        <x:f>IF(F79="Baixa",'08_Premissas_Custos'!$B$6,IF(F79="Média",'08_Premissas_Custos'!$B$7,IF(F79="Alta",'08_Premissas_Custos'!$B$8,'08_Premissas_Custos'!$B$9)))</x:f>
        <x:v>1.55</x:v>
      </x:c>
      <x:c r="N79" s="56" t="n">
        <x:f>'08_Premissas_Custos'!$B$13*M79</x:f>
        <x:v>34.1</x:v>
      </x:c>
      <x:c r="O79" s="56" t="n">
        <x:f>'08_Premissas_Custos'!$B$14*M79*(1+IF(L79="Sim",0.25,0))</x:f>
        <x:v>74.4</x:v>
      </x:c>
      <x:c r="P79" s="56" t="n">
        <x:f>'08_Premissas_Custos'!$B$15*M79*(1+IF(I79="Sim",0.20,0)+IF(K79="Sim",0.15,0))</x:f>
        <x:v>83.7</x:v>
      </x:c>
      <x:c r="Q79" s="56" t="n">
        <x:f>'08_Premissas_Custos'!$B$16*M79*IF(J79="Sim",1.6,0.55)</x:f>
        <x:v>15.345000000000002</x:v>
      </x:c>
      <x:c r="R79" s="56" t="n">
        <x:f>'08_Premissas_Custos'!$B$17*M79*IF(I79="Sim",1.8,0.15)</x:f>
        <x:v>2.3249999999999997</x:v>
      </x:c>
      <x:c r="S79" s="56" t="n">
        <x:f>'08_Premissas_Custos'!$B$18*M79*(1+IF(I79="Sim",0.15)+IF(L79="Sim",0.10))</x:f>
        <x:v>31</x:v>
      </x:c>
      <x:c r="T79" s="56" t="n">
        <x:f>'08_Premissas_Custos'!$B$19*M79*(1+IF(J79="Sim",0.15))</x:f>
        <x:v>12.4</x:v>
      </x:c>
      <x:c r="U79" s="56" t="n">
        <x:f>'08_Premissas_Custos'!$B$20*M79*IF(K79="Sim",1.8,0.7)</x:f>
        <x:v>6.51</x:v>
      </x:c>
      <x:c r="V79" s="57" t="n">
        <x:f>SUM(N79:U79)</x:f>
        <x:v>259.78</x:v>
      </x:c>
      <x:c r="W79" s="57" t="n">
        <x:f>V79*(1-H79)*IF(E79="Fase 2",'08_Premissas_Custos'!$F$10,1)</x:f>
        <x:v>259.78</x:v>
      </x:c>
      <x:c r="X79" s="58" t="n">
        <x:f>(N79*'08_Premissas_Custos'!$C$13+O79*'08_Premissas_Custos'!$C$14+P79*'08_Premissas_Custos'!$C$15+Q79*'08_Premissas_Custos'!$C$16+R79*'08_Premissas_Custos'!$C$17+S79*'08_Premissas_Custos'!$C$18+T79*'08_Premissas_Custos'!$C$19+U79*'08_Premissas_Custos'!$C$20)*(1-H79)*IF(E79="Fase 2",'08_Premissas_Custos'!$F$10,1)</x:f>
        <x:v>57904.899999999994</x:v>
      </x:c>
      <x:c r="Y79" s="58" t="n">
        <x:f>X79*'08_Premissas_Custos'!$F$7</x:f>
        <x:v>6948.587999999999</x:v>
      </x:c>
      <x:c r="Z79" s="58" t="n">
        <x:f>(X79+Y79)*'08_Premissas_Custos'!$F$6</x:f>
        <x:v>9728.023199999998</x:v>
      </x:c>
      <x:c r="AA79" s="58" t="n">
        <x:f>SUM(X79:Z79)</x:f>
        <x:v>74581.5112</x:v>
      </x:c>
      <x:c r="AB79" s="14" t="str">
        <x:v>Dashboard</x:v>
      </x:c>
    </x:row>
    <x:row r="80">
      <x:c r="A80" s="14" t="n">
        <x:v>75</x:v>
      </x:c>
      <x:c r="B80" s="14" t="str">
        <x:v>EVT</x:v>
      </x:c>
      <x:c r="C80" s="14" t="str">
        <x:v>Eventos</x:v>
      </x:c>
      <x:c r="D80" s="14" t="str">
        <x:v>Planejamento / metas</x:v>
      </x:c>
      <x:c r="E80" s="14" t="str">
        <x:v>MVP</x:v>
      </x:c>
      <x:c r="F80" s="14" t="str">
        <x:v>Média</x:v>
      </x:c>
      <x:c r="G80" s="14" t="str"/>
      <x:c r="H80" s="54" t="n">
        <x:v>0</x:v>
      </x:c>
      <x:c r="I80" s="44" t="str">
        <x:v>Não</x:v>
      </x:c>
      <x:c r="J80" s="44" t="str">
        <x:v>Não</x:v>
      </x:c>
      <x:c r="K80" s="44" t="str">
        <x:v>Não</x:v>
      </x:c>
      <x:c r="L80" s="44" t="str">
        <x:v>Não</x:v>
      </x:c>
      <x:c r="M80" s="55" t="n">
        <x:f>IF(F80="Baixa",'08_Premissas_Custos'!$B$6,IF(F80="Média",'08_Premissas_Custos'!$B$7,IF(F80="Alta",'08_Premissas_Custos'!$B$8,'08_Premissas_Custos'!$B$9)))</x:f>
        <x:v>1</x:v>
      </x:c>
      <x:c r="N80" s="56" t="n">
        <x:f>'08_Premissas_Custos'!$B$13*M80</x:f>
        <x:v>22</x:v>
      </x:c>
      <x:c r="O80" s="56" t="n">
        <x:f>'08_Premissas_Custos'!$B$14*M80*(1+IF(L80="Sim",0.25,0))</x:f>
        <x:v>48</x:v>
      </x:c>
      <x:c r="P80" s="56" t="n">
        <x:f>'08_Premissas_Custos'!$B$15*M80*(1+IF(I80="Sim",0.20,0)+IF(K80="Sim",0.15,0))</x:f>
        <x:v>54</x:v>
      </x:c>
      <x:c r="Q80" s="56" t="n">
        <x:f>'08_Premissas_Custos'!$B$16*M80*IF(J80="Sim",1.6,0.55)</x:f>
        <x:v>9.9</x:v>
      </x:c>
      <x:c r="R80" s="56" t="n">
        <x:f>'08_Premissas_Custos'!$B$17*M80*IF(I80="Sim",1.8,0.15)</x:f>
        <x:v>1.5</x:v>
      </x:c>
      <x:c r="S80" s="56" t="n">
        <x:f>'08_Premissas_Custos'!$B$18*M80*(1+IF(I80="Sim",0.15)+IF(L80="Sim",0.10))</x:f>
        <x:v>20</x:v>
      </x:c>
      <x:c r="T80" s="56" t="n">
        <x:f>'08_Premissas_Custos'!$B$19*M80*(1+IF(J80="Sim",0.15))</x:f>
        <x:v>8</x:v>
      </x:c>
      <x:c r="U80" s="56" t="n">
        <x:f>'08_Premissas_Custos'!$B$20*M80*IF(K80="Sim",1.8,0.7)</x:f>
        <x:v>4.199999999999999</x:v>
      </x:c>
      <x:c r="V80" s="57" t="n">
        <x:f>SUM(N80:U80)</x:f>
        <x:v>167.6</x:v>
      </x:c>
      <x:c r="W80" s="57" t="n">
        <x:f>V80*(1-H80)*IF(E80="Fase 2",'08_Premissas_Custos'!$F$10,1)</x:f>
        <x:v>167.6</x:v>
      </x:c>
      <x:c r="X80" s="58" t="n">
        <x:f>(N80*'08_Premissas_Custos'!$C$13+O80*'08_Premissas_Custos'!$C$14+P80*'08_Premissas_Custos'!$C$15+Q80*'08_Premissas_Custos'!$C$16+R80*'08_Premissas_Custos'!$C$17+S80*'08_Premissas_Custos'!$C$18+T80*'08_Premissas_Custos'!$C$19+U80*'08_Premissas_Custos'!$C$20)*(1-H80)*IF(E80="Fase 2",'08_Premissas_Custos'!$F$10,1)</x:f>
        <x:v>37358</x:v>
      </x:c>
      <x:c r="Y80" s="58" t="n">
        <x:f>X80*'08_Premissas_Custos'!$F$7</x:f>
        <x:v>4482.96</x:v>
      </x:c>
      <x:c r="Z80" s="58" t="n">
        <x:f>(X80+Y80)*'08_Premissas_Custos'!$F$6</x:f>
        <x:v>6276.143999999999</x:v>
      </x:c>
      <x:c r="AA80" s="58" t="n">
        <x:f>SUM(X80:Z80)</x:f>
        <x:v>48117.104</x:v>
      </x:c>
      <x:c r="AB80" s="14" t="str">
        <x:v>KPIs</x:v>
      </x:c>
    </x:row>
    <x:row r="81">
      <x:c r="A81" s="14" t="n">
        <x:v>76</x:v>
      </x:c>
      <x:c r="B81" s="14" t="str">
        <x:v>EVT</x:v>
      </x:c>
      <x:c r="C81" s="14" t="str">
        <x:v>Eventos</x:v>
      </x:c>
      <x:c r="D81" s="14" t="str">
        <x:v>Talentos / equipes</x:v>
      </x:c>
      <x:c r="E81" s="14" t="str">
        <x:v>MVP</x:v>
      </x:c>
      <x:c r="F81" s="14" t="str">
        <x:v>Alta</x:v>
      </x:c>
      <x:c r="G81" s="14" t="str"/>
      <x:c r="H81" s="54" t="n">
        <x:v>0</x:v>
      </x:c>
      <x:c r="I81" s="44" t="str">
        <x:v>Não</x:v>
      </x:c>
      <x:c r="J81" s="44" t="str">
        <x:v>Não</x:v>
      </x:c>
      <x:c r="K81" s="44" t="str">
        <x:v>Não</x:v>
      </x:c>
      <x:c r="L81" s="44" t="str">
        <x:v>Não</x:v>
      </x:c>
      <x:c r="M81" s="55" t="n">
        <x:f>IF(F81="Baixa",'08_Premissas_Custos'!$B$6,IF(F81="Média",'08_Premissas_Custos'!$B$7,IF(F81="Alta",'08_Premissas_Custos'!$B$8,'08_Premissas_Custos'!$B$9)))</x:f>
        <x:v>1.55</x:v>
      </x:c>
      <x:c r="N81" s="56" t="n">
        <x:f>'08_Premissas_Custos'!$B$13*M81</x:f>
        <x:v>34.1</x:v>
      </x:c>
      <x:c r="O81" s="56" t="n">
        <x:f>'08_Premissas_Custos'!$B$14*M81*(1+IF(L81="Sim",0.25,0))</x:f>
        <x:v>74.4</x:v>
      </x:c>
      <x:c r="P81" s="56" t="n">
        <x:f>'08_Premissas_Custos'!$B$15*M81*(1+IF(I81="Sim",0.20,0)+IF(K81="Sim",0.15,0))</x:f>
        <x:v>83.7</x:v>
      </x:c>
      <x:c r="Q81" s="56" t="n">
        <x:f>'08_Premissas_Custos'!$B$16*M81*IF(J81="Sim",1.6,0.55)</x:f>
        <x:v>15.345000000000002</x:v>
      </x:c>
      <x:c r="R81" s="56" t="n">
        <x:f>'08_Premissas_Custos'!$B$17*M81*IF(I81="Sim",1.8,0.15)</x:f>
        <x:v>2.3249999999999997</x:v>
      </x:c>
      <x:c r="S81" s="56" t="n">
        <x:f>'08_Premissas_Custos'!$B$18*M81*(1+IF(I81="Sim",0.15)+IF(L81="Sim",0.10))</x:f>
        <x:v>31</x:v>
      </x:c>
      <x:c r="T81" s="56" t="n">
        <x:f>'08_Premissas_Custos'!$B$19*M81*(1+IF(J81="Sim",0.15))</x:f>
        <x:v>12.4</x:v>
      </x:c>
      <x:c r="U81" s="56" t="n">
        <x:f>'08_Premissas_Custos'!$B$20*M81*IF(K81="Sim",1.8,0.7)</x:f>
        <x:v>6.51</x:v>
      </x:c>
      <x:c r="V81" s="57" t="n">
        <x:f>SUM(N81:U81)</x:f>
        <x:v>259.78</x:v>
      </x:c>
      <x:c r="W81" s="57" t="n">
        <x:f>V81*(1-H81)*IF(E81="Fase 2",'08_Premissas_Custos'!$F$10,1)</x:f>
        <x:v>259.78</x:v>
      </x:c>
      <x:c r="X81" s="58" t="n">
        <x:f>(N81*'08_Premissas_Custos'!$C$13+O81*'08_Premissas_Custos'!$C$14+P81*'08_Premissas_Custos'!$C$15+Q81*'08_Premissas_Custos'!$C$16+R81*'08_Premissas_Custos'!$C$17+S81*'08_Premissas_Custos'!$C$18+T81*'08_Premissas_Custos'!$C$19+U81*'08_Premissas_Custos'!$C$20)*(1-H81)*IF(E81="Fase 2",'08_Premissas_Custos'!$F$10,1)</x:f>
        <x:v>57904.899999999994</x:v>
      </x:c>
      <x:c r="Y81" s="58" t="n">
        <x:f>X81*'08_Premissas_Custos'!$F$7</x:f>
        <x:v>6948.587999999999</x:v>
      </x:c>
      <x:c r="Z81" s="58" t="n">
        <x:f>(X81+Y81)*'08_Premissas_Custos'!$F$6</x:f>
        <x:v>9728.023199999998</x:v>
      </x:c>
      <x:c r="AA81" s="58" t="n">
        <x:f>SUM(X81:Z81)</x:f>
        <x:v>74581.5112</x:v>
      </x:c>
      <x:c r="AB81" s="14" t="str">
        <x:v>CAN</x:v>
      </x:c>
    </x:row>
    <x:row r="82">
      <x:c r="A82" s="14" t="n">
        <x:v>77</x:v>
      </x:c>
      <x:c r="B82" s="14" t="str">
        <x:v>EVT</x:v>
      </x:c>
      <x:c r="C82" s="14" t="str">
        <x:v>Eventos</x:v>
      </x:c>
      <x:c r="D82" s="14" t="str">
        <x:v>Fornecedores do evento</x:v>
      </x:c>
      <x:c r="E82" s="14" t="str">
        <x:v>MVP</x:v>
      </x:c>
      <x:c r="F82" s="14" t="str">
        <x:v>Alta</x:v>
      </x:c>
      <x:c r="G82" s="14" t="str"/>
      <x:c r="H82" s="54" t="n">
        <x:v>0</x:v>
      </x:c>
      <x:c r="I82" s="44" t="str">
        <x:v>Não</x:v>
      </x:c>
      <x:c r="J82" s="44" t="str">
        <x:v>Não</x:v>
      </x:c>
      <x:c r="K82" s="44" t="str">
        <x:v>Não</x:v>
      </x:c>
      <x:c r="L82" s="44" t="str">
        <x:v>Não</x:v>
      </x:c>
      <x:c r="M82" s="55" t="n">
        <x:f>IF(F82="Baixa",'08_Premissas_Custos'!$B$6,IF(F82="Média",'08_Premissas_Custos'!$B$7,IF(F82="Alta",'08_Premissas_Custos'!$B$8,'08_Premissas_Custos'!$B$9)))</x:f>
        <x:v>1.55</x:v>
      </x:c>
      <x:c r="N82" s="56" t="n">
        <x:f>'08_Premissas_Custos'!$B$13*M82</x:f>
        <x:v>34.1</x:v>
      </x:c>
      <x:c r="O82" s="56" t="n">
        <x:f>'08_Premissas_Custos'!$B$14*M82*(1+IF(L82="Sim",0.25,0))</x:f>
        <x:v>74.4</x:v>
      </x:c>
      <x:c r="P82" s="56" t="n">
        <x:f>'08_Premissas_Custos'!$B$15*M82*(1+IF(I82="Sim",0.20,0)+IF(K82="Sim",0.15,0))</x:f>
        <x:v>83.7</x:v>
      </x:c>
      <x:c r="Q82" s="56" t="n">
        <x:f>'08_Premissas_Custos'!$B$16*M82*IF(J82="Sim",1.6,0.55)</x:f>
        <x:v>15.345000000000002</x:v>
      </x:c>
      <x:c r="R82" s="56" t="n">
        <x:f>'08_Premissas_Custos'!$B$17*M82*IF(I82="Sim",1.8,0.15)</x:f>
        <x:v>2.3249999999999997</x:v>
      </x:c>
      <x:c r="S82" s="56" t="n">
        <x:f>'08_Premissas_Custos'!$B$18*M82*(1+IF(I82="Sim",0.15)+IF(L82="Sim",0.10))</x:f>
        <x:v>31</x:v>
      </x:c>
      <x:c r="T82" s="56" t="n">
        <x:f>'08_Premissas_Custos'!$B$19*M82*(1+IF(J82="Sim",0.15))</x:f>
        <x:v>12.4</x:v>
      </x:c>
      <x:c r="U82" s="56" t="n">
        <x:f>'08_Premissas_Custos'!$B$20*M82*IF(K82="Sim",1.8,0.7)</x:f>
        <x:v>6.51</x:v>
      </x:c>
      <x:c r="V82" s="57" t="n">
        <x:f>SUM(N82:U82)</x:f>
        <x:v>259.78</x:v>
      </x:c>
      <x:c r="W82" s="57" t="n">
        <x:f>V82*(1-H82)*IF(E82="Fase 2",'08_Premissas_Custos'!$F$10,1)</x:f>
        <x:v>259.78</x:v>
      </x:c>
      <x:c r="X82" s="58" t="n">
        <x:f>(N82*'08_Premissas_Custos'!$C$13+O82*'08_Premissas_Custos'!$C$14+P82*'08_Premissas_Custos'!$C$15+Q82*'08_Premissas_Custos'!$C$16+R82*'08_Premissas_Custos'!$C$17+S82*'08_Premissas_Custos'!$C$18+T82*'08_Premissas_Custos'!$C$19+U82*'08_Premissas_Custos'!$C$20)*(1-H82)*IF(E82="Fase 2",'08_Premissas_Custos'!$F$10,1)</x:f>
        <x:v>57904.899999999994</x:v>
      </x:c>
      <x:c r="Y82" s="58" t="n">
        <x:f>X82*'08_Premissas_Custos'!$F$7</x:f>
        <x:v>6948.587999999999</x:v>
      </x:c>
      <x:c r="Z82" s="58" t="n">
        <x:f>(X82+Y82)*'08_Premissas_Custos'!$F$6</x:f>
        <x:v>9728.023199999998</x:v>
      </x:c>
      <x:c r="AA82" s="58" t="n">
        <x:f>SUM(X82:Z82)</x:f>
        <x:v>74581.5112</x:v>
      </x:c>
      <x:c r="AB82" s="14" t="str">
        <x:v>FOR</x:v>
      </x:c>
    </x:row>
    <x:row r="83">
      <x:c r="A83" s="14" t="n">
        <x:v>78</x:v>
      </x:c>
      <x:c r="B83" s="14" t="str">
        <x:v>EVT</x:v>
      </x:c>
      <x:c r="C83" s="14" t="str">
        <x:v>Eventos</x:v>
      </x:c>
      <x:c r="D83" s="14" t="str">
        <x:v>Demandas e contratações</x:v>
      </x:c>
      <x:c r="E83" s="14" t="str">
        <x:v>MVP</x:v>
      </x:c>
      <x:c r="F83" s="14" t="str">
        <x:v>Alta</x:v>
      </x:c>
      <x:c r="G83" s="14" t="str"/>
      <x:c r="H83" s="54" t="n">
        <x:v>0</x:v>
      </x:c>
      <x:c r="I83" s="44" t="str">
        <x:v>Não</x:v>
      </x:c>
      <x:c r="J83" s="44" t="str">
        <x:v>Não</x:v>
      </x:c>
      <x:c r="K83" s="44" t="str">
        <x:v>Não</x:v>
      </x:c>
      <x:c r="L83" s="44" t="str">
        <x:v>Não</x:v>
      </x:c>
      <x:c r="M83" s="55" t="n">
        <x:f>IF(F83="Baixa",'08_Premissas_Custos'!$B$6,IF(F83="Média",'08_Premissas_Custos'!$B$7,IF(F83="Alta",'08_Premissas_Custos'!$B$8,'08_Premissas_Custos'!$B$9)))</x:f>
        <x:v>1.55</x:v>
      </x:c>
      <x:c r="N83" s="56" t="n">
        <x:f>'08_Premissas_Custos'!$B$13*M83</x:f>
        <x:v>34.1</x:v>
      </x:c>
      <x:c r="O83" s="56" t="n">
        <x:f>'08_Premissas_Custos'!$B$14*M83*(1+IF(L83="Sim",0.25,0))</x:f>
        <x:v>74.4</x:v>
      </x:c>
      <x:c r="P83" s="56" t="n">
        <x:f>'08_Premissas_Custos'!$B$15*M83*(1+IF(I83="Sim",0.20,0)+IF(K83="Sim",0.15,0))</x:f>
        <x:v>83.7</x:v>
      </x:c>
      <x:c r="Q83" s="56" t="n">
        <x:f>'08_Premissas_Custos'!$B$16*M83*IF(J83="Sim",1.6,0.55)</x:f>
        <x:v>15.345000000000002</x:v>
      </x:c>
      <x:c r="R83" s="56" t="n">
        <x:f>'08_Premissas_Custos'!$B$17*M83*IF(I83="Sim",1.8,0.15)</x:f>
        <x:v>2.3249999999999997</x:v>
      </x:c>
      <x:c r="S83" s="56" t="n">
        <x:f>'08_Premissas_Custos'!$B$18*M83*(1+IF(I83="Sim",0.15)+IF(L83="Sim",0.10))</x:f>
        <x:v>31</x:v>
      </x:c>
      <x:c r="T83" s="56" t="n">
        <x:f>'08_Premissas_Custos'!$B$19*M83*(1+IF(J83="Sim",0.15))</x:f>
        <x:v>12.4</x:v>
      </x:c>
      <x:c r="U83" s="56" t="n">
        <x:f>'08_Premissas_Custos'!$B$20*M83*IF(K83="Sim",1.8,0.7)</x:f>
        <x:v>6.51</x:v>
      </x:c>
      <x:c r="V83" s="57" t="n">
        <x:f>SUM(N83:U83)</x:f>
        <x:v>259.78</x:v>
      </x:c>
      <x:c r="W83" s="57" t="n">
        <x:f>V83*(1-H83)*IF(E83="Fase 2",'08_Premissas_Custos'!$F$10,1)</x:f>
        <x:v>259.78</x:v>
      </x:c>
      <x:c r="X83" s="58" t="n">
        <x:f>(N83*'08_Premissas_Custos'!$C$13+O83*'08_Premissas_Custos'!$C$14+P83*'08_Premissas_Custos'!$C$15+Q83*'08_Premissas_Custos'!$C$16+R83*'08_Premissas_Custos'!$C$17+S83*'08_Premissas_Custos'!$C$18+T83*'08_Premissas_Custos'!$C$19+U83*'08_Premissas_Custos'!$C$20)*(1-H83)*IF(E83="Fase 2",'08_Premissas_Custos'!$F$10,1)</x:f>
        <x:v>57904.899999999994</x:v>
      </x:c>
      <x:c r="Y83" s="58" t="n">
        <x:f>X83*'08_Premissas_Custos'!$F$7</x:f>
        <x:v>6948.587999999999</x:v>
      </x:c>
      <x:c r="Z83" s="58" t="n">
        <x:f>(X83+Y83)*'08_Premissas_Custos'!$F$6</x:f>
        <x:v>9728.023199999998</x:v>
      </x:c>
      <x:c r="AA83" s="58" t="n">
        <x:f>SUM(X83:Z83)</x:f>
        <x:v>74581.5112</x:v>
      </x:c>
      <x:c r="AB83" s="14" t="str">
        <x:v>Compras</x:v>
      </x:c>
    </x:row>
    <x:row r="84">
      <x:c r="A84" s="14" t="n">
        <x:v>79</x:v>
      </x:c>
      <x:c r="B84" s="14" t="str">
        <x:v>EVT</x:v>
      </x:c>
      <x:c r="C84" s="14" t="str">
        <x:v>Eventos</x:v>
      </x:c>
      <x:c r="D84" s="14" t="str">
        <x:v>Patrocínios / marcas</x:v>
      </x:c>
      <x:c r="E84" s="14" t="str">
        <x:v>Fase 2</x:v>
      </x:c>
      <x:c r="F84" s="14" t="str">
        <x:v>Alta</x:v>
      </x:c>
      <x:c r="G84" s="14" t="str"/>
      <x:c r="H84" s="54" t="n">
        <x:v>0</x:v>
      </x:c>
      <x:c r="I84" s="44" t="str">
        <x:v>Não</x:v>
      </x:c>
      <x:c r="J84" s="44" t="str">
        <x:v>Não</x:v>
      </x:c>
      <x:c r="K84" s="44" t="str">
        <x:v>Não</x:v>
      </x:c>
      <x:c r="L84" s="44" t="str">
        <x:v>Não</x:v>
      </x:c>
      <x:c r="M84" s="55" t="n">
        <x:f>IF(F84="Baixa",'08_Premissas_Custos'!$B$6,IF(F84="Média",'08_Premissas_Custos'!$B$7,IF(F84="Alta",'08_Premissas_Custos'!$B$8,'08_Premissas_Custos'!$B$9)))</x:f>
        <x:v>1.55</x:v>
      </x:c>
      <x:c r="N84" s="56" t="n">
        <x:f>'08_Premissas_Custos'!$B$13*M84</x:f>
        <x:v>34.1</x:v>
      </x:c>
      <x:c r="O84" s="56" t="n">
        <x:f>'08_Premissas_Custos'!$B$14*M84*(1+IF(L84="Sim",0.25,0))</x:f>
        <x:v>74.4</x:v>
      </x:c>
      <x:c r="P84" s="56" t="n">
        <x:f>'08_Premissas_Custos'!$B$15*M84*(1+IF(I84="Sim",0.20,0)+IF(K84="Sim",0.15,0))</x:f>
        <x:v>83.7</x:v>
      </x:c>
      <x:c r="Q84" s="56" t="n">
        <x:f>'08_Premissas_Custos'!$B$16*M84*IF(J84="Sim",1.6,0.55)</x:f>
        <x:v>15.345000000000002</x:v>
      </x:c>
      <x:c r="R84" s="56" t="n">
        <x:f>'08_Premissas_Custos'!$B$17*M84*IF(I84="Sim",1.8,0.15)</x:f>
        <x:v>2.3249999999999997</x:v>
      </x:c>
      <x:c r="S84" s="56" t="n">
        <x:f>'08_Premissas_Custos'!$B$18*M84*(1+IF(I84="Sim",0.15)+IF(L84="Sim",0.10))</x:f>
        <x:v>31</x:v>
      </x:c>
      <x:c r="T84" s="56" t="n">
        <x:f>'08_Premissas_Custos'!$B$19*M84*(1+IF(J84="Sim",0.15))</x:f>
        <x:v>12.4</x:v>
      </x:c>
      <x:c r="U84" s="56" t="n">
        <x:f>'08_Premissas_Custos'!$B$20*M84*IF(K84="Sim",1.8,0.7)</x:f>
        <x:v>6.51</x:v>
      </x:c>
      <x:c r="V84" s="57" t="n">
        <x:f>SUM(N84:U84)</x:f>
        <x:v>259.78</x:v>
      </x:c>
      <x:c r="W84" s="57" t="n">
        <x:f>V84*(1-H84)*IF(E84="Fase 2",'08_Premissas_Custos'!$F$10,1)</x:f>
        <x:v>233.802</x:v>
      </x:c>
      <x:c r="X84" s="58" t="n">
        <x:f>(N84*'08_Premissas_Custos'!$C$13+O84*'08_Premissas_Custos'!$C$14+P84*'08_Premissas_Custos'!$C$15+Q84*'08_Premissas_Custos'!$C$16+R84*'08_Premissas_Custos'!$C$17+S84*'08_Premissas_Custos'!$C$18+T84*'08_Premissas_Custos'!$C$19+U84*'08_Premissas_Custos'!$C$20)*(1-H84)*IF(E84="Fase 2",'08_Premissas_Custos'!$F$10,1)</x:f>
        <x:v>52114.409999999996</x:v>
      </x:c>
      <x:c r="Y84" s="58" t="n">
        <x:f>X84*'08_Premissas_Custos'!$F$7</x:f>
        <x:v>6253.7292</x:v>
      </x:c>
      <x:c r="Z84" s="58" t="n">
        <x:f>(X84+Y84)*'08_Premissas_Custos'!$F$6</x:f>
        <x:v>8755.220879999999</x:v>
      </x:c>
      <x:c r="AA84" s="58" t="n">
        <x:f>SUM(X84:Z84)</x:f>
        <x:v>67123.36008</x:v>
      </x:c>
      <x:c r="AB84" s="14" t="str">
        <x:v>Retorno</x:v>
      </x:c>
    </x:row>
    <x:row r="85">
      <x:c r="A85" s="14" t="n">
        <x:v>80</x:v>
      </x:c>
      <x:c r="B85" s="14" t="str">
        <x:v>EVT</x:v>
      </x:c>
      <x:c r="C85" s="14" t="str">
        <x:v>Eventos</x:v>
      </x:c>
      <x:c r="D85" s="14" t="str">
        <x:v>Artistas / criadores</x:v>
      </x:c>
      <x:c r="E85" s="14" t="str">
        <x:v>Fase 2</x:v>
      </x:c>
      <x:c r="F85" s="14" t="str">
        <x:v>Média</x:v>
      </x:c>
      <x:c r="G85" s="14" t="str"/>
      <x:c r="H85" s="54" t="n">
        <x:v>0</x:v>
      </x:c>
      <x:c r="I85" s="44" t="str">
        <x:v>Não</x:v>
      </x:c>
      <x:c r="J85" s="44" t="str">
        <x:v>Não</x:v>
      </x:c>
      <x:c r="K85" s="44" t="str">
        <x:v>Não</x:v>
      </x:c>
      <x:c r="L85" s="44" t="str">
        <x:v>Não</x:v>
      </x:c>
      <x:c r="M85" s="55" t="n">
        <x:f>IF(F85="Baixa",'08_Premissas_Custos'!$B$6,IF(F85="Média",'08_Premissas_Custos'!$B$7,IF(F85="Alta",'08_Premissas_Custos'!$B$8,'08_Premissas_Custos'!$B$9)))</x:f>
        <x:v>1</x:v>
      </x:c>
      <x:c r="N85" s="56" t="n">
        <x:f>'08_Premissas_Custos'!$B$13*M85</x:f>
        <x:v>22</x:v>
      </x:c>
      <x:c r="O85" s="56" t="n">
        <x:f>'08_Premissas_Custos'!$B$14*M85*(1+IF(L85="Sim",0.25,0))</x:f>
        <x:v>48</x:v>
      </x:c>
      <x:c r="P85" s="56" t="n">
        <x:f>'08_Premissas_Custos'!$B$15*M85*(1+IF(I85="Sim",0.20,0)+IF(K85="Sim",0.15,0))</x:f>
        <x:v>54</x:v>
      </x:c>
      <x:c r="Q85" s="56" t="n">
        <x:f>'08_Premissas_Custos'!$B$16*M85*IF(J85="Sim",1.6,0.55)</x:f>
        <x:v>9.9</x:v>
      </x:c>
      <x:c r="R85" s="56" t="n">
        <x:f>'08_Premissas_Custos'!$B$17*M85*IF(I85="Sim",1.8,0.15)</x:f>
        <x:v>1.5</x:v>
      </x:c>
      <x:c r="S85" s="56" t="n">
        <x:f>'08_Premissas_Custos'!$B$18*M85*(1+IF(I85="Sim",0.15)+IF(L85="Sim",0.10))</x:f>
        <x:v>20</x:v>
      </x:c>
      <x:c r="T85" s="56" t="n">
        <x:f>'08_Premissas_Custos'!$B$19*M85*(1+IF(J85="Sim",0.15))</x:f>
        <x:v>8</x:v>
      </x:c>
      <x:c r="U85" s="56" t="n">
        <x:f>'08_Premissas_Custos'!$B$20*M85*IF(K85="Sim",1.8,0.7)</x:f>
        <x:v>4.199999999999999</x:v>
      </x:c>
      <x:c r="V85" s="57" t="n">
        <x:f>SUM(N85:U85)</x:f>
        <x:v>167.6</x:v>
      </x:c>
      <x:c r="W85" s="57" t="n">
        <x:f>V85*(1-H85)*IF(E85="Fase 2",'08_Premissas_Custos'!$F$10,1)</x:f>
        <x:v>150.84</x:v>
      </x:c>
      <x:c r="X85" s="58" t="n">
        <x:f>(N85*'08_Premissas_Custos'!$C$13+O85*'08_Premissas_Custos'!$C$14+P85*'08_Premissas_Custos'!$C$15+Q85*'08_Premissas_Custos'!$C$16+R85*'08_Premissas_Custos'!$C$17+S85*'08_Premissas_Custos'!$C$18+T85*'08_Premissas_Custos'!$C$19+U85*'08_Premissas_Custos'!$C$20)*(1-H85)*IF(E85="Fase 2",'08_Premissas_Custos'!$F$10,1)</x:f>
        <x:v>33622.200000000004</x:v>
      </x:c>
      <x:c r="Y85" s="58" t="n">
        <x:f>X85*'08_Premissas_Custos'!$F$7</x:f>
        <x:v>4034.664</x:v>
      </x:c>
      <x:c r="Z85" s="58" t="n">
        <x:f>(X85+Y85)*'08_Premissas_Custos'!$F$6</x:f>
        <x:v>5648.5296</x:v>
      </x:c>
      <x:c r="AA85" s="58" t="n">
        <x:f>SUM(X85:Z85)</x:f>
        <x:v>43305.3936</x:v>
      </x:c>
      <x:c r="AB85" s="14" t="str">
        <x:v>Conexões</x:v>
      </x:c>
    </x:row>
    <x:row r="86">
      <x:c r="A86" s="14" t="n">
        <x:v>81</x:v>
      </x:c>
      <x:c r="B86" s="14" t="str">
        <x:v>EVT</x:v>
      </x:c>
      <x:c r="C86" s="14" t="str">
        <x:v>Eventos</x:v>
      </x:c>
      <x:c r="D86" s="14" t="str">
        <x:v>Pesquisa de público / mercado</x:v>
      </x:c>
      <x:c r="E86" s="14" t="str">
        <x:v>MVP</x:v>
      </x:c>
      <x:c r="F86" s="14" t="str">
        <x:v>Alta</x:v>
      </x:c>
      <x:c r="G86" s="14" t="str"/>
      <x:c r="H86" s="54" t="n">
        <x:v>0</x:v>
      </x:c>
      <x:c r="I86" s="44" t="str">
        <x:v>Não</x:v>
      </x:c>
      <x:c r="J86" s="44" t="str">
        <x:v>Sim</x:v>
      </x:c>
      <x:c r="K86" s="44" t="str">
        <x:v>Não</x:v>
      </x:c>
      <x:c r="L86" s="44" t="str">
        <x:v>Sim</x:v>
      </x:c>
      <x:c r="M86" s="55" t="n">
        <x:f>IF(F86="Baixa",'08_Premissas_Custos'!$B$6,IF(F86="Média",'08_Premissas_Custos'!$B$7,IF(F86="Alta",'08_Premissas_Custos'!$B$8,'08_Premissas_Custos'!$B$9)))</x:f>
        <x:v>1.55</x:v>
      </x:c>
      <x:c r="N86" s="56" t="n">
        <x:f>'08_Premissas_Custos'!$B$13*M86</x:f>
        <x:v>34.1</x:v>
      </x:c>
      <x:c r="O86" s="56" t="n">
        <x:f>'08_Premissas_Custos'!$B$14*M86*(1+IF(L86="Sim",0.25,0))</x:f>
        <x:v>93</x:v>
      </x:c>
      <x:c r="P86" s="56" t="n">
        <x:f>'08_Premissas_Custos'!$B$15*M86*(1+IF(I86="Sim",0.20,0)+IF(K86="Sim",0.15,0))</x:f>
        <x:v>83.7</x:v>
      </x:c>
      <x:c r="Q86" s="56" t="n">
        <x:f>'08_Premissas_Custos'!$B$16*M86*IF(J86="Sim",1.6,0.55)</x:f>
        <x:v>44.64000000000001</x:v>
      </x:c>
      <x:c r="R86" s="56" t="n">
        <x:f>'08_Premissas_Custos'!$B$17*M86*IF(I86="Sim",1.8,0.15)</x:f>
        <x:v>2.3249999999999997</x:v>
      </x:c>
      <x:c r="S86" s="56" t="n">
        <x:f>'08_Premissas_Custos'!$B$18*M86*(1+IF(I86="Sim",0.15)+IF(L86="Sim",0.10))</x:f>
        <x:v>34.1</x:v>
      </x:c>
      <x:c r="T86" s="56" t="n">
        <x:f>'08_Premissas_Custos'!$B$19*M86*(1+IF(J86="Sim",0.15))</x:f>
        <x:v>14.26</x:v>
      </x:c>
      <x:c r="U86" s="56" t="n">
        <x:f>'08_Premissas_Custos'!$B$20*M86*IF(K86="Sim",1.8,0.7)</x:f>
        <x:v>6.51</x:v>
      </x:c>
      <x:c r="V86" s="57" t="n">
        <x:f>SUM(N86:U86)</x:f>
        <x:v>312.63500000000005</x:v>
      </x:c>
      <x:c r="W86" s="57" t="n">
        <x:f>V86*(1-H86)*IF(E86="Fase 2",'08_Premissas_Custos'!$F$10,1)</x:f>
        <x:v>312.63500000000005</x:v>
      </x:c>
      <x:c r="X86" s="58" t="n">
        <x:f>(N86*'08_Premissas_Custos'!$C$13+O86*'08_Premissas_Custos'!$C$14+P86*'08_Premissas_Custos'!$C$15+Q86*'08_Premissas_Custos'!$C$16+R86*'08_Premissas_Custos'!$C$17+S86*'08_Premissas_Custos'!$C$18+T86*'08_Premissas_Custos'!$C$19+U86*'08_Premissas_Custos'!$C$20)*(1-H86)*IF(E86="Fase 2",'08_Premissas_Custos'!$F$10,1)</x:f>
        <x:v>70624.2</x:v>
      </x:c>
      <x:c r="Y86" s="58" t="n">
        <x:f>X86*'08_Premissas_Custos'!$F$7</x:f>
        <x:v>8474.903999999999</x:v>
      </x:c>
      <x:c r="Z86" s="58" t="n">
        <x:f>(X86+Y86)*'08_Premissas_Custos'!$F$6</x:f>
        <x:v>11864.8656</x:v>
      </x:c>
      <x:c r="AA86" s="58" t="n">
        <x:f>SUM(X86:Z86)</x:f>
        <x:v>90963.9696</x:v>
      </x:c>
      <x:c r="AB86" s="14" t="str">
        <x:v>Insights</x:v>
      </x:c>
    </x:row>
    <x:row r="87">
      <x:c r="A87" s="14" t="n">
        <x:v>82</x:v>
      </x:c>
      <x:c r="B87" s="14" t="str">
        <x:v>EVT</x:v>
      </x:c>
      <x:c r="C87" s="14" t="str">
        <x:v>Eventos</x:v>
      </x:c>
      <x:c r="D87" s="14" t="str">
        <x:v>Acessibilidade</x:v>
      </x:c>
      <x:c r="E87" s="14" t="str">
        <x:v>MVP</x:v>
      </x:c>
      <x:c r="F87" s="14" t="str">
        <x:v>Média</x:v>
      </x:c>
      <x:c r="G87" s="14" t="str"/>
      <x:c r="H87" s="54" t="n">
        <x:v>0</x:v>
      </x:c>
      <x:c r="I87" s="44" t="str">
        <x:v>Não</x:v>
      </x:c>
      <x:c r="J87" s="44" t="str">
        <x:v>Não</x:v>
      </x:c>
      <x:c r="K87" s="44" t="str">
        <x:v>Não</x:v>
      </x:c>
      <x:c r="L87" s="44" t="str">
        <x:v>Não</x:v>
      </x:c>
      <x:c r="M87" s="55" t="n">
        <x:f>IF(F87="Baixa",'08_Premissas_Custos'!$B$6,IF(F87="Média",'08_Premissas_Custos'!$B$7,IF(F87="Alta",'08_Premissas_Custos'!$B$8,'08_Premissas_Custos'!$B$9)))</x:f>
        <x:v>1</x:v>
      </x:c>
      <x:c r="N87" s="56" t="n">
        <x:f>'08_Premissas_Custos'!$B$13*M87</x:f>
        <x:v>22</x:v>
      </x:c>
      <x:c r="O87" s="56" t="n">
        <x:f>'08_Premissas_Custos'!$B$14*M87*(1+IF(L87="Sim",0.25,0))</x:f>
        <x:v>48</x:v>
      </x:c>
      <x:c r="P87" s="56" t="n">
        <x:f>'08_Premissas_Custos'!$B$15*M87*(1+IF(I87="Sim",0.20,0)+IF(K87="Sim",0.15,0))</x:f>
        <x:v>54</x:v>
      </x:c>
      <x:c r="Q87" s="56" t="n">
        <x:f>'08_Premissas_Custos'!$B$16*M87*IF(J87="Sim",1.6,0.55)</x:f>
        <x:v>9.9</x:v>
      </x:c>
      <x:c r="R87" s="56" t="n">
        <x:f>'08_Premissas_Custos'!$B$17*M87*IF(I87="Sim",1.8,0.15)</x:f>
        <x:v>1.5</x:v>
      </x:c>
      <x:c r="S87" s="56" t="n">
        <x:f>'08_Premissas_Custos'!$B$18*M87*(1+IF(I87="Sim",0.15)+IF(L87="Sim",0.10))</x:f>
        <x:v>20</x:v>
      </x:c>
      <x:c r="T87" s="56" t="n">
        <x:f>'08_Premissas_Custos'!$B$19*M87*(1+IF(J87="Sim",0.15))</x:f>
        <x:v>8</x:v>
      </x:c>
      <x:c r="U87" s="56" t="n">
        <x:f>'08_Premissas_Custos'!$B$20*M87*IF(K87="Sim",1.8,0.7)</x:f>
        <x:v>4.199999999999999</x:v>
      </x:c>
      <x:c r="V87" s="57" t="n">
        <x:f>SUM(N87:U87)</x:f>
        <x:v>167.6</x:v>
      </x:c>
      <x:c r="W87" s="57" t="n">
        <x:f>V87*(1-H87)*IF(E87="Fase 2",'08_Premissas_Custos'!$F$10,1)</x:f>
        <x:v>167.6</x:v>
      </x:c>
      <x:c r="X87" s="58" t="n">
        <x:f>(N87*'08_Premissas_Custos'!$C$13+O87*'08_Premissas_Custos'!$C$14+P87*'08_Premissas_Custos'!$C$15+Q87*'08_Premissas_Custos'!$C$16+R87*'08_Premissas_Custos'!$C$17+S87*'08_Premissas_Custos'!$C$18+T87*'08_Premissas_Custos'!$C$19+U87*'08_Premissas_Custos'!$C$20)*(1-H87)*IF(E87="Fase 2",'08_Premissas_Custos'!$F$10,1)</x:f>
        <x:v>37358</x:v>
      </x:c>
      <x:c r="Y87" s="58" t="n">
        <x:f>X87*'08_Premissas_Custos'!$F$7</x:f>
        <x:v>4482.96</x:v>
      </x:c>
      <x:c r="Z87" s="58" t="n">
        <x:f>(X87+Y87)*'08_Premissas_Custos'!$F$6</x:f>
        <x:v>6276.143999999999</x:v>
      </x:c>
      <x:c r="AA87" s="58" t="n">
        <x:f>SUM(X87:Z87)</x:f>
        <x:v>48117.104</x:v>
      </x:c>
      <x:c r="AB87" s="14" t="str">
        <x:v>Plano</x:v>
      </x:c>
    </x:row>
    <x:row r="88">
      <x:c r="A88" s="14" t="n">
        <x:v>83</x:v>
      </x:c>
      <x:c r="B88" s="14" t="str">
        <x:v>EVT</x:v>
      </x:c>
      <x:c r="C88" s="14" t="str">
        <x:v>Eventos</x:v>
      </x:c>
      <x:c r="D88" s="14" t="str">
        <x:v>Segurança / combate ao assédio</x:v>
      </x:c>
      <x:c r="E88" s="14" t="str">
        <x:v>MVP</x:v>
      </x:c>
      <x:c r="F88" s="14" t="str">
        <x:v>Alta</x:v>
      </x:c>
      <x:c r="G88" s="14" t="str"/>
      <x:c r="H88" s="54" t="n">
        <x:v>0</x:v>
      </x:c>
      <x:c r="I88" s="44" t="str">
        <x:v>Não</x:v>
      </x:c>
      <x:c r="J88" s="44" t="str">
        <x:v>Não</x:v>
      </x:c>
      <x:c r="K88" s="44" t="str">
        <x:v>Sim</x:v>
      </x:c>
      <x:c r="L88" s="44" t="str">
        <x:v>Sim</x:v>
      </x:c>
      <x:c r="M88" s="55" t="n">
        <x:f>IF(F88="Baixa",'08_Premissas_Custos'!$B$6,IF(F88="Média",'08_Premissas_Custos'!$B$7,IF(F88="Alta",'08_Premissas_Custos'!$B$8,'08_Premissas_Custos'!$B$9)))</x:f>
        <x:v>1.55</x:v>
      </x:c>
      <x:c r="N88" s="56" t="n">
        <x:f>'08_Premissas_Custos'!$B$13*M88</x:f>
        <x:v>34.1</x:v>
      </x:c>
      <x:c r="O88" s="56" t="n">
        <x:f>'08_Premissas_Custos'!$B$14*M88*(1+IF(L88="Sim",0.25,0))</x:f>
        <x:v>93</x:v>
      </x:c>
      <x:c r="P88" s="56" t="n">
        <x:f>'08_Premissas_Custos'!$B$15*M88*(1+IF(I88="Sim",0.20,0)+IF(K88="Sim",0.15,0))</x:f>
        <x:v>96.255</x:v>
      </x:c>
      <x:c r="Q88" s="56" t="n">
        <x:f>'08_Premissas_Custos'!$B$16*M88*IF(J88="Sim",1.6,0.55)</x:f>
        <x:v>15.345000000000002</x:v>
      </x:c>
      <x:c r="R88" s="56" t="n">
        <x:f>'08_Premissas_Custos'!$B$17*M88*IF(I88="Sim",1.8,0.15)</x:f>
        <x:v>2.3249999999999997</x:v>
      </x:c>
      <x:c r="S88" s="56" t="n">
        <x:f>'08_Premissas_Custos'!$B$18*M88*(1+IF(I88="Sim",0.15)+IF(L88="Sim",0.10))</x:f>
        <x:v>34.1</x:v>
      </x:c>
      <x:c r="T88" s="56" t="n">
        <x:f>'08_Premissas_Custos'!$B$19*M88*(1+IF(J88="Sim",0.15))</x:f>
        <x:v>12.4</x:v>
      </x:c>
      <x:c r="U88" s="56" t="n">
        <x:f>'08_Premissas_Custos'!$B$20*M88*IF(K88="Sim",1.8,0.7)</x:f>
        <x:v>16.740000000000002</x:v>
      </x:c>
      <x:c r="V88" s="57" t="n">
        <x:f>SUM(N88:U88)</x:f>
        <x:v>304.265</x:v>
      </x:c>
      <x:c r="W88" s="57" t="n">
        <x:f>V88*(1-H88)*IF(E88="Fase 2",'08_Premissas_Custos'!$F$10,1)</x:f>
        <x:v>304.265</x:v>
      </x:c>
      <x:c r="X88" s="58" t="n">
        <x:f>(N88*'08_Premissas_Custos'!$C$13+O88*'08_Premissas_Custos'!$C$14+P88*'08_Premissas_Custos'!$C$15+Q88*'08_Premissas_Custos'!$C$16+R88*'08_Premissas_Custos'!$C$17+S88*'08_Premissas_Custos'!$C$18+T88*'08_Premissas_Custos'!$C$19+U88*'08_Premissas_Custos'!$C$20)*(1-H88)*IF(E88="Fase 2",'08_Premissas_Custos'!$F$10,1)</x:f>
        <x:v>68810.7</x:v>
      </x:c>
      <x:c r="Y88" s="58" t="n">
        <x:f>X88*'08_Premissas_Custos'!$F$7</x:f>
        <x:v>8257.284</x:v>
      </x:c>
      <x:c r="Z88" s="58" t="n">
        <x:f>(X88+Y88)*'08_Premissas_Custos'!$F$6</x:f>
        <x:v>11560.1976</x:v>
      </x:c>
      <x:c r="AA88" s="58" t="n">
        <x:f>SUM(X88:Z88)</x:f>
        <x:v>88628.1816</x:v>
      </x:c>
      <x:c r="AB88" s="14" t="str">
        <x:v>Protocolos</x:v>
      </x:c>
    </x:row>
    <x:row r="89">
      <x:c r="A89" s="14" t="n">
        <x:v>84</x:v>
      </x:c>
      <x:c r="B89" s="14" t="str">
        <x:v>EVT</x:v>
      </x:c>
      <x:c r="C89" s="14" t="str">
        <x:v>Eventos</x:v>
      </x:c>
      <x:c r="D89" s="14" t="str">
        <x:v>Operação / checklists</x:v>
      </x:c>
      <x:c r="E89" s="14" t="str">
        <x:v>Fase 2</x:v>
      </x:c>
      <x:c r="F89" s="14" t="str">
        <x:v>Alta</x:v>
      </x:c>
      <x:c r="G89" s="14" t="str"/>
      <x:c r="H89" s="54" t="n">
        <x:v>0</x:v>
      </x:c>
      <x:c r="I89" s="44" t="str">
        <x:v>Não</x:v>
      </x:c>
      <x:c r="J89" s="44" t="str">
        <x:v>Não</x:v>
      </x:c>
      <x:c r="K89" s="44" t="str">
        <x:v>Não</x:v>
      </x:c>
      <x:c r="L89" s="44" t="str">
        <x:v>Sim</x:v>
      </x:c>
      <x:c r="M89" s="55" t="n">
        <x:f>IF(F89="Baixa",'08_Premissas_Custos'!$B$6,IF(F89="Média",'08_Premissas_Custos'!$B$7,IF(F89="Alta",'08_Premissas_Custos'!$B$8,'08_Premissas_Custos'!$B$9)))</x:f>
        <x:v>1.55</x:v>
      </x:c>
      <x:c r="N89" s="56" t="n">
        <x:f>'08_Premissas_Custos'!$B$13*M89</x:f>
        <x:v>34.1</x:v>
      </x:c>
      <x:c r="O89" s="56" t="n">
        <x:f>'08_Premissas_Custos'!$B$14*M89*(1+IF(L89="Sim",0.25,0))</x:f>
        <x:v>93</x:v>
      </x:c>
      <x:c r="P89" s="56" t="n">
        <x:f>'08_Premissas_Custos'!$B$15*M89*(1+IF(I89="Sim",0.20,0)+IF(K89="Sim",0.15,0))</x:f>
        <x:v>83.7</x:v>
      </x:c>
      <x:c r="Q89" s="56" t="n">
        <x:f>'08_Premissas_Custos'!$B$16*M89*IF(J89="Sim",1.6,0.55)</x:f>
        <x:v>15.345000000000002</x:v>
      </x:c>
      <x:c r="R89" s="56" t="n">
        <x:f>'08_Premissas_Custos'!$B$17*M89*IF(I89="Sim",1.8,0.15)</x:f>
        <x:v>2.3249999999999997</x:v>
      </x:c>
      <x:c r="S89" s="56" t="n">
        <x:f>'08_Premissas_Custos'!$B$18*M89*(1+IF(I89="Sim",0.15)+IF(L89="Sim",0.10))</x:f>
        <x:v>34.1</x:v>
      </x:c>
      <x:c r="T89" s="56" t="n">
        <x:f>'08_Premissas_Custos'!$B$19*M89*(1+IF(J89="Sim",0.15))</x:f>
        <x:v>12.4</x:v>
      </x:c>
      <x:c r="U89" s="56" t="n">
        <x:f>'08_Premissas_Custos'!$B$20*M89*IF(K89="Sim",1.8,0.7)</x:f>
        <x:v>6.51</x:v>
      </x:c>
      <x:c r="V89" s="57" t="n">
        <x:f>SUM(N89:U89)</x:f>
        <x:v>281.47999999999996</x:v>
      </x:c>
      <x:c r="W89" s="57" t="n">
        <x:f>V89*(1-H89)*IF(E89="Fase 2",'08_Premissas_Custos'!$F$10,1)</x:f>
        <x:v>253.33199999999997</x:v>
      </x:c>
      <x:c r="X89" s="58" t="n">
        <x:f>(N89*'08_Premissas_Custos'!$C$13+O89*'08_Premissas_Custos'!$C$14+P89*'08_Premissas_Custos'!$C$15+Q89*'08_Premissas_Custos'!$C$16+R89*'08_Premissas_Custos'!$C$17+S89*'08_Premissas_Custos'!$C$18+T89*'08_Premissas_Custos'!$C$19+U89*'08_Premissas_Custos'!$C$20)*(1-H89)*IF(E89="Fase 2",'08_Premissas_Custos'!$F$10,1)</x:f>
        <x:v>56271.509999999995</x:v>
      </x:c>
      <x:c r="Y89" s="58" t="n">
        <x:f>X89*'08_Premissas_Custos'!$F$7</x:f>
        <x:v>6752.581199999999</x:v>
      </x:c>
      <x:c r="Z89" s="58" t="n">
        <x:f>(X89+Y89)*'08_Premissas_Custos'!$F$6</x:f>
        <x:v>9453.613679999999</x:v>
      </x:c>
      <x:c r="AA89" s="58" t="n">
        <x:f>SUM(X89:Z89)</x:f>
        <x:v>72477.70487999999</x:v>
      </x:c>
      <x:c r="AB89" s="14" t="str">
        <x:v>Execução</x:v>
      </x:c>
    </x:row>
    <x:row r="90">
      <x:c r="A90" s="14" t="n">
        <x:v>85</x:v>
      </x:c>
      <x:c r="B90" s="14" t="str">
        <x:v>EVT</x:v>
      </x:c>
      <x:c r="C90" s="14" t="str">
        <x:v>Eventos</x:v>
      </x:c>
      <x:c r="D90" s="14" t="str">
        <x:v>Indicadores em tempo real</x:v>
      </x:c>
      <x:c r="E90" s="14" t="str">
        <x:v>Fase 2</x:v>
      </x:c>
      <x:c r="F90" s="14" t="str">
        <x:v>Alta</x:v>
      </x:c>
      <x:c r="G90" s="14" t="str">
        <x:v>Indicadores em tempo real</x:v>
      </x:c>
      <x:c r="H90" s="54" t="n">
        <x:v>0.45</x:v>
      </x:c>
      <x:c r="I90" s="44" t="str">
        <x:v>Não</x:v>
      </x:c>
      <x:c r="J90" s="44" t="str">
        <x:v>Sim</x:v>
      </x:c>
      <x:c r="K90" s="44" t="str">
        <x:v>Não</x:v>
      </x:c>
      <x:c r="L90" s="44" t="str">
        <x:v>Não</x:v>
      </x:c>
      <x:c r="M90" s="55" t="n">
        <x:f>IF(F90="Baixa",'08_Premissas_Custos'!$B$6,IF(F90="Média",'08_Premissas_Custos'!$B$7,IF(F90="Alta",'08_Premissas_Custos'!$B$8,'08_Premissas_Custos'!$B$9)))</x:f>
        <x:v>1.55</x:v>
      </x:c>
      <x:c r="N90" s="56" t="n">
        <x:f>'08_Premissas_Custos'!$B$13*M90</x:f>
        <x:v>34.1</x:v>
      </x:c>
      <x:c r="O90" s="56" t="n">
        <x:f>'08_Premissas_Custos'!$B$14*M90*(1+IF(L90="Sim",0.25,0))</x:f>
        <x:v>74.4</x:v>
      </x:c>
      <x:c r="P90" s="56" t="n">
        <x:f>'08_Premissas_Custos'!$B$15*M90*(1+IF(I90="Sim",0.20,0)+IF(K90="Sim",0.15,0))</x:f>
        <x:v>83.7</x:v>
      </x:c>
      <x:c r="Q90" s="56" t="n">
        <x:f>'08_Premissas_Custos'!$B$16*M90*IF(J90="Sim",1.6,0.55)</x:f>
        <x:v>44.64000000000001</x:v>
      </x:c>
      <x:c r="R90" s="56" t="n">
        <x:f>'08_Premissas_Custos'!$B$17*M90*IF(I90="Sim",1.8,0.15)</x:f>
        <x:v>2.3249999999999997</x:v>
      </x:c>
      <x:c r="S90" s="56" t="n">
        <x:f>'08_Premissas_Custos'!$B$18*M90*(1+IF(I90="Sim",0.15)+IF(L90="Sim",0.10))</x:f>
        <x:v>31</x:v>
      </x:c>
      <x:c r="T90" s="56" t="n">
        <x:f>'08_Premissas_Custos'!$B$19*M90*(1+IF(J90="Sim",0.15))</x:f>
        <x:v>14.26</x:v>
      </x:c>
      <x:c r="U90" s="56" t="n">
        <x:f>'08_Premissas_Custos'!$B$20*M90*IF(K90="Sim",1.8,0.7)</x:f>
        <x:v>6.51</x:v>
      </x:c>
      <x:c r="V90" s="57" t="n">
        <x:f>SUM(N90:U90)</x:f>
        <x:v>290.93499999999995</x:v>
      </x:c>
      <x:c r="W90" s="57" t="n">
        <x:f>V90*(1-H90)*IF(E90="Fase 2",'08_Premissas_Custos'!$F$10,1)</x:f>
        <x:v>144.012825</x:v>
      </x:c>
      <x:c r="X90" s="58" t="n">
        <x:f>(N90*'08_Premissas_Custos'!$C$13+O90*'08_Premissas_Custos'!$C$14+P90*'08_Premissas_Custos'!$C$15+Q90*'08_Premissas_Custos'!$C$16+R90*'08_Premissas_Custos'!$C$17+S90*'08_Premissas_Custos'!$C$18+T90*'08_Premissas_Custos'!$C$19+U90*'08_Premissas_Custos'!$C$20)*(1-H90)*IF(E90="Fase 2",'08_Premissas_Custos'!$F$10,1)</x:f>
        <x:v>32672.574</x:v>
      </x:c>
      <x:c r="Y90" s="58" t="n">
        <x:f>X90*'08_Premissas_Custos'!$F$7</x:f>
        <x:v>3920.70888</x:v>
      </x:c>
      <x:c r="Z90" s="58" t="n">
        <x:f>(X90+Y90)*'08_Premissas_Custos'!$F$6</x:f>
        <x:v>5488.992432</x:v>
      </x:c>
      <x:c r="AA90" s="58" t="n">
        <x:f>SUM(X90:Z90)</x:f>
        <x:v>42082.275312</x:v>
      </x:c>
      <x:c r="AB90" s="14" t="str">
        <x:v>Operação</x:v>
      </x:c>
    </x:row>
    <x:row r="91">
      <x:c r="A91" s="14" t="n">
        <x:v>86</x:v>
      </x:c>
      <x:c r="B91" s="14" t="str">
        <x:v>EVT</x:v>
      </x:c>
      <x:c r="C91" s="14" t="str">
        <x:v>Eventos</x:v>
      </x:c>
      <x:c r="D91" s="14" t="str">
        <x:v>ROI / impacto financeiro</x:v>
      </x:c>
      <x:c r="E91" s="14" t="str">
        <x:v>MVP</x:v>
      </x:c>
      <x:c r="F91" s="14" t="str">
        <x:v>Alta</x:v>
      </x:c>
      <x:c r="G91" s="14" t="str"/>
      <x:c r="H91" s="54" t="n">
        <x:v>0</x:v>
      </x:c>
      <x:c r="I91" s="44" t="str">
        <x:v>Não</x:v>
      </x:c>
      <x:c r="J91" s="44" t="str">
        <x:v>Sim</x:v>
      </x:c>
      <x:c r="K91" s="44" t="str">
        <x:v>Não</x:v>
      </x:c>
      <x:c r="L91" s="44" t="str">
        <x:v>Não</x:v>
      </x:c>
      <x:c r="M91" s="55" t="n">
        <x:f>IF(F91="Baixa",'08_Premissas_Custos'!$B$6,IF(F91="Média",'08_Premissas_Custos'!$B$7,IF(F91="Alta",'08_Premissas_Custos'!$B$8,'08_Premissas_Custos'!$B$9)))</x:f>
        <x:v>1.55</x:v>
      </x:c>
      <x:c r="N91" s="56" t="n">
        <x:f>'08_Premissas_Custos'!$B$13*M91</x:f>
        <x:v>34.1</x:v>
      </x:c>
      <x:c r="O91" s="56" t="n">
        <x:f>'08_Premissas_Custos'!$B$14*M91*(1+IF(L91="Sim",0.25,0))</x:f>
        <x:v>74.4</x:v>
      </x:c>
      <x:c r="P91" s="56" t="n">
        <x:f>'08_Premissas_Custos'!$B$15*M91*(1+IF(I91="Sim",0.20,0)+IF(K91="Sim",0.15,0))</x:f>
        <x:v>83.7</x:v>
      </x:c>
      <x:c r="Q91" s="56" t="n">
        <x:f>'08_Premissas_Custos'!$B$16*M91*IF(J91="Sim",1.6,0.55)</x:f>
        <x:v>44.64000000000001</x:v>
      </x:c>
      <x:c r="R91" s="56" t="n">
        <x:f>'08_Premissas_Custos'!$B$17*M91*IF(I91="Sim",1.8,0.15)</x:f>
        <x:v>2.3249999999999997</x:v>
      </x:c>
      <x:c r="S91" s="56" t="n">
        <x:f>'08_Premissas_Custos'!$B$18*M91*(1+IF(I91="Sim",0.15)+IF(L91="Sim",0.10))</x:f>
        <x:v>31</x:v>
      </x:c>
      <x:c r="T91" s="56" t="n">
        <x:f>'08_Premissas_Custos'!$B$19*M91*(1+IF(J91="Sim",0.15))</x:f>
        <x:v>14.26</x:v>
      </x:c>
      <x:c r="U91" s="56" t="n">
        <x:f>'08_Premissas_Custos'!$B$20*M91*IF(K91="Sim",1.8,0.7)</x:f>
        <x:v>6.51</x:v>
      </x:c>
      <x:c r="V91" s="57" t="n">
        <x:f>SUM(N91:U91)</x:f>
        <x:v>290.93499999999995</x:v>
      </x:c>
      <x:c r="W91" s="57" t="n">
        <x:f>V91*(1-H91)*IF(E91="Fase 2",'08_Premissas_Custos'!$F$10,1)</x:f>
        <x:v>290.93499999999995</x:v>
      </x:c>
      <x:c r="X91" s="58" t="n">
        <x:f>(N91*'08_Premissas_Custos'!$C$13+O91*'08_Premissas_Custos'!$C$14+P91*'08_Premissas_Custos'!$C$15+Q91*'08_Premissas_Custos'!$C$16+R91*'08_Premissas_Custos'!$C$17+S91*'08_Premissas_Custos'!$C$18+T91*'08_Premissas_Custos'!$C$19+U91*'08_Premissas_Custos'!$C$20)*(1-H91)*IF(E91="Fase 2",'08_Premissas_Custos'!$F$10,1)</x:f>
        <x:v>66005.2</x:v>
      </x:c>
      <x:c r="Y91" s="58" t="n">
        <x:f>X91*'08_Premissas_Custos'!$F$7</x:f>
        <x:v>7920.624</x:v>
      </x:c>
      <x:c r="Z91" s="58" t="n">
        <x:f>(X91+Y91)*'08_Premissas_Custos'!$F$6</x:f>
        <x:v>11088.873599999999</x:v>
      </x:c>
      <x:c r="AA91" s="58" t="n">
        <x:f>SUM(X91:Z91)</x:f>
        <x:v>85014.69759999998</x:v>
      </x:c>
      <x:c r="AB91" s="14" t="str">
        <x:v>Retorno</x:v>
      </x:c>
    </x:row>
    <x:row r="92">
      <x:c r="A92" s="14" t="n">
        <x:v>87</x:v>
      </x:c>
      <x:c r="B92" s="14" t="str">
        <x:v>EVT</x:v>
      </x:c>
      <x:c r="C92" s="14" t="str">
        <x:v>Eventos</x:v>
      </x:c>
      <x:c r="D92" s="14" t="str">
        <x:v>Relatório pós-evento</x:v>
      </x:c>
      <x:c r="E92" s="14" t="str">
        <x:v>MVP</x:v>
      </x:c>
      <x:c r="F92" s="14" t="str">
        <x:v>Média</x:v>
      </x:c>
      <x:c r="G92" s="14" t="str"/>
      <x:c r="H92" s="54" t="n">
        <x:v>0</x:v>
      </x:c>
      <x:c r="I92" s="44" t="str">
        <x:v>Não</x:v>
      </x:c>
      <x:c r="J92" s="44" t="str">
        <x:v>Sim</x:v>
      </x:c>
      <x:c r="K92" s="44" t="str">
        <x:v>Não</x:v>
      </x:c>
      <x:c r="L92" s="44" t="str">
        <x:v>Não</x:v>
      </x:c>
      <x:c r="M92" s="55" t="n">
        <x:f>IF(F92="Baixa",'08_Premissas_Custos'!$B$6,IF(F92="Média",'08_Premissas_Custos'!$B$7,IF(F92="Alta",'08_Premissas_Custos'!$B$8,'08_Premissas_Custos'!$B$9)))</x:f>
        <x:v>1</x:v>
      </x:c>
      <x:c r="N92" s="56" t="n">
        <x:f>'08_Premissas_Custos'!$B$13*M92</x:f>
        <x:v>22</x:v>
      </x:c>
      <x:c r="O92" s="56" t="n">
        <x:f>'08_Premissas_Custos'!$B$14*M92*(1+IF(L92="Sim",0.25,0))</x:f>
        <x:v>48</x:v>
      </x:c>
      <x:c r="P92" s="56" t="n">
        <x:f>'08_Premissas_Custos'!$B$15*M92*(1+IF(I92="Sim",0.20,0)+IF(K92="Sim",0.15,0))</x:f>
        <x:v>54</x:v>
      </x:c>
      <x:c r="Q92" s="56" t="n">
        <x:f>'08_Premissas_Custos'!$B$16*M92*IF(J92="Sim",1.6,0.55)</x:f>
        <x:v>28.8</x:v>
      </x:c>
      <x:c r="R92" s="56" t="n">
        <x:f>'08_Premissas_Custos'!$B$17*M92*IF(I92="Sim",1.8,0.15)</x:f>
        <x:v>1.5</x:v>
      </x:c>
      <x:c r="S92" s="56" t="n">
        <x:f>'08_Premissas_Custos'!$B$18*M92*(1+IF(I92="Sim",0.15)+IF(L92="Sim",0.10))</x:f>
        <x:v>20</x:v>
      </x:c>
      <x:c r="T92" s="56" t="n">
        <x:f>'08_Premissas_Custos'!$B$19*M92*(1+IF(J92="Sim",0.15))</x:f>
        <x:v>9.2</x:v>
      </x:c>
      <x:c r="U92" s="56" t="n">
        <x:f>'08_Premissas_Custos'!$B$20*M92*IF(K92="Sim",1.8,0.7)</x:f>
        <x:v>4.199999999999999</x:v>
      </x:c>
      <x:c r="V92" s="57" t="n">
        <x:f>SUM(N92:U92)</x:f>
        <x:v>187.7</x:v>
      </x:c>
      <x:c r="W92" s="57" t="n">
        <x:f>V92*(1-H92)*IF(E92="Fase 2",'08_Premissas_Custos'!$F$10,1)</x:f>
        <x:v>187.7</x:v>
      </x:c>
      <x:c r="X92" s="58" t="n">
        <x:f>(N92*'08_Premissas_Custos'!$C$13+O92*'08_Premissas_Custos'!$C$14+P92*'08_Premissas_Custos'!$C$15+Q92*'08_Premissas_Custos'!$C$16+R92*'08_Premissas_Custos'!$C$17+S92*'08_Premissas_Custos'!$C$18+T92*'08_Premissas_Custos'!$C$19+U92*'08_Premissas_Custos'!$C$20)*(1-H92)*IF(E92="Fase 2",'08_Premissas_Custos'!$F$10,1)</x:f>
        <x:v>42584</x:v>
      </x:c>
      <x:c r="Y92" s="58" t="n">
        <x:f>X92*'08_Premissas_Custos'!$F$7</x:f>
        <x:v>5110.08</x:v>
      </x:c>
      <x:c r="Z92" s="58" t="n">
        <x:f>(X92+Y92)*'08_Premissas_Custos'!$F$6</x:f>
        <x:v>7154.112</x:v>
      </x:c>
      <x:c r="AA92" s="58" t="n">
        <x:f>SUM(X92:Z92)</x:f>
        <x:v>54848.192</x:v>
      </x:c>
      <x:c r="AB92" s="14" t="str">
        <x:v>Resultados</x:v>
      </x:c>
    </x:row>
    <x:row r="93">
      <x:c r="A93" s="14" t="n">
        <x:v>88</x:v>
      </x:c>
      <x:c r="B93" s="14" t="str">
        <x:v>COM</x:v>
      </x:c>
      <x:c r="C93" s="14" t="str">
        <x:v>Comunidades / Eu &amp; Eu / Cultura</x:v>
      </x:c>
      <x:c r="D93" s="14" t="str">
        <x:v>Meu perfil</x:v>
      </x:c>
      <x:c r="E93" s="14" t="str">
        <x:v>MVP</x:v>
      </x:c>
      <x:c r="F93" s="14" t="str">
        <x:v>Baixa</x:v>
      </x:c>
      <x:c r="G93" s="14" t="str"/>
      <x:c r="H93" s="54" t="n">
        <x:v>0</x:v>
      </x:c>
      <x:c r="I93" s="44" t="str">
        <x:v>Não</x:v>
      </x:c>
      <x:c r="J93" s="44" t="str">
        <x:v>Não</x:v>
      </x:c>
      <x:c r="K93" s="44" t="str">
        <x:v>Não</x:v>
      </x:c>
      <x:c r="L93" s="44" t="str">
        <x:v>Sim</x:v>
      </x:c>
      <x:c r="M93" s="55" t="n">
        <x:f>IF(F93="Baixa",'08_Premissas_Custos'!$B$6,IF(F93="Média",'08_Premissas_Custos'!$B$7,IF(F93="Alta",'08_Premissas_Custos'!$B$8,'08_Premissas_Custos'!$B$9)))</x:f>
        <x:v>0.65</x:v>
      </x:c>
      <x:c r="N93" s="56" t="n">
        <x:f>'08_Premissas_Custos'!$B$13*M93</x:f>
        <x:v>14.3</x:v>
      </x:c>
      <x:c r="O93" s="56" t="n">
        <x:f>'08_Premissas_Custos'!$B$14*M93*(1+IF(L93="Sim",0.25,0))</x:f>
        <x:v>39</x:v>
      </x:c>
      <x:c r="P93" s="56" t="n">
        <x:f>'08_Premissas_Custos'!$B$15*M93*(1+IF(I93="Sim",0.20,0)+IF(K93="Sim",0.15,0))</x:f>
        <x:v>35.1</x:v>
      </x:c>
      <x:c r="Q93" s="56" t="n">
        <x:f>'08_Premissas_Custos'!$B$16*M93*IF(J93="Sim",1.6,0.55)</x:f>
        <x:v>6.435000000000001</x:v>
      </x:c>
      <x:c r="R93" s="56" t="n">
        <x:f>'08_Premissas_Custos'!$B$17*M93*IF(I93="Sim",1.8,0.15)</x:f>
        <x:v>0.975</x:v>
      </x:c>
      <x:c r="S93" s="56" t="n">
        <x:f>'08_Premissas_Custos'!$B$18*M93*(1+IF(I93="Sim",0.15)+IF(L93="Sim",0.10))</x:f>
        <x:v>14.3</x:v>
      </x:c>
      <x:c r="T93" s="56" t="n">
        <x:f>'08_Premissas_Custos'!$B$19*M93*(1+IF(J93="Sim",0.15))</x:f>
        <x:v>5.2</x:v>
      </x:c>
      <x:c r="U93" s="56" t="n">
        <x:f>'08_Premissas_Custos'!$B$20*M93*IF(K93="Sim",1.8,0.7)</x:f>
        <x:v>2.73</x:v>
      </x:c>
      <x:c r="V93" s="57" t="n">
        <x:f>SUM(N93:U93)</x:f>
        <x:v>118.04</x:v>
      </x:c>
      <x:c r="W93" s="57" t="n">
        <x:f>V93*(1-H93)*IF(E93="Fase 2",'08_Premissas_Custos'!$F$10,1)</x:f>
        <x:v>118.04</x:v>
      </x:c>
      <x:c r="X93" s="58" t="n">
        <x:f>(N93*'08_Premissas_Custos'!$C$13+O93*'08_Premissas_Custos'!$C$14+P93*'08_Premissas_Custos'!$C$15+Q93*'08_Premissas_Custos'!$C$16+R93*'08_Premissas_Custos'!$C$17+S93*'08_Premissas_Custos'!$C$18+T93*'08_Premissas_Custos'!$C$19+U93*'08_Premissas_Custos'!$C$20)*(1-H93)*IF(E93="Fase 2",'08_Premissas_Custos'!$F$10,1)</x:f>
        <x:v>26219.699999999997</x:v>
      </x:c>
      <x:c r="Y93" s="58" t="n">
        <x:f>X93*'08_Premissas_Custos'!$F$7</x:f>
        <x:v>3146.3639999999996</x:v>
      </x:c>
      <x:c r="Z93" s="58" t="n">
        <x:f>(X93+Y93)*'08_Premissas_Custos'!$F$6</x:f>
        <x:v>4404.9096</x:v>
      </x:c>
      <x:c r="AA93" s="58" t="n">
        <x:f>SUM(X93:Z93)</x:f>
        <x:v>33770.9736</x:v>
      </x:c>
      <x:c r="AB93" s="14" t="str">
        <x:v>Preferências</x:v>
      </x:c>
    </x:row>
    <x:row r="94">
      <x:c r="A94" s="14" t="n">
        <x:v>89</x:v>
      </x:c>
      <x:c r="B94" s="14" t="str">
        <x:v>COM</x:v>
      </x:c>
      <x:c r="C94" s="14" t="str">
        <x:v>Comunidades / Eu &amp; Eu / Cultura</x:v>
      </x:c>
      <x:c r="D94" s="14" t="str">
        <x:v>Objetivos</x:v>
      </x:c>
      <x:c r="E94" s="14" t="str">
        <x:v>MVP</x:v>
      </x:c>
      <x:c r="F94" s="14" t="str">
        <x:v>Média</x:v>
      </x:c>
      <x:c r="G94" s="14" t="str"/>
      <x:c r="H94" s="54" t="n">
        <x:v>0</x:v>
      </x:c>
      <x:c r="I94" s="44" t="str">
        <x:v>Não</x:v>
      </x:c>
      <x:c r="J94" s="44" t="str">
        <x:v>Não</x:v>
      </x:c>
      <x:c r="K94" s="44" t="str">
        <x:v>Não</x:v>
      </x:c>
      <x:c r="L94" s="44" t="str">
        <x:v>Sim</x:v>
      </x:c>
      <x:c r="M94" s="55" t="n">
        <x:f>IF(F94="Baixa",'08_Premissas_Custos'!$B$6,IF(F94="Média",'08_Premissas_Custos'!$B$7,IF(F94="Alta",'08_Premissas_Custos'!$B$8,'08_Premissas_Custos'!$B$9)))</x:f>
        <x:v>1</x:v>
      </x:c>
      <x:c r="N94" s="56" t="n">
        <x:f>'08_Premissas_Custos'!$B$13*M94</x:f>
        <x:v>22</x:v>
      </x:c>
      <x:c r="O94" s="56" t="n">
        <x:f>'08_Premissas_Custos'!$B$14*M94*(1+IF(L94="Sim",0.25,0))</x:f>
        <x:v>60</x:v>
      </x:c>
      <x:c r="P94" s="56" t="n">
        <x:f>'08_Premissas_Custos'!$B$15*M94*(1+IF(I94="Sim",0.20,0)+IF(K94="Sim",0.15,0))</x:f>
        <x:v>54</x:v>
      </x:c>
      <x:c r="Q94" s="56" t="n">
        <x:f>'08_Premissas_Custos'!$B$16*M94*IF(J94="Sim",1.6,0.55)</x:f>
        <x:v>9.9</x:v>
      </x:c>
      <x:c r="R94" s="56" t="n">
        <x:f>'08_Premissas_Custos'!$B$17*M94*IF(I94="Sim",1.8,0.15)</x:f>
        <x:v>1.5</x:v>
      </x:c>
      <x:c r="S94" s="56" t="n">
        <x:f>'08_Premissas_Custos'!$B$18*M94*(1+IF(I94="Sim",0.15)+IF(L94="Sim",0.10))</x:f>
        <x:v>22</x:v>
      </x:c>
      <x:c r="T94" s="56" t="n">
        <x:f>'08_Premissas_Custos'!$B$19*M94*(1+IF(J94="Sim",0.15))</x:f>
        <x:v>8</x:v>
      </x:c>
      <x:c r="U94" s="56" t="n">
        <x:f>'08_Premissas_Custos'!$B$20*M94*IF(K94="Sim",1.8,0.7)</x:f>
        <x:v>4.199999999999999</x:v>
      </x:c>
      <x:c r="V94" s="57" t="n">
        <x:f>SUM(N94:U94)</x:f>
        <x:v>181.6</x:v>
      </x:c>
      <x:c r="W94" s="57" t="n">
        <x:f>V94*(1-H94)*IF(E94="Fase 2",'08_Premissas_Custos'!$F$10,1)</x:f>
        <x:v>181.6</x:v>
      </x:c>
      <x:c r="X94" s="58" t="n">
        <x:f>(N94*'08_Premissas_Custos'!$C$13+O94*'08_Premissas_Custos'!$C$14+P94*'08_Premissas_Custos'!$C$15+Q94*'08_Premissas_Custos'!$C$16+R94*'08_Premissas_Custos'!$C$17+S94*'08_Premissas_Custos'!$C$18+T94*'08_Premissas_Custos'!$C$19+U94*'08_Premissas_Custos'!$C$20)*(1-H94)*IF(E94="Fase 2",'08_Premissas_Custos'!$F$10,1)</x:f>
        <x:v>40338</x:v>
      </x:c>
      <x:c r="Y94" s="58" t="n">
        <x:f>X94*'08_Premissas_Custos'!$F$7</x:f>
        <x:v>4840.5599999999995</x:v>
      </x:c>
      <x:c r="Z94" s="58" t="n">
        <x:f>(X94+Y94)*'08_Premissas_Custos'!$F$6</x:f>
        <x:v>6776.784</x:v>
      </x:c>
      <x:c r="AA94" s="58" t="n">
        <x:f>SUM(X94:Z94)</x:f>
        <x:v>51955.344</x:v>
      </x:c>
      <x:c r="AB94" s="14" t="str">
        <x:v>Metas</x:v>
      </x:c>
    </x:row>
    <x:row r="95">
      <x:c r="A95" s="14" t="n">
        <x:v>90</x:v>
      </x:c>
      <x:c r="B95" s="14" t="str">
        <x:v>COM</x:v>
      </x:c>
      <x:c r="C95" s="14" t="str">
        <x:v>Comunidades / Eu &amp; Eu / Cultura</x:v>
      </x:c>
      <x:c r="D95" s="14" t="str">
        <x:v>Plano de ação</x:v>
      </x:c>
      <x:c r="E95" s="14" t="str">
        <x:v>MVP</x:v>
      </x:c>
      <x:c r="F95" s="14" t="str">
        <x:v>Média</x:v>
      </x:c>
      <x:c r="G95" s="14" t="str"/>
      <x:c r="H95" s="54" t="n">
        <x:v>0</x:v>
      </x:c>
      <x:c r="I95" s="44" t="str">
        <x:v>Não</x:v>
      </x:c>
      <x:c r="J95" s="44" t="str">
        <x:v>Não</x:v>
      </x:c>
      <x:c r="K95" s="44" t="str">
        <x:v>Não</x:v>
      </x:c>
      <x:c r="L95" s="44" t="str">
        <x:v>Sim</x:v>
      </x:c>
      <x:c r="M95" s="55" t="n">
        <x:f>IF(F95="Baixa",'08_Premissas_Custos'!$B$6,IF(F95="Média",'08_Premissas_Custos'!$B$7,IF(F95="Alta",'08_Premissas_Custos'!$B$8,'08_Premissas_Custos'!$B$9)))</x:f>
        <x:v>1</x:v>
      </x:c>
      <x:c r="N95" s="56" t="n">
        <x:f>'08_Premissas_Custos'!$B$13*M95</x:f>
        <x:v>22</x:v>
      </x:c>
      <x:c r="O95" s="56" t="n">
        <x:f>'08_Premissas_Custos'!$B$14*M95*(1+IF(L95="Sim",0.25,0))</x:f>
        <x:v>60</x:v>
      </x:c>
      <x:c r="P95" s="56" t="n">
        <x:f>'08_Premissas_Custos'!$B$15*M95*(1+IF(I95="Sim",0.20,0)+IF(K95="Sim",0.15,0))</x:f>
        <x:v>54</x:v>
      </x:c>
      <x:c r="Q95" s="56" t="n">
        <x:f>'08_Premissas_Custos'!$B$16*M95*IF(J95="Sim",1.6,0.55)</x:f>
        <x:v>9.9</x:v>
      </x:c>
      <x:c r="R95" s="56" t="n">
        <x:f>'08_Premissas_Custos'!$B$17*M95*IF(I95="Sim",1.8,0.15)</x:f>
        <x:v>1.5</x:v>
      </x:c>
      <x:c r="S95" s="56" t="n">
        <x:f>'08_Premissas_Custos'!$B$18*M95*(1+IF(I95="Sim",0.15)+IF(L95="Sim",0.10))</x:f>
        <x:v>22</x:v>
      </x:c>
      <x:c r="T95" s="56" t="n">
        <x:f>'08_Premissas_Custos'!$B$19*M95*(1+IF(J95="Sim",0.15))</x:f>
        <x:v>8</x:v>
      </x:c>
      <x:c r="U95" s="56" t="n">
        <x:f>'08_Premissas_Custos'!$B$20*M95*IF(K95="Sim",1.8,0.7)</x:f>
        <x:v>4.199999999999999</x:v>
      </x:c>
      <x:c r="V95" s="57" t="n">
        <x:f>SUM(N95:U95)</x:f>
        <x:v>181.6</x:v>
      </x:c>
      <x:c r="W95" s="57" t="n">
        <x:f>V95*(1-H95)*IF(E95="Fase 2",'08_Premissas_Custos'!$F$10,1)</x:f>
        <x:v>181.6</x:v>
      </x:c>
      <x:c r="X95" s="58" t="n">
        <x:f>(N95*'08_Premissas_Custos'!$C$13+O95*'08_Premissas_Custos'!$C$14+P95*'08_Premissas_Custos'!$C$15+Q95*'08_Premissas_Custos'!$C$16+R95*'08_Premissas_Custos'!$C$17+S95*'08_Premissas_Custos'!$C$18+T95*'08_Premissas_Custos'!$C$19+U95*'08_Premissas_Custos'!$C$20)*(1-H95)*IF(E95="Fase 2",'08_Premissas_Custos'!$F$10,1)</x:f>
        <x:v>40338</x:v>
      </x:c>
      <x:c r="Y95" s="58" t="n">
        <x:f>X95*'08_Premissas_Custos'!$F$7</x:f>
        <x:v>4840.5599999999995</x:v>
      </x:c>
      <x:c r="Z95" s="58" t="n">
        <x:f>(X95+Y95)*'08_Premissas_Custos'!$F$6</x:f>
        <x:v>6776.784</x:v>
      </x:c>
      <x:c r="AA95" s="58" t="n">
        <x:f>SUM(X95:Z95)</x:f>
        <x:v>51955.344</x:v>
      </x:c>
      <x:c r="AB95" s="14" t="str">
        <x:v>Passos</x:v>
      </x:c>
    </x:row>
    <x:row r="96">
      <x:c r="A96" s="14" t="n">
        <x:v>91</x:v>
      </x:c>
      <x:c r="B96" s="14" t="str">
        <x:v>COM</x:v>
      </x:c>
      <x:c r="C96" s="14" t="str">
        <x:v>Comunidades / Eu &amp; Eu / Cultura</x:v>
      </x:c>
      <x:c r="D96" s="14" t="str">
        <x:v>Preparação / conteúdos</x:v>
      </x:c>
      <x:c r="E96" s="14" t="str">
        <x:v>MVP</x:v>
      </x:c>
      <x:c r="F96" s="14" t="str">
        <x:v>Média</x:v>
      </x:c>
      <x:c r="G96" s="14" t="str"/>
      <x:c r="H96" s="54" t="n">
        <x:v>0</x:v>
      </x:c>
      <x:c r="I96" s="44" t="str">
        <x:v>Não</x:v>
      </x:c>
      <x:c r="J96" s="44" t="str">
        <x:v>Não</x:v>
      </x:c>
      <x:c r="K96" s="44" t="str">
        <x:v>Não</x:v>
      </x:c>
      <x:c r="L96" s="44" t="str">
        <x:v>Sim</x:v>
      </x:c>
      <x:c r="M96" s="55" t="n">
        <x:f>IF(F96="Baixa",'08_Premissas_Custos'!$B$6,IF(F96="Média",'08_Premissas_Custos'!$B$7,IF(F96="Alta",'08_Premissas_Custos'!$B$8,'08_Premissas_Custos'!$B$9)))</x:f>
        <x:v>1</x:v>
      </x:c>
      <x:c r="N96" s="56" t="n">
        <x:f>'08_Premissas_Custos'!$B$13*M96</x:f>
        <x:v>22</x:v>
      </x:c>
      <x:c r="O96" s="56" t="n">
        <x:f>'08_Premissas_Custos'!$B$14*M96*(1+IF(L96="Sim",0.25,0))</x:f>
        <x:v>60</x:v>
      </x:c>
      <x:c r="P96" s="56" t="n">
        <x:f>'08_Premissas_Custos'!$B$15*M96*(1+IF(I96="Sim",0.20,0)+IF(K96="Sim",0.15,0))</x:f>
        <x:v>54</x:v>
      </x:c>
      <x:c r="Q96" s="56" t="n">
        <x:f>'08_Premissas_Custos'!$B$16*M96*IF(J96="Sim",1.6,0.55)</x:f>
        <x:v>9.9</x:v>
      </x:c>
      <x:c r="R96" s="56" t="n">
        <x:f>'08_Premissas_Custos'!$B$17*M96*IF(I96="Sim",1.8,0.15)</x:f>
        <x:v>1.5</x:v>
      </x:c>
      <x:c r="S96" s="56" t="n">
        <x:f>'08_Premissas_Custos'!$B$18*M96*(1+IF(I96="Sim",0.15)+IF(L96="Sim",0.10))</x:f>
        <x:v>22</x:v>
      </x:c>
      <x:c r="T96" s="56" t="n">
        <x:f>'08_Premissas_Custos'!$B$19*M96*(1+IF(J96="Sim",0.15))</x:f>
        <x:v>8</x:v>
      </x:c>
      <x:c r="U96" s="56" t="n">
        <x:f>'08_Premissas_Custos'!$B$20*M96*IF(K96="Sim",1.8,0.7)</x:f>
        <x:v>4.199999999999999</x:v>
      </x:c>
      <x:c r="V96" s="57" t="n">
        <x:f>SUM(N96:U96)</x:f>
        <x:v>181.6</x:v>
      </x:c>
      <x:c r="W96" s="57" t="n">
        <x:f>V96*(1-H96)*IF(E96="Fase 2",'08_Premissas_Custos'!$F$10,1)</x:f>
        <x:v>181.6</x:v>
      </x:c>
      <x:c r="X96" s="58" t="n">
        <x:f>(N96*'08_Premissas_Custos'!$C$13+O96*'08_Premissas_Custos'!$C$14+P96*'08_Premissas_Custos'!$C$15+Q96*'08_Premissas_Custos'!$C$16+R96*'08_Premissas_Custos'!$C$17+S96*'08_Premissas_Custos'!$C$18+T96*'08_Premissas_Custos'!$C$19+U96*'08_Premissas_Custos'!$C$20)*(1-H96)*IF(E96="Fase 2",'08_Premissas_Custos'!$F$10,1)</x:f>
        <x:v>40338</x:v>
      </x:c>
      <x:c r="Y96" s="58" t="n">
        <x:f>X96*'08_Premissas_Custos'!$F$7</x:f>
        <x:v>4840.5599999999995</x:v>
      </x:c>
      <x:c r="Z96" s="58" t="n">
        <x:f>(X96+Y96)*'08_Premissas_Custos'!$F$6</x:f>
        <x:v>6776.784</x:v>
      </x:c>
      <x:c r="AA96" s="58" t="n">
        <x:f>SUM(X96:Z96)</x:f>
        <x:v>51955.344</x:v>
      </x:c>
      <x:c r="AB96" s="14" t="str">
        <x:v>Trilhas</x:v>
      </x:c>
    </x:row>
    <x:row r="97">
      <x:c r="A97" s="14" t="n">
        <x:v>92</x:v>
      </x:c>
      <x:c r="B97" s="14" t="str">
        <x:v>COM</x:v>
      </x:c>
      <x:c r="C97" s="14" t="str">
        <x:v>Comunidades / Eu &amp; Eu / Cultura</x:v>
      </x:c>
      <x:c r="D97" s="14" t="str">
        <x:v>Mentoria</x:v>
      </x:c>
      <x:c r="E97" s="14" t="str">
        <x:v>Fase 2</x:v>
      </x:c>
      <x:c r="F97" s="14" t="str">
        <x:v>Média</x:v>
      </x:c>
      <x:c r="G97" s="14" t="str"/>
      <x:c r="H97" s="54" t="n">
        <x:v>0</x:v>
      </x:c>
      <x:c r="I97" s="44" t="str">
        <x:v>Não</x:v>
      </x:c>
      <x:c r="J97" s="44" t="str">
        <x:v>Não</x:v>
      </x:c>
      <x:c r="K97" s="44" t="str">
        <x:v>Não</x:v>
      </x:c>
      <x:c r="L97" s="44" t="str">
        <x:v>Sim</x:v>
      </x:c>
      <x:c r="M97" s="55" t="n">
        <x:f>IF(F97="Baixa",'08_Premissas_Custos'!$B$6,IF(F97="Média",'08_Premissas_Custos'!$B$7,IF(F97="Alta",'08_Premissas_Custos'!$B$8,'08_Premissas_Custos'!$B$9)))</x:f>
        <x:v>1</x:v>
      </x:c>
      <x:c r="N97" s="56" t="n">
        <x:f>'08_Premissas_Custos'!$B$13*M97</x:f>
        <x:v>22</x:v>
      </x:c>
      <x:c r="O97" s="56" t="n">
        <x:f>'08_Premissas_Custos'!$B$14*M97*(1+IF(L97="Sim",0.25,0))</x:f>
        <x:v>60</x:v>
      </x:c>
      <x:c r="P97" s="56" t="n">
        <x:f>'08_Premissas_Custos'!$B$15*M97*(1+IF(I97="Sim",0.20,0)+IF(K97="Sim",0.15,0))</x:f>
        <x:v>54</x:v>
      </x:c>
      <x:c r="Q97" s="56" t="n">
        <x:f>'08_Premissas_Custos'!$B$16*M97*IF(J97="Sim",1.6,0.55)</x:f>
        <x:v>9.9</x:v>
      </x:c>
      <x:c r="R97" s="56" t="n">
        <x:f>'08_Premissas_Custos'!$B$17*M97*IF(I97="Sim",1.8,0.15)</x:f>
        <x:v>1.5</x:v>
      </x:c>
      <x:c r="S97" s="56" t="n">
        <x:f>'08_Premissas_Custos'!$B$18*M97*(1+IF(I97="Sim",0.15)+IF(L97="Sim",0.10))</x:f>
        <x:v>22</x:v>
      </x:c>
      <x:c r="T97" s="56" t="n">
        <x:f>'08_Premissas_Custos'!$B$19*M97*(1+IF(J97="Sim",0.15))</x:f>
        <x:v>8</x:v>
      </x:c>
      <x:c r="U97" s="56" t="n">
        <x:f>'08_Premissas_Custos'!$B$20*M97*IF(K97="Sim",1.8,0.7)</x:f>
        <x:v>4.199999999999999</x:v>
      </x:c>
      <x:c r="V97" s="57" t="n">
        <x:f>SUM(N97:U97)</x:f>
        <x:v>181.6</x:v>
      </x:c>
      <x:c r="W97" s="57" t="n">
        <x:f>V97*(1-H97)*IF(E97="Fase 2",'08_Premissas_Custos'!$F$10,1)</x:f>
        <x:v>163.44</x:v>
      </x:c>
      <x:c r="X97" s="58" t="n">
        <x:f>(N97*'08_Premissas_Custos'!$C$13+O97*'08_Premissas_Custos'!$C$14+P97*'08_Premissas_Custos'!$C$15+Q97*'08_Premissas_Custos'!$C$16+R97*'08_Premissas_Custos'!$C$17+S97*'08_Premissas_Custos'!$C$18+T97*'08_Premissas_Custos'!$C$19+U97*'08_Premissas_Custos'!$C$20)*(1-H97)*IF(E97="Fase 2",'08_Premissas_Custos'!$F$10,1)</x:f>
        <x:v>36304.200000000004</x:v>
      </x:c>
      <x:c r="Y97" s="58" t="n">
        <x:f>X97*'08_Premissas_Custos'!$F$7</x:f>
        <x:v>4356.504000000001</x:v>
      </x:c>
      <x:c r="Z97" s="58" t="n">
        <x:f>(X97+Y97)*'08_Premissas_Custos'!$F$6</x:f>
        <x:v>6099.105600000001</x:v>
      </x:c>
      <x:c r="AA97" s="58" t="n">
        <x:f>SUM(X97:Z97)</x:f>
        <x:v>46759.80960000001</x:v>
      </x:c>
      <x:c r="AB97" s="14" t="str">
        <x:v>Conexões</x:v>
      </x:c>
    </x:row>
    <x:row r="98">
      <x:c r="A98" s="14" t="n">
        <x:v>93</x:v>
      </x:c>
      <x:c r="B98" s="14" t="str">
        <x:v>COM</x:v>
      </x:c>
      <x:c r="C98" s="14" t="str">
        <x:v>Comunidades / Eu &amp; Eu / Cultura</x:v>
      </x:c>
      <x:c r="D98" s="14" t="str">
        <x:v>Saúde &amp; cuidado</x:v>
      </x:c>
      <x:c r="E98" s="14" t="str">
        <x:v>Fase 2</x:v>
      </x:c>
      <x:c r="F98" s="14" t="str">
        <x:v>Alta</x:v>
      </x:c>
      <x:c r="G98" s="14" t="str"/>
      <x:c r="H98" s="54" t="n">
        <x:v>0</x:v>
      </x:c>
      <x:c r="I98" s="44" t="str">
        <x:v>Não</x:v>
      </x:c>
      <x:c r="J98" s="44" t="str">
        <x:v>Sim</x:v>
      </x:c>
      <x:c r="K98" s="44" t="str">
        <x:v>Não</x:v>
      </x:c>
      <x:c r="L98" s="44" t="str">
        <x:v>Sim</x:v>
      </x:c>
      <x:c r="M98" s="55" t="n">
        <x:f>IF(F98="Baixa",'08_Premissas_Custos'!$B$6,IF(F98="Média",'08_Premissas_Custos'!$B$7,IF(F98="Alta",'08_Premissas_Custos'!$B$8,'08_Premissas_Custos'!$B$9)))</x:f>
        <x:v>1.55</x:v>
      </x:c>
      <x:c r="N98" s="56" t="n">
        <x:f>'08_Premissas_Custos'!$B$13*M98</x:f>
        <x:v>34.1</x:v>
      </x:c>
      <x:c r="O98" s="56" t="n">
        <x:f>'08_Premissas_Custos'!$B$14*M98*(1+IF(L98="Sim",0.25,0))</x:f>
        <x:v>93</x:v>
      </x:c>
      <x:c r="P98" s="56" t="n">
        <x:f>'08_Premissas_Custos'!$B$15*M98*(1+IF(I98="Sim",0.20,0)+IF(K98="Sim",0.15,0))</x:f>
        <x:v>83.7</x:v>
      </x:c>
      <x:c r="Q98" s="56" t="n">
        <x:f>'08_Premissas_Custos'!$B$16*M98*IF(J98="Sim",1.6,0.55)</x:f>
        <x:v>44.64000000000001</x:v>
      </x:c>
      <x:c r="R98" s="56" t="n">
        <x:f>'08_Premissas_Custos'!$B$17*M98*IF(I98="Sim",1.8,0.15)</x:f>
        <x:v>2.3249999999999997</x:v>
      </x:c>
      <x:c r="S98" s="56" t="n">
        <x:f>'08_Premissas_Custos'!$B$18*M98*(1+IF(I98="Sim",0.15)+IF(L98="Sim",0.10))</x:f>
        <x:v>34.1</x:v>
      </x:c>
      <x:c r="T98" s="56" t="n">
        <x:f>'08_Premissas_Custos'!$B$19*M98*(1+IF(J98="Sim",0.15))</x:f>
        <x:v>14.26</x:v>
      </x:c>
      <x:c r="U98" s="56" t="n">
        <x:f>'08_Premissas_Custos'!$B$20*M98*IF(K98="Sim",1.8,0.7)</x:f>
        <x:v>6.51</x:v>
      </x:c>
      <x:c r="V98" s="57" t="n">
        <x:f>SUM(N98:U98)</x:f>
        <x:v>312.63500000000005</x:v>
      </x:c>
      <x:c r="W98" s="57" t="n">
        <x:f>V98*(1-H98)*IF(E98="Fase 2",'08_Premissas_Custos'!$F$10,1)</x:f>
        <x:v>281.3715</x:v>
      </x:c>
      <x:c r="X98" s="58" t="n">
        <x:f>(N98*'08_Premissas_Custos'!$C$13+O98*'08_Premissas_Custos'!$C$14+P98*'08_Premissas_Custos'!$C$15+Q98*'08_Premissas_Custos'!$C$16+R98*'08_Premissas_Custos'!$C$17+S98*'08_Premissas_Custos'!$C$18+T98*'08_Premissas_Custos'!$C$19+U98*'08_Premissas_Custos'!$C$20)*(1-H98)*IF(E98="Fase 2",'08_Premissas_Custos'!$F$10,1)</x:f>
        <x:v>63561.78</x:v>
      </x:c>
      <x:c r="Y98" s="58" t="n">
        <x:f>X98*'08_Premissas_Custos'!$F$7</x:f>
        <x:v>7627.4136</x:v>
      </x:c>
      <x:c r="Z98" s="58" t="n">
        <x:f>(X98+Y98)*'08_Premissas_Custos'!$F$6</x:f>
        <x:v>10678.37904</x:v>
      </x:c>
      <x:c r="AA98" s="58" t="n">
        <x:f>SUM(X98:Z98)</x:f>
        <x:v>81867.57264</x:v>
      </x:c>
      <x:c r="AB98" s="14" t="str">
        <x:v>Recursos</x:v>
      </x:c>
    </x:row>
    <x:row r="99">
      <x:c r="A99" s="14" t="n">
        <x:v>94</x:v>
      </x:c>
      <x:c r="B99" s="14" t="str">
        <x:v>COM</x:v>
      </x:c>
      <x:c r="C99" s="14" t="str">
        <x:v>Comunidades / Eu &amp; Eu / Cultura</x:v>
      </x:c>
      <x:c r="D99" s="14" t="str">
        <x:v>Eventos da comunidade</x:v>
      </x:c>
      <x:c r="E99" s="14" t="str">
        <x:v>MVP</x:v>
      </x:c>
      <x:c r="F99" s="14" t="str">
        <x:v>Média</x:v>
      </x:c>
      <x:c r="G99" s="14" t="str"/>
      <x:c r="H99" s="54" t="n">
        <x:v>0</x:v>
      </x:c>
      <x:c r="I99" s="44" t="str">
        <x:v>Não</x:v>
      </x:c>
      <x:c r="J99" s="44" t="str">
        <x:v>Não</x:v>
      </x:c>
      <x:c r="K99" s="44" t="str">
        <x:v>Não</x:v>
      </x:c>
      <x:c r="L99" s="44" t="str">
        <x:v>Sim</x:v>
      </x:c>
      <x:c r="M99" s="55" t="n">
        <x:f>IF(F99="Baixa",'08_Premissas_Custos'!$B$6,IF(F99="Média",'08_Premissas_Custos'!$B$7,IF(F99="Alta",'08_Premissas_Custos'!$B$8,'08_Premissas_Custos'!$B$9)))</x:f>
        <x:v>1</x:v>
      </x:c>
      <x:c r="N99" s="56" t="n">
        <x:f>'08_Premissas_Custos'!$B$13*M99</x:f>
        <x:v>22</x:v>
      </x:c>
      <x:c r="O99" s="56" t="n">
        <x:f>'08_Premissas_Custos'!$B$14*M99*(1+IF(L99="Sim",0.25,0))</x:f>
        <x:v>60</x:v>
      </x:c>
      <x:c r="P99" s="56" t="n">
        <x:f>'08_Premissas_Custos'!$B$15*M99*(1+IF(I99="Sim",0.20,0)+IF(K99="Sim",0.15,0))</x:f>
        <x:v>54</x:v>
      </x:c>
      <x:c r="Q99" s="56" t="n">
        <x:f>'08_Premissas_Custos'!$B$16*M99*IF(J99="Sim",1.6,0.55)</x:f>
        <x:v>9.9</x:v>
      </x:c>
      <x:c r="R99" s="56" t="n">
        <x:f>'08_Premissas_Custos'!$B$17*M99*IF(I99="Sim",1.8,0.15)</x:f>
        <x:v>1.5</x:v>
      </x:c>
      <x:c r="S99" s="56" t="n">
        <x:f>'08_Premissas_Custos'!$B$18*M99*(1+IF(I99="Sim",0.15)+IF(L99="Sim",0.10))</x:f>
        <x:v>22</x:v>
      </x:c>
      <x:c r="T99" s="56" t="n">
        <x:f>'08_Premissas_Custos'!$B$19*M99*(1+IF(J99="Sim",0.15))</x:f>
        <x:v>8</x:v>
      </x:c>
      <x:c r="U99" s="56" t="n">
        <x:f>'08_Premissas_Custos'!$B$20*M99*IF(K99="Sim",1.8,0.7)</x:f>
        <x:v>4.199999999999999</x:v>
      </x:c>
      <x:c r="V99" s="57" t="n">
        <x:f>SUM(N99:U99)</x:f>
        <x:v>181.6</x:v>
      </x:c>
      <x:c r="W99" s="57" t="n">
        <x:f>V99*(1-H99)*IF(E99="Fase 2",'08_Premissas_Custos'!$F$10,1)</x:f>
        <x:v>181.6</x:v>
      </x:c>
      <x:c r="X99" s="58" t="n">
        <x:f>(N99*'08_Premissas_Custos'!$C$13+O99*'08_Premissas_Custos'!$C$14+P99*'08_Premissas_Custos'!$C$15+Q99*'08_Premissas_Custos'!$C$16+R99*'08_Premissas_Custos'!$C$17+S99*'08_Premissas_Custos'!$C$18+T99*'08_Premissas_Custos'!$C$19+U99*'08_Premissas_Custos'!$C$20)*(1-H99)*IF(E99="Fase 2",'08_Premissas_Custos'!$F$10,1)</x:f>
        <x:v>40338</x:v>
      </x:c>
      <x:c r="Y99" s="58" t="n">
        <x:f>X99*'08_Premissas_Custos'!$F$7</x:f>
        <x:v>4840.5599999999995</x:v>
      </x:c>
      <x:c r="Z99" s="58" t="n">
        <x:f>(X99+Y99)*'08_Premissas_Custos'!$F$6</x:f>
        <x:v>6776.784</x:v>
      </x:c>
      <x:c r="AA99" s="58" t="n">
        <x:f>SUM(X99:Z99)</x:f>
        <x:v>51955.344</x:v>
      </x:c>
      <x:c r="AB99" s="14" t="str">
        <x:v>Agenda</x:v>
      </x:c>
    </x:row>
    <x:row r="100">
      <x:c r="A100" s="14" t="n">
        <x:v>95</x:v>
      </x:c>
      <x:c r="B100" s="14" t="str">
        <x:v>COM</x:v>
      </x:c>
      <x:c r="C100" s="14" t="str">
        <x:v>Comunidades / Eu &amp; Eu / Cultura</x:v>
      </x:c>
      <x:c r="D100" s="14" t="str">
        <x:v>Conexões com empresas</x:v>
      </x:c>
      <x:c r="E100" s="14" t="str">
        <x:v>MVP</x:v>
      </x:c>
      <x:c r="F100" s="14" t="str">
        <x:v>Alta</x:v>
      </x:c>
      <x:c r="G100" s="14" t="str"/>
      <x:c r="H100" s="54" t="n">
        <x:v>0</x:v>
      </x:c>
      <x:c r="I100" s="44" t="str">
        <x:v>Não</x:v>
      </x:c>
      <x:c r="J100" s="44" t="str">
        <x:v>Não</x:v>
      </x:c>
      <x:c r="K100" s="44" t="str">
        <x:v>Não</x:v>
      </x:c>
      <x:c r="L100" s="44" t="str">
        <x:v>Sim</x:v>
      </x:c>
      <x:c r="M100" s="55" t="n">
        <x:f>IF(F100="Baixa",'08_Premissas_Custos'!$B$6,IF(F100="Média",'08_Premissas_Custos'!$B$7,IF(F100="Alta",'08_Premissas_Custos'!$B$8,'08_Premissas_Custos'!$B$9)))</x:f>
        <x:v>1.55</x:v>
      </x:c>
      <x:c r="N100" s="56" t="n">
        <x:f>'08_Premissas_Custos'!$B$13*M100</x:f>
        <x:v>34.1</x:v>
      </x:c>
      <x:c r="O100" s="56" t="n">
        <x:f>'08_Premissas_Custos'!$B$14*M100*(1+IF(L100="Sim",0.25,0))</x:f>
        <x:v>93</x:v>
      </x:c>
      <x:c r="P100" s="56" t="n">
        <x:f>'08_Premissas_Custos'!$B$15*M100*(1+IF(I100="Sim",0.20,0)+IF(K100="Sim",0.15,0))</x:f>
        <x:v>83.7</x:v>
      </x:c>
      <x:c r="Q100" s="56" t="n">
        <x:f>'08_Premissas_Custos'!$B$16*M100*IF(J100="Sim",1.6,0.55)</x:f>
        <x:v>15.345000000000002</x:v>
      </x:c>
      <x:c r="R100" s="56" t="n">
        <x:f>'08_Premissas_Custos'!$B$17*M100*IF(I100="Sim",1.8,0.15)</x:f>
        <x:v>2.3249999999999997</x:v>
      </x:c>
      <x:c r="S100" s="56" t="n">
        <x:f>'08_Premissas_Custos'!$B$18*M100*(1+IF(I100="Sim",0.15)+IF(L100="Sim",0.10))</x:f>
        <x:v>34.1</x:v>
      </x:c>
      <x:c r="T100" s="56" t="n">
        <x:f>'08_Premissas_Custos'!$B$19*M100*(1+IF(J100="Sim",0.15))</x:f>
        <x:v>12.4</x:v>
      </x:c>
      <x:c r="U100" s="56" t="n">
        <x:f>'08_Premissas_Custos'!$B$20*M100*IF(K100="Sim",1.8,0.7)</x:f>
        <x:v>6.51</x:v>
      </x:c>
      <x:c r="V100" s="57" t="n">
        <x:f>SUM(N100:U100)</x:f>
        <x:v>281.47999999999996</x:v>
      </x:c>
      <x:c r="W100" s="57" t="n">
        <x:f>V100*(1-H100)*IF(E100="Fase 2",'08_Premissas_Custos'!$F$10,1)</x:f>
        <x:v>281.47999999999996</x:v>
      </x:c>
      <x:c r="X100" s="58" t="n">
        <x:f>(N100*'08_Premissas_Custos'!$C$13+O100*'08_Premissas_Custos'!$C$14+P100*'08_Premissas_Custos'!$C$15+Q100*'08_Premissas_Custos'!$C$16+R100*'08_Premissas_Custos'!$C$17+S100*'08_Premissas_Custos'!$C$18+T100*'08_Premissas_Custos'!$C$19+U100*'08_Premissas_Custos'!$C$20)*(1-H100)*IF(E100="Fase 2",'08_Premissas_Custos'!$F$10,1)</x:f>
        <x:v>62523.899999999994</x:v>
      </x:c>
      <x:c r="Y100" s="58" t="n">
        <x:f>X100*'08_Premissas_Custos'!$F$7</x:f>
        <x:v>7502.867999999999</x:v>
      </x:c>
      <x:c r="Z100" s="58" t="n">
        <x:f>(X100+Y100)*'08_Premissas_Custos'!$F$6</x:f>
        <x:v>10504.0152</x:v>
      </x:c>
      <x:c r="AA100" s="58" t="n">
        <x:f>SUM(X100:Z100)</x:f>
        <x:v>80530.78319999999</x:v>
      </x:c>
      <x:c r="AB100" s="14" t="str">
        <x:v>Oportunidades</x:v>
      </x:c>
    </x:row>
    <x:row r="101">
      <x:c r="A101" s="14" t="n">
        <x:v>96</x:v>
      </x:c>
      <x:c r="B101" s="14" t="str">
        <x:v>COM</x:v>
      </x:c>
      <x:c r="C101" s="14" t="str">
        <x:v>Comunidades / Eu &amp; Eu / Cultura</x:v>
      </x:c>
      <x:c r="D101" s="14" t="str">
        <x:v>Acadêmico</x:v>
      </x:c>
      <x:c r="E101" s="14" t="str">
        <x:v>Fase 2</x:v>
      </x:c>
      <x:c r="F101" s="14" t="str">
        <x:v>Média</x:v>
      </x:c>
      <x:c r="G101" s="14" t="str"/>
      <x:c r="H101" s="54" t="n">
        <x:v>0</x:v>
      </x:c>
      <x:c r="I101" s="44" t="str">
        <x:v>Não</x:v>
      </x:c>
      <x:c r="J101" s="44" t="str">
        <x:v>Não</x:v>
      </x:c>
      <x:c r="K101" s="44" t="str">
        <x:v>Não</x:v>
      </x:c>
      <x:c r="L101" s="44" t="str">
        <x:v>Sim</x:v>
      </x:c>
      <x:c r="M101" s="55" t="n">
        <x:f>IF(F101="Baixa",'08_Premissas_Custos'!$B$6,IF(F101="Média",'08_Premissas_Custos'!$B$7,IF(F101="Alta",'08_Premissas_Custos'!$B$8,'08_Premissas_Custos'!$B$9)))</x:f>
        <x:v>1</x:v>
      </x:c>
      <x:c r="N101" s="56" t="n">
        <x:f>'08_Premissas_Custos'!$B$13*M101</x:f>
        <x:v>22</x:v>
      </x:c>
      <x:c r="O101" s="56" t="n">
        <x:f>'08_Premissas_Custos'!$B$14*M101*(1+IF(L101="Sim",0.25,0))</x:f>
        <x:v>60</x:v>
      </x:c>
      <x:c r="P101" s="56" t="n">
        <x:f>'08_Premissas_Custos'!$B$15*M101*(1+IF(I101="Sim",0.20,0)+IF(K101="Sim",0.15,0))</x:f>
        <x:v>54</x:v>
      </x:c>
      <x:c r="Q101" s="56" t="n">
        <x:f>'08_Premissas_Custos'!$B$16*M101*IF(J101="Sim",1.6,0.55)</x:f>
        <x:v>9.9</x:v>
      </x:c>
      <x:c r="R101" s="56" t="n">
        <x:f>'08_Premissas_Custos'!$B$17*M101*IF(I101="Sim",1.8,0.15)</x:f>
        <x:v>1.5</x:v>
      </x:c>
      <x:c r="S101" s="56" t="n">
        <x:f>'08_Premissas_Custos'!$B$18*M101*(1+IF(I101="Sim",0.15)+IF(L101="Sim",0.10))</x:f>
        <x:v>22</x:v>
      </x:c>
      <x:c r="T101" s="56" t="n">
        <x:f>'08_Premissas_Custos'!$B$19*M101*(1+IF(J101="Sim",0.15))</x:f>
        <x:v>8</x:v>
      </x:c>
      <x:c r="U101" s="56" t="n">
        <x:f>'08_Premissas_Custos'!$B$20*M101*IF(K101="Sim",1.8,0.7)</x:f>
        <x:v>4.199999999999999</x:v>
      </x:c>
      <x:c r="V101" s="57" t="n">
        <x:f>SUM(N101:U101)</x:f>
        <x:v>181.6</x:v>
      </x:c>
      <x:c r="W101" s="57" t="n">
        <x:f>V101*(1-H101)*IF(E101="Fase 2",'08_Premissas_Custos'!$F$10,1)</x:f>
        <x:v>163.44</x:v>
      </x:c>
      <x:c r="X101" s="58" t="n">
        <x:f>(N101*'08_Premissas_Custos'!$C$13+O101*'08_Premissas_Custos'!$C$14+P101*'08_Premissas_Custos'!$C$15+Q101*'08_Premissas_Custos'!$C$16+R101*'08_Premissas_Custos'!$C$17+S101*'08_Premissas_Custos'!$C$18+T101*'08_Premissas_Custos'!$C$19+U101*'08_Premissas_Custos'!$C$20)*(1-H101)*IF(E101="Fase 2",'08_Premissas_Custos'!$F$10,1)</x:f>
        <x:v>36304.200000000004</x:v>
      </x:c>
      <x:c r="Y101" s="58" t="n">
        <x:f>X101*'08_Premissas_Custos'!$F$7</x:f>
        <x:v>4356.504000000001</x:v>
      </x:c>
      <x:c r="Z101" s="58" t="n">
        <x:f>(X101+Y101)*'08_Premissas_Custos'!$F$6</x:f>
        <x:v>6099.105600000001</x:v>
      </x:c>
      <x:c r="AA101" s="58" t="n">
        <x:f>SUM(X101:Z101)</x:f>
        <x:v>46759.80960000001</x:v>
      </x:c>
      <x:c r="AB101" s="14" t="str">
        <x:v>Formação</x:v>
      </x:c>
    </x:row>
  </x:sheetData>
  <x:mergeCells>
    <x:mergeCell ref="A1:AB2"/>
    <x:mergeCell ref="A3:AB3"/>
  </x:mergeCells>
  <x:dataValidations count="4">
    <x:dataValidation type="list" sqref="I6:I101">
      <x:formula1>"Sim,Não"</x:formula1>
    </x:dataValidation>
    <x:dataValidation type="list" sqref="J6:J101">
      <x:formula1>"Sim,Não"</x:formula1>
    </x:dataValidation>
    <x:dataValidation type="list" sqref="K6:K101">
      <x:formula1>"Sim,Não"</x:formula1>
    </x:dataValidation>
    <x:dataValidation type="list" sqref="L6:L101">
      <x:formula1>"Sim,Não"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5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  <x:col min="12" max="12" width="13" hidden="0" customWidth="1"/>
    <x:col min="13" max="13" width="12" hidden="0" customWidth="1"/>
    <x:col min="14" max="14" width="55" hidden="0" customWidth="1"/>
  </x:cols>
  <x:sheetData>
    <x:row r="1">
      <x:c r="A1" s="28" t="str">
        <x:v>CAPEX E CUSTO INCREMENTAL POR MÓDULO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</x:row>
    <x:row r="3">
      <x:c r="A3" s="30" t="str">
        <x:v>O custo incremental exclui o Core compartilhado. Isso permite precificar cada vertical sem cobrar novamente a infraestrutura-base já construída.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  <x:c r="N3" s="30"/>
    </x:row>
    <x:row r="5">
      <x:c r="A5" s="33" t="str">
        <x:v>Código</x:v>
      </x:c>
      <x:c r="B5" s="33" t="str">
        <x:v>Módulo</x:v>
      </x:c>
      <x:c r="C5" s="33" t="str">
        <x:v>Telas</x:v>
      </x:c>
      <x:c r="D5" s="33" t="str">
        <x:v>MVP</x:v>
      </x:c>
      <x:c r="E5" s="33" t="str">
        <x:v>Fase 2</x:v>
      </x:c>
      <x:c r="F5" s="33" t="str">
        <x:v>Horas líquidas</x:v>
      </x:c>
      <x:c r="G5" s="33" t="str">
        <x:v>CAPEX total</x:v>
      </x:c>
      <x:c r="H5" s="33" t="str">
        <x:v>CAPEX MVP</x:v>
      </x:c>
      <x:c r="I5" s="33" t="str">
        <x:v>CAPEX Fase 2</x:v>
      </x:c>
      <x:c r="J5" s="33" t="str">
        <x:v>Core alocado</x:v>
      </x:c>
      <x:c r="K5" s="33" t="str">
        <x:v>Custo incremental</x:v>
      </x:c>
      <x:c r="L5" s="33" t="str">
        <x:v>% do CAPEX</x:v>
      </x:c>
      <x:c r="M5" s="33" t="str">
        <x:v>Complexas</x:v>
      </x:c>
      <x:c r="N5" s="33" t="str">
        <x:v>Leitura comercial</x:v>
      </x:c>
    </x:row>
    <x:row r="6">
      <x:c r="A6" s="63" t="str">
        <x:v>CORE</x:v>
      </x:c>
      <x:c r="B6" s="63" t="str">
        <x:v>Core / Plataforma</x:v>
      </x:c>
      <x:c r="C6" s="64" t="n">
        <x:f>COUNTIF('09_Estimativa_96_Telas'!$B$6:$B$101,A6)</x:f>
        <x:v>12</x:v>
      </x:c>
      <x:c r="D6" s="64" t="n">
        <x:f>COUNTIFS('09_Estimativa_96_Telas'!$B$6:$B$101,A6,'09_Estimativa_96_Telas'!$E$6:$E$101,"MVP")</x:f>
        <x:v>10</x:v>
      </x:c>
      <x:c r="E6" s="64" t="n">
        <x:f>COUNTIFS('09_Estimativa_96_Telas'!$B$6:$B$101,A6,'09_Estimativa_96_Telas'!$E$6:$E$101,"Fase 2")</x:f>
        <x:v>2</x:v>
      </x:c>
      <x:c r="F6" s="57" t="n">
        <x:f>SUMIF('09_Estimativa_96_Telas'!$B$6:$B$101,A6,'09_Estimativa_96_Telas'!$W$6:$W$101)</x:f>
        <x:v>549.3056999999999</x:v>
      </x:c>
      <x:c r="G6" s="58" t="n">
        <x:f>SUMIF('09_Estimativa_96_Telas'!$B$6:$B$101,A6,'09_Estimativa_96_Telas'!$AA$6:$AA$101)</x:f>
        <x:v>160722.26340799994</x:v>
      </x:c>
      <x:c r="H6" s="58" t="n">
        <x:f>SUMIFS('09_Estimativa_96_Telas'!$AA$6:$AA$101,'09_Estimativa_96_Telas'!$B$6:$B$101,A6,'09_Estimativa_96_Telas'!$E$6:$E$101,"MVP")</x:f>
        <x:v>135167.76895999996</x:v>
      </x:c>
      <x:c r="I6" s="58" t="n">
        <x:f>SUMIFS('09_Estimativa_96_Telas'!$AA$6:$AA$101,'09_Estimativa_96_Telas'!$B$6:$B$101,A6,'09_Estimativa_96_Telas'!$E$6:$E$101,"Fase 2")</x:f>
        <x:v>25554.49444799999</x:v>
      </x:c>
      <x:c r="J6" s="58" t="n">
        <x:f>IF(A6="CORE",G6,$G$6/7)</x:f>
        <x:v>160722.26340799994</x:v>
      </x:c>
      <x:c r="K6" s="58" t="n">
        <x:f>IF(A6="CORE",G6,G6)</x:f>
        <x:v>160722.26340799994</x:v>
      </x:c>
      <x:c r="L6" s="65" t="n">
        <x:f>G6/SUM($G$6:$G$13)</x:f>
        <x:v>0.02866116918753688</x:v>
      </x:c>
      <x:c r="M6" s="64" t="n">
        <x:f>COUNTIFS('02_Inventario_Paginas'!$B$6:$B$101,A6,'02_Inventario_Paginas'!$G$6:$G$101,"Alta")+COUNTIFS('02_Inventario_Paginas'!$B$6:$B$101,A6,'02_Inventario_Paginas'!$G$6:$G$101,"Muito alta")</x:f>
        <x:v>6</x:v>
      </x:c>
      <x:c r="N6" s="14" t="str">
        <x:v>Base compartilhada</x:v>
      </x:c>
    </x:row>
    <x:row r="7">
      <x:c r="A7" s="63" t="str">
        <x:v>ED</x:v>
      </x:c>
      <x:c r="B7" s="63" t="str">
        <x:v>Estratégia &amp; Dados</x:v>
      </x:c>
      <x:c r="C7" s="64" t="n">
        <x:f>COUNTIF('09_Estimativa_96_Telas'!$B$6:$B$101,A7)</x:f>
        <x:v>11</x:v>
      </x:c>
      <x:c r="D7" s="64" t="n">
        <x:f>COUNTIFS('09_Estimativa_96_Telas'!$B$6:$B$101,A7,'09_Estimativa_96_Telas'!$E$6:$E$101,"MVP")</x:f>
        <x:v>9</x:v>
      </x:c>
      <x:c r="E7" s="64" t="n">
        <x:f>COUNTIFS('09_Estimativa_96_Telas'!$B$6:$B$101,A7,'09_Estimativa_96_Telas'!$E$6:$E$101,"Fase 2")</x:f>
        <x:v>2</x:v>
      </x:c>
      <x:c r="F7" s="57" t="n">
        <x:f>SUMIF('09_Estimativa_96_Telas'!$B$6:$B$101,A7,'09_Estimativa_96_Telas'!$W$6:$W$101)</x:f>
        <x:v>3294.091499999999</x:v>
      </x:c>
      <x:c r="G7" s="58" t="n">
        <x:f>SUMIF('09_Estimativa_96_Telas'!$B$6:$B$101,A7,'09_Estimativa_96_Telas'!$AA$6:$AA$101)</x:f>
        <x:v>970690.5868799998</x:v>
      </x:c>
      <x:c r="H7" s="58" t="n">
        <x:f>SUMIFS('09_Estimativa_96_Telas'!$AA$6:$AA$101,'09_Estimativa_96_Telas'!$B$6:$B$101,A7,'09_Estimativa_96_Telas'!$E$6:$E$101,"MVP")</x:f>
        <x:v>764201.8271999999</x:v>
      </x:c>
      <x:c r="I7" s="58" t="n">
        <x:f>SUMIFS('09_Estimativa_96_Telas'!$AA$6:$AA$101,'09_Estimativa_96_Telas'!$B$6:$B$101,A7,'09_Estimativa_96_Telas'!$E$6:$E$101,"Fase 2")</x:f>
        <x:v>206488.75968</x:v>
      </x:c>
      <x:c r="J7" s="58" t="n">
        <x:f>IF(A7="CORE",G7,$G$6/7)</x:f>
        <x:v>22960.323343999993</x:v>
      </x:c>
      <x:c r="K7" s="58" t="n">
        <x:f>IF(A7="CORE",G7,G7)</x:f>
        <x:v>970690.5868799998</x:v>
      </x:c>
      <x:c r="L7" s="65" t="n">
        <x:f>G7/SUM($G$6:$G$13)</x:f>
        <x:v>0.17310064299363487</x:v>
      </x:c>
      <x:c r="M7" s="64" t="n">
        <x:f>COUNTIFS('02_Inventario_Paginas'!$B$6:$B$101,A7,'02_Inventario_Paginas'!$G$6:$G$101,"Alta")+COUNTIFS('02_Inventario_Paginas'!$B$6:$B$101,A7,'02_Inventario_Paginas'!$G$6:$G$101,"Muito alta")</x:f>
        <x:v>9</x:v>
      </x:c>
      <x:c r="N7" s="14" t="str">
        <x:v>Preço do módulo = incremental + parcela de Core + implantação/integrações específicas do cliente</x:v>
      </x:c>
    </x:row>
    <x:row r="8">
      <x:c r="A8" s="63" t="str">
        <x:v>COL</x:v>
      </x:c>
      <x:c r="B8" s="63" t="str">
        <x:v>Colaboradores / Meu Time</x:v>
      </x:c>
      <x:c r="C8" s="64" t="n">
        <x:f>COUNTIF('09_Estimativa_96_Telas'!$B$6:$B$101,A8)</x:f>
        <x:v>11</x:v>
      </x:c>
      <x:c r="D8" s="64" t="n">
        <x:f>COUNTIFS('09_Estimativa_96_Telas'!$B$6:$B$101,A8,'09_Estimativa_96_Telas'!$E$6:$E$101,"MVP")</x:f>
        <x:v>7</x:v>
      </x:c>
      <x:c r="E8" s="64" t="n">
        <x:f>COUNTIFS('09_Estimativa_96_Telas'!$B$6:$B$101,A8,'09_Estimativa_96_Telas'!$E$6:$E$101,"Fase 2")</x:f>
        <x:v>4</x:v>
      </x:c>
      <x:c r="F8" s="57" t="n">
        <x:f>SUMIF('09_Estimativa_96_Telas'!$B$6:$B$101,A8,'09_Estimativa_96_Telas'!$W$6:$W$101)</x:f>
        <x:v>2021.1589999999997</x:v>
      </x:c>
      <x:c r="G8" s="58" t="n">
        <x:f>SUMIF('09_Estimativa_96_Telas'!$B$6:$B$101,A8,'09_Estimativa_96_Telas'!$AA$6:$AA$101)</x:f>
        <x:v>581572.08256</x:v>
      </x:c>
      <x:c r="H8" s="58" t="n">
        <x:f>SUMIFS('09_Estimativa_96_Telas'!$AA$6:$AA$101,'09_Estimativa_96_Telas'!$B$6:$B$101,A8,'09_Estimativa_96_Telas'!$E$6:$E$101,"MVP")</x:f>
        <x:v>360714.57519999996</x:v>
      </x:c>
      <x:c r="I8" s="58" t="n">
        <x:f>SUMIFS('09_Estimativa_96_Telas'!$AA$6:$AA$101,'09_Estimativa_96_Telas'!$B$6:$B$101,A8,'09_Estimativa_96_Telas'!$E$6:$E$101,"Fase 2")</x:f>
        <x:v>220857.50736</x:v>
      </x:c>
      <x:c r="J8" s="58" t="n">
        <x:f>IF(A8="CORE",G8,$G$6/7)</x:f>
        <x:v>22960.323343999993</x:v>
      </x:c>
      <x:c r="K8" s="58" t="n">
        <x:f>IF(A8="CORE",G8,G8)</x:f>
        <x:v>581572.08256</x:v>
      </x:c>
      <x:c r="L8" s="65" t="n">
        <x:f>G8/SUM($G$6:$G$13)</x:f>
        <x:v>0.10371018612826884</x:v>
      </x:c>
      <x:c r="M8" s="64" t="n">
        <x:f>COUNTIFS('02_Inventario_Paginas'!$B$6:$B$101,A8,'02_Inventario_Paginas'!$G$6:$G$101,"Alta")+COUNTIFS('02_Inventario_Paginas'!$B$6:$B$101,A8,'02_Inventario_Paginas'!$G$6:$G$101,"Muito alta")</x:f>
        <x:v>4</x:v>
      </x:c>
      <x:c r="N8" s="14" t="str">
        <x:v>Preço do módulo = incremental + parcela de Core + implantação/integrações específicas do cliente</x:v>
      </x:c>
    </x:row>
    <x:row r="9">
      <x:c r="A9" s="63" t="str">
        <x:v>CAN</x:v>
      </x:c>
      <x:c r="B9" s="63" t="str">
        <x:v>Candidatos &amp; Carreira</x:v>
      </x:c>
      <x:c r="C9" s="64" t="n">
        <x:f>COUNTIF('09_Estimativa_96_Telas'!$B$6:$B$101,A9)</x:f>
        <x:v>13</x:v>
      </x:c>
      <x:c r="D9" s="64" t="n">
        <x:f>COUNTIFS('09_Estimativa_96_Telas'!$B$6:$B$101,A9,'09_Estimativa_96_Telas'!$E$6:$E$101,"MVP")</x:f>
        <x:v>9</x:v>
      </x:c>
      <x:c r="E9" s="64" t="n">
        <x:f>COUNTIFS('09_Estimativa_96_Telas'!$B$6:$B$101,A9,'09_Estimativa_96_Telas'!$E$6:$E$101,"Fase 2")</x:f>
        <x:v>4</x:v>
      </x:c>
      <x:c r="F9" s="57" t="n">
        <x:f>SUMIF('09_Estimativa_96_Telas'!$B$6:$B$101,A9,'09_Estimativa_96_Telas'!$W$6:$W$101)</x:f>
        <x:v>2982.2475</x:v>
      </x:c>
      <x:c r="G9" s="58" t="n">
        <x:f>SUMIF('09_Estimativa_96_Telas'!$B$6:$B$101,A9,'09_Estimativa_96_Telas'!$AA$6:$AA$101)</x:f>
        <x:v>869328.5160000001</x:v>
      </x:c>
      <x:c r="H9" s="58" t="n">
        <x:f>SUMIFS('09_Estimativa_96_Telas'!$AA$6:$AA$101,'09_Estimativa_96_Telas'!$B$6:$B$101,A9,'09_Estimativa_96_Telas'!$E$6:$E$101,"MVP")</x:f>
        <x:v>571622.772</x:v>
      </x:c>
      <x:c r="I9" s="58" t="n">
        <x:f>SUMIFS('09_Estimativa_96_Telas'!$AA$6:$AA$101,'09_Estimativa_96_Telas'!$B$6:$B$101,A9,'09_Estimativa_96_Telas'!$E$6:$E$101,"Fase 2")</x:f>
        <x:v>297705.74400000006</x:v>
      </x:c>
      <x:c r="J9" s="58" t="n">
        <x:f>IF(A9="CORE",G9,$G$6/7)</x:f>
        <x:v>22960.323343999993</x:v>
      </x:c>
      <x:c r="K9" s="58" t="n">
        <x:f>IF(A9="CORE",G9,G9)</x:f>
        <x:v>869328.5160000001</x:v>
      </x:c>
      <x:c r="L9" s="65" t="n">
        <x:f>G9/SUM($G$6:$G$13)</x:f>
        <x:v>0.15502501737034505</x:v>
      </x:c>
      <x:c r="M9" s="64" t="n">
        <x:f>COUNTIFS('02_Inventario_Paginas'!$B$6:$B$101,A9,'02_Inventario_Paginas'!$G$6:$G$101,"Alta")+COUNTIFS('02_Inventario_Paginas'!$B$6:$B$101,A9,'02_Inventario_Paginas'!$G$6:$G$101,"Muito alta")</x:f>
        <x:v>5</x:v>
      </x:c>
      <x:c r="N9" s="14" t="str">
        <x:v>Preço do módulo = incremental + parcela de Core + implantação/integrações específicas do cliente</x:v>
      </x:c>
    </x:row>
    <x:row r="10">
      <x:c r="A10" s="63" t="str">
        <x:v>FOR</x:v>
      </x:c>
      <x:c r="B10" s="63" t="str">
        <x:v>Fornecedores &amp; Negócios</x:v>
      </x:c>
      <x:c r="C10" s="64" t="n">
        <x:f>COUNTIF('09_Estimativa_96_Telas'!$B$6:$B$101,A10)</x:f>
        <x:v>14</x:v>
      </x:c>
      <x:c r="D10" s="64" t="n">
        <x:f>COUNTIFS('09_Estimativa_96_Telas'!$B$6:$B$101,A10,'09_Estimativa_96_Telas'!$E$6:$E$101,"MVP")</x:f>
        <x:v>10</x:v>
      </x:c>
      <x:c r="E10" s="64" t="n">
        <x:f>COUNTIFS('09_Estimativa_96_Telas'!$B$6:$B$101,A10,'09_Estimativa_96_Telas'!$E$6:$E$101,"Fase 2")</x:f>
        <x:v>4</x:v>
      </x:c>
      <x:c r="F10" s="57" t="n">
        <x:f>SUMIF('09_Estimativa_96_Telas'!$B$6:$B$101,A10,'09_Estimativa_96_Telas'!$W$6:$W$101)</x:f>
        <x:v>2928.964250000001</x:v>
      </x:c>
      <x:c r="G10" s="58" t="n">
        <x:f>SUMIF('09_Estimativa_96_Telas'!$B$6:$B$101,A10,'09_Estimativa_96_Telas'!$AA$6:$AA$101)</x:f>
        <x:v>847878.9174800001</x:v>
      </x:c>
      <x:c r="H10" s="58" t="n">
        <x:f>SUMIFS('09_Estimativa_96_Telas'!$AA$6:$AA$101,'09_Estimativa_96_Telas'!$B$6:$B$101,A10,'09_Estimativa_96_Telas'!$E$6:$E$101,"MVP")</x:f>
        <x:v>603203.4436400001</x:v>
      </x:c>
      <x:c r="I10" s="58" t="n">
        <x:f>SUMIFS('09_Estimativa_96_Telas'!$AA$6:$AA$101,'09_Estimativa_96_Telas'!$B$6:$B$101,A10,'09_Estimativa_96_Telas'!$E$6:$E$101,"Fase 2")</x:f>
        <x:v>244675.47384</x:v>
      </x:c>
      <x:c r="J10" s="58" t="n">
        <x:f>IF(A10="CORE",G10,$G$6/7)</x:f>
        <x:v>22960.323343999993</x:v>
      </x:c>
      <x:c r="K10" s="58" t="n">
        <x:f>IF(A10="CORE",G10,G10)</x:f>
        <x:v>847878.9174800001</x:v>
      </x:c>
      <x:c r="L10" s="65" t="n">
        <x:f>G10/SUM($G$6:$G$13)</x:f>
        <x:v>0.151199968126073</x:v>
      </x:c>
      <x:c r="M10" s="64" t="n">
        <x:f>COUNTIFS('02_Inventario_Paginas'!$B$6:$B$101,A10,'02_Inventario_Paginas'!$G$6:$G$101,"Alta")+COUNTIFS('02_Inventario_Paginas'!$B$6:$B$101,A10,'02_Inventario_Paginas'!$G$6:$G$101,"Muito alta")</x:f>
        <x:v>9</x:v>
      </x:c>
      <x:c r="N10" s="14" t="str">
        <x:v>Preço do módulo = incremental + parcela de Core + implantação/integrações específicas do cliente</x:v>
      </x:c>
    </x:row>
    <x:row r="11">
      <x:c r="A11" s="63" t="str">
        <x:v>ACA</x:v>
      </x:c>
      <x:c r="B11" s="63" t="str">
        <x:v>Acadêmico / Universidades</x:v>
      </x:c>
      <x:c r="C11" s="64" t="n">
        <x:f>COUNTIF('09_Estimativa_96_Telas'!$B$6:$B$101,A11)</x:f>
        <x:v>12</x:v>
      </x:c>
      <x:c r="D11" s="64" t="n">
        <x:f>COUNTIFS('09_Estimativa_96_Telas'!$B$6:$B$101,A11,'09_Estimativa_96_Telas'!$E$6:$E$101,"MVP")</x:f>
        <x:v>8</x:v>
      </x:c>
      <x:c r="E11" s="64" t="n">
        <x:f>COUNTIFS('09_Estimativa_96_Telas'!$B$6:$B$101,A11,'09_Estimativa_96_Telas'!$E$6:$E$101,"Fase 2")</x:f>
        <x:v>4</x:v>
      </x:c>
      <x:c r="F11" s="57" t="n">
        <x:f>SUMIF('09_Estimativa_96_Telas'!$B$6:$B$101,A11,'09_Estimativa_96_Telas'!$W$6:$W$101)</x:f>
        <x:v>2546.4927500000003</x:v>
      </x:c>
      <x:c r="G11" s="58" t="n">
        <x:f>SUMIF('09_Estimativa_96_Telas'!$B$6:$B$101,A11,'09_Estimativa_96_Telas'!$AA$6:$AA$101)</x:f>
        <x:v>740959.2618400002</x:v>
      </x:c>
      <x:c r="H11" s="58" t="n">
        <x:f>SUMIFS('09_Estimativa_96_Telas'!$AA$6:$AA$101,'09_Estimativa_96_Telas'!$B$6:$B$101,A11,'09_Estimativa_96_Telas'!$E$6:$E$101,"MVP")</x:f>
        <x:v>469950.70528</x:v>
      </x:c>
      <x:c r="I11" s="58" t="n">
        <x:f>SUMIFS('09_Estimativa_96_Telas'!$AA$6:$AA$101,'09_Estimativa_96_Telas'!$B$6:$B$101,A11,'09_Estimativa_96_Telas'!$E$6:$E$101,"Fase 2")</x:f>
        <x:v>271008.55656</x:v>
      </x:c>
      <x:c r="J11" s="58" t="n">
        <x:f>IF(A11="CORE",G11,$G$6/7)</x:f>
        <x:v>22960.323343999993</x:v>
      </x:c>
      <x:c r="K11" s="58" t="n">
        <x:f>IF(A11="CORE",G11,G11)</x:f>
        <x:v>740959.2618400002</x:v>
      </x:c>
      <x:c r="L11" s="65" t="n">
        <x:f>G11/SUM($G$6:$G$13)</x:f>
        <x:v>0.13213327335216973</x:v>
      </x:c>
      <x:c r="M11" s="64" t="n">
        <x:f>COUNTIFS('02_Inventario_Paginas'!$B$6:$B$101,A11,'02_Inventario_Paginas'!$G$6:$G$101,"Alta")+COUNTIFS('02_Inventario_Paginas'!$B$6:$B$101,A11,'02_Inventario_Paginas'!$G$6:$G$101,"Muito alta")</x:f>
        <x:v>6</x:v>
      </x:c>
      <x:c r="N11" s="14" t="str">
        <x:v>Preço do módulo = incremental + parcela de Core + implantação/integrações específicas do cliente</x:v>
      </x:c>
    </x:row>
    <x:row r="12">
      <x:c r="A12" s="63" t="str">
        <x:v>EVT</x:v>
      </x:c>
      <x:c r="B12" s="63" t="str">
        <x:v>Eventos</x:v>
      </x:c>
      <x:c r="C12" s="64" t="n">
        <x:f>COUNTIF('09_Estimativa_96_Telas'!$B$6:$B$101,A12)</x:f>
        <x:v>14</x:v>
      </x:c>
      <x:c r="D12" s="64" t="n">
        <x:f>COUNTIFS('09_Estimativa_96_Telas'!$B$6:$B$101,A12,'09_Estimativa_96_Telas'!$E$6:$E$101,"MVP")</x:f>
        <x:v>10</x:v>
      </x:c>
      <x:c r="E12" s="64" t="n">
        <x:f>COUNTIFS('09_Estimativa_96_Telas'!$B$6:$B$101,A12,'09_Estimativa_96_Telas'!$E$6:$E$101,"Fase 2")</x:f>
        <x:v>4</x:v>
      </x:c>
      <x:c r="F12" s="57" t="n">
        <x:f>SUMIF('09_Estimativa_96_Telas'!$B$6:$B$101,A12,'09_Estimativa_96_Telas'!$W$6:$W$101)</x:f>
        <x:v>3251.841824999999</x:v>
      </x:c>
      <x:c r="G12" s="58" t="n">
        <x:f>SUMIF('09_Estimativa_96_Telas'!$B$6:$B$101,A12,'09_Estimativa_96_Telas'!$AA$6:$AA$101)</x:f>
        <x:v>939004.027472</x:v>
      </x:c>
      <x:c r="H12" s="58" t="n">
        <x:f>SUMIFS('09_Estimativa_96_Telas'!$AA$6:$AA$101,'09_Estimativa_96_Telas'!$B$6:$B$101,A12,'09_Estimativa_96_Telas'!$E$6:$E$101,"MVP")</x:f>
        <x:v>714015.2936</x:v>
      </x:c>
      <x:c r="I12" s="58" t="n">
        <x:f>SUMIFS('09_Estimativa_96_Telas'!$AA$6:$AA$101,'09_Estimativa_96_Telas'!$B$6:$B$101,A12,'09_Estimativa_96_Telas'!$E$6:$E$101,"Fase 2")</x:f>
        <x:v>224988.733872</x:v>
      </x:c>
      <x:c r="J12" s="58" t="n">
        <x:f>IF(A12="CORE",G12,$G$6/7)</x:f>
        <x:v>22960.323343999993</x:v>
      </x:c>
      <x:c r="K12" s="58" t="n">
        <x:f>IF(A12="CORE",G12,G12)</x:f>
        <x:v>939004.027472</x:v>
      </x:c>
      <x:c r="L12" s="65" t="n">
        <x:f>G12/SUM($G$6:$G$13)</x:f>
        <x:v>0.16745006403272147</x:v>
      </x:c>
      <x:c r="M12" s="64" t="n">
        <x:f>COUNTIFS('02_Inventario_Paginas'!$B$6:$B$101,A12,'02_Inventario_Paginas'!$G$6:$G$101,"Alta")+COUNTIFS('02_Inventario_Paginas'!$B$6:$B$101,A12,'02_Inventario_Paginas'!$G$6:$G$101,"Muito alta")</x:f>
        <x:v>10</x:v>
      </x:c>
      <x:c r="N12" s="14" t="str">
        <x:v>Preço do módulo = incremental + parcela de Core + implantação/integrações específicas do cliente</x:v>
      </x:c>
    </x:row>
    <x:row r="13">
      <x:c r="A13" s="63" t="str">
        <x:v>COM</x:v>
      </x:c>
      <x:c r="B13" s="63" t="str">
        <x:v>Comunidades</x:v>
      </x:c>
      <x:c r="C13" s="64" t="n">
        <x:f>COUNTIF('09_Estimativa_96_Telas'!$B$6:$B$101,A13)</x:f>
        <x:v>9</x:v>
      </x:c>
      <x:c r="D13" s="64" t="n">
        <x:f>COUNTIFS('09_Estimativa_96_Telas'!$B$6:$B$101,A13,'09_Estimativa_96_Telas'!$E$6:$E$101,"MVP")</x:f>
        <x:v>6</x:v>
      </x:c>
      <x:c r="E13" s="64" t="n">
        <x:f>COUNTIFS('09_Estimativa_96_Telas'!$B$6:$B$101,A13,'09_Estimativa_96_Telas'!$E$6:$E$101,"Fase 2")</x:f>
        <x:v>3</x:v>
      </x:c>
      <x:c r="F13" s="57" t="n">
        <x:f>SUMIF('09_Estimativa_96_Telas'!$B$6:$B$101,A13,'09_Estimativa_96_Telas'!$W$6:$W$101)</x:f>
        <x:v>1734.1715</x:v>
      </x:c>
      <x:c r="G13" s="58" t="n">
        <x:f>SUMIF('09_Estimativa_96_Telas'!$B$6:$B$101,A13,'09_Estimativa_96_Telas'!$AA$6:$AA$101)</x:f>
        <x:v>497510.32464</x:v>
      </x:c>
      <x:c r="H13" s="58" t="n">
        <x:f>SUMIFS('09_Estimativa_96_Telas'!$AA$6:$AA$101,'09_Estimativa_96_Telas'!$B$6:$B$101,A13,'09_Estimativa_96_Telas'!$E$6:$E$101,"MVP")</x:f>
        <x:v>322123.13279999996</x:v>
      </x:c>
      <x:c r="I13" s="58" t="n">
        <x:f>SUMIFS('09_Estimativa_96_Telas'!$AA$6:$AA$101,'09_Estimativa_96_Telas'!$B$6:$B$101,A13,'09_Estimativa_96_Telas'!$E$6:$E$101,"Fase 2")</x:f>
        <x:v>175387.19184</x:v>
      </x:c>
      <x:c r="J13" s="58" t="n">
        <x:f>IF(A13="CORE",G13,$G$6/7)</x:f>
        <x:v>22960.323343999993</x:v>
      </x:c>
      <x:c r="K13" s="58" t="n">
        <x:f>IF(A13="CORE",G13,G13)</x:f>
        <x:v>497510.32464</x:v>
      </x:c>
      <x:c r="L13" s="65" t="n">
        <x:f>G13/SUM($G$6:$G$13)</x:f>
        <x:v>0.08871967880925005</x:v>
      </x:c>
      <x:c r="M13" s="64" t="n">
        <x:f>COUNTIFS('02_Inventario_Paginas'!$B$6:$B$101,A13,'02_Inventario_Paginas'!$G$6:$G$101,"Alta")+COUNTIFS('02_Inventario_Paginas'!$B$6:$B$101,A13,'02_Inventario_Paginas'!$G$6:$G$101,"Muito alta")</x:f>
        <x:v>2</x:v>
      </x:c>
      <x:c r="N13" s="14" t="str">
        <x:v>Preço do módulo = incremental + parcela de Core + implantação/integrações específicas do cliente</x:v>
      </x:c>
    </x:row>
    <x:row r="15">
      <x:c r="A15" s="67" t="str">
        <x:v>CAPEX TOTAL DA PLATAFORMA (sem duplicação de telas compartilhadas)</x:v>
      </x:c>
      <x:c r="B15" s="67"/>
      <x:c r="C15" s="67"/>
      <x:c r="D15" s="67"/>
      <x:c r="E15" s="67"/>
      <x:c r="F15" s="67"/>
      <x:c r="G15" s="68" t="n">
        <x:f>SUM(G6:G13)</x:f>
        <x:v>5607665.980280001</x:v>
      </x:c>
      <x:c r="H15" s="67"/>
      <x:c r="I15" s="67"/>
      <x:c r="J15" s="67"/>
      <x:c r="K15" s="67"/>
      <x:c r="L15" s="67"/>
      <x:c r="M15" s="67"/>
      <x:c r="N15" s="67"/>
    </x:row>
  </x:sheetData>
  <x:mergeCells>
    <x:mergeCell ref="A1:N2"/>
    <x:mergeCell ref="A3:N3"/>
    <x:mergeCell ref="A15:F15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2" hidden="0" customWidth="1"/>
    <x:col min="4" max="4" width="12" hidden="0" customWidth="1"/>
    <x:col min="5" max="5" width="18" hidden="0" customWidth="1"/>
    <x:col min="6" max="6" width="18" hidden="0" customWidth="1"/>
    <x:col min="7" max="7" width="45" hidden="0" customWidth="1"/>
    <x:col min="8" max="8" width="14" hidden="0" customWidth="1"/>
    <x:col min="10" max="10" width="10" hidden="0" customWidth="1"/>
    <x:col min="11" max="11" width="30" hidden="0" customWidth="1"/>
    <x:col min="12" max="12" width="18" hidden="0" customWidth="1"/>
    <x:col min="13" max="13" width="22" hidden="0" customWidth="1"/>
    <x:col min="14" max="14" width="20" hidden="0" customWidth="1"/>
    <x:col min="15" max="15" width="24" hidden="0" customWidth="1"/>
  </x:cols>
  <x:sheetData>
    <x:row r="1">
      <x:c r="A1" s="28" t="str">
        <x:v>OPEX MENSAL — PLATAFORMA E MÓDULOS</x:v>
      </x:c>
      <x:c r="B1" s="28"/>
      <x:c r="C1" s="28"/>
      <x:c r="D1" s="28"/>
      <x:c r="E1" s="28"/>
      <x:c r="F1" s="28"/>
      <x:c r="G1" s="28"/>
      <x:c r="H1" s="28"/>
    </x:row>
    <x:row r="2">
      <x:c r="A2" s="28"/>
      <x:c r="B2" s="28"/>
      <x:c r="C2" s="28"/>
      <x:c r="D2" s="28"/>
      <x:c r="E2" s="28"/>
      <x:c r="F2" s="28"/>
      <x:c r="G2" s="28"/>
      <x:c r="H2" s="28"/>
    </x:row>
    <x:row r="5">
      <x:c r="A5" s="33" t="str">
        <x:v>Componente</x:v>
      </x:c>
      <x:c r="B5" s="33" t="str">
        <x:v>Base mensal R$</x:v>
      </x:c>
      <x:c r="C5" s="33" t="str">
        <x:v>Core %</x:v>
      </x:c>
      <x:c r="D5" s="33" t="str">
        <x:v>Vertical %</x:v>
      </x:c>
      <x:c r="E5" s="33" t="str">
        <x:v>Core mensal</x:v>
      </x:c>
      <x:c r="F5" s="33" t="str">
        <x:v>Pool verticais</x:v>
      </x:c>
      <x:c r="G5" s="33" t="str">
        <x:v>Observação</x:v>
      </x:c>
      <x:c r="H5" s="33" t="str">
        <x:v>Premissa</x:v>
      </x:c>
      <x:c r="J5" s="33" t="str">
        <x:v>Código</x:v>
      </x:c>
      <x:c r="K5" s="33" t="str">
        <x:v>Módulo</x:v>
      </x:c>
      <x:c r="L5" s="33" t="str">
        <x:v>Peso de complexidade</x:v>
      </x:c>
      <x:c r="M5" s="33" t="str">
        <x:v>OPEX incremental/mês</x:v>
      </x:c>
      <x:c r="N5" s="33" t="str">
        <x:v>Core rateado/mês</x:v>
      </x:c>
      <x:c r="O5" s="33" t="str">
        <x:v>OPEX fully-loaded/mês</x:v>
      </x:c>
    </x:row>
    <x:row r="6">
      <x:c r="A6" t="str">
        <x:f>'08_Premissas_Custos'!A24</x:f>
        <x:v>Cloud / infraestrutura</x:v>
      </x:c>
      <x:c r="B6" s="70" t="n">
        <x:f>'08_Premissas_Custos'!B24</x:f>
        <x:v>18000</x:v>
      </x:c>
      <x:c r="C6" s="71" t="n">
        <x:v>0.75</x:v>
      </x:c>
      <x:c r="D6" s="72" t="n">
        <x:f>1-C6</x:f>
        <x:v>0.25</x:v>
      </x:c>
      <x:c r="E6" s="53" t="n">
        <x:f>B6*C6</x:f>
        <x:v>13500</x:v>
      </x:c>
      <x:c r="F6" s="53" t="n">
        <x:f>B6*D6</x:f>
        <x:v>4500</x:v>
      </x:c>
      <x:c r="G6" t="str">
        <x:f>'08_Premissas_Custos'!D24</x:f>
        <x:v>Ambientes, banco, storage, observabilidade; recalibrar por volume</x:v>
      </x:c>
      <x:c r="H6" t="str">
        <x:v>Editável</x:v>
      </x:c>
      <x:c r="J6" t="str">
        <x:v>ED</x:v>
      </x:c>
      <x:c r="K6" t="str">
        <x:v>Estratégia &amp; Dados</x:v>
      </x:c>
      <x:c r="L6" s="61" t="n">
        <x:f>'10_CAPEX_por_Modulo'!G7/SUM('10_CAPEX_por_Modulo'!$G$7:$G$13)</x:f>
        <x:v>0.1782083012668681</x:v>
      </x:c>
      <x:c r="M6" s="60" t="n">
        <x:f>SUM($F$6:$F$13)*L6</x:f>
        <x:v>13811.143348182277</x:v>
      </x:c>
      <x:c r="N6" s="60" t="n">
        <x:f>SUM($E$6:$E$13)/7</x:f>
        <x:v>9214.285714285714</x:v>
      </x:c>
      <x:c r="O6" s="60" t="n">
        <x:f>M6+N6</x:f>
        <x:v>23025.429062467992</x:v>
      </x:c>
    </x:row>
    <x:row r="7">
      <x:c r="A7" t="str">
        <x:f>'08_Premissas_Custos'!A25</x:f>
        <x:v>Dados / pipelines / BI</x:v>
      </x:c>
      <x:c r="B7" s="70" t="n">
        <x:f>'08_Premissas_Custos'!B25</x:f>
        <x:v>14000</x:v>
      </x:c>
      <x:c r="C7" s="71" t="n">
        <x:v>0.55</x:v>
      </x:c>
      <x:c r="D7" s="72" t="n">
        <x:f>1-C7</x:f>
        <x:v>0.44999999999999996</x:v>
      </x:c>
      <x:c r="E7" s="53" t="n">
        <x:f>B7*C7</x:f>
        <x:v>7700.000000000001</x:v>
      </x:c>
      <x:c r="F7" s="53" t="n">
        <x:f>B7*D7</x:f>
        <x:v>6299.999999999999</x:v>
      </x:c>
      <x:c r="G7" t="str">
        <x:f>'08_Premissas_Custos'!D25</x:f>
        <x:v>Orquestração, processamento e monitoramento</x:v>
      </x:c>
      <x:c r="H7" t="str">
        <x:v>Editável</x:v>
      </x:c>
      <x:c r="J7" t="str">
        <x:v>COL</x:v>
      </x:c>
      <x:c r="K7" t="str">
        <x:v>Colaboradores / Meu Time</x:v>
      </x:c>
      <x:c r="L7" s="61" t="n">
        <x:f>'10_CAPEX_por_Modulo'!G8/SUM('10_CAPEX_por_Modulo'!$G$7:$G$13)</x:f>
        <x:v>0.10677034917004385</x:v>
      </x:c>
      <x:c r="M7" s="60" t="n">
        <x:f>SUM($F$6:$F$13)*L7</x:f>
        <x:v>8274.702060678399</x:v>
      </x:c>
      <x:c r="N7" s="60" t="n">
        <x:f>SUM($E$6:$E$13)/7</x:f>
        <x:v>9214.285714285714</x:v>
      </x:c>
      <x:c r="O7" s="60" t="n">
        <x:f>M7+N7</x:f>
        <x:v>17488.987774964113</x:v>
      </x:c>
    </x:row>
    <x:row r="8">
      <x:c r="A8" t="str">
        <x:f>'08_Premissas_Custos'!A26</x:f>
        <x:v>IA / modelos / APIs</x:v>
      </x:c>
      <x:c r="B8" s="70" t="n">
        <x:f>'08_Premissas_Custos'!B26</x:f>
        <x:v>12000</x:v>
      </x:c>
      <x:c r="C8" s="71" t="n">
        <x:v>0.35</x:v>
      </x:c>
      <x:c r="D8" s="72" t="n">
        <x:f>1-C8</x:f>
        <x:v>0.65</x:v>
      </x:c>
      <x:c r="E8" s="53" t="n">
        <x:f>B8*C8</x:f>
        <x:v>4200</x:v>
      </x:c>
      <x:c r="F8" s="53" t="n">
        <x:f>B8*D8</x:f>
        <x:v>7800</x:v>
      </x:c>
      <x:c r="G8" t="str">
        <x:f>'08_Premissas_Custos'!D26</x:f>
        <x:v>Uso variável; depende de volume e arquitetura</x:v>
      </x:c>
      <x:c r="H8" t="str">
        <x:v>Editável</x:v>
      </x:c>
      <x:c r="J8" t="str">
        <x:v>CAN</x:v>
      </x:c>
      <x:c r="K8" t="str">
        <x:v>Candidatos &amp; Carreira</x:v>
      </x:c>
      <x:c r="L8" s="61" t="n">
        <x:f>'10_CAPEX_por_Modulo'!G9/SUM('10_CAPEX_por_Modulo'!$G$7:$G$13)</x:f>
        <x:v>0.15959932049733508</x:v>
      </x:c>
      <x:c r="M8" s="60" t="n">
        <x:f>SUM($F$6:$F$13)*L8</x:f>
        <x:v>12368.947338543469</x:v>
      </x:c>
      <x:c r="N8" s="60" t="n">
        <x:f>SUM($E$6:$E$13)/7</x:f>
        <x:v>9214.285714285714</x:v>
      </x:c>
      <x:c r="O8" s="60" t="n">
        <x:f>M8+N8</x:f>
        <x:v>21583.233052829182</x:v>
      </x:c>
    </x:row>
    <x:row r="9">
      <x:c r="A9" t="str">
        <x:f>'08_Premissas_Custos'!A27</x:f>
        <x:v>DevOps / SRE</x:v>
      </x:c>
      <x:c r="B9" s="70" t="n">
        <x:f>'08_Premissas_Custos'!B27</x:f>
        <x:v>22000</x:v>
      </x:c>
      <x:c r="C9" s="71" t="n">
        <x:v>0.3</x:v>
      </x:c>
      <x:c r="D9" s="72" t="n">
        <x:f>1-C9</x:f>
        <x:v>0.7</x:v>
      </x:c>
      <x:c r="E9" s="53" t="n">
        <x:f>B9*C9</x:f>
        <x:v>6600</x:v>
      </x:c>
      <x:c r="F9" s="53" t="n">
        <x:f>B9*D9</x:f>
        <x:v>15399.999999999998</x:v>
      </x:c>
      <x:c r="G9" t="str">
        <x:f>'08_Premissas_Custos'!D27</x:f>
        <x:v>Sustentação de plataforma</x:v>
      </x:c>
      <x:c r="H9" t="str">
        <x:v>Editável</x:v>
      </x:c>
      <x:c r="J9" t="str">
        <x:v>FOR</x:v>
      </x:c>
      <x:c r="K9" t="str">
        <x:v>Fornecedores &amp; Negócios</x:v>
      </x:c>
      <x:c r="L9" s="61" t="n">
        <x:f>'10_CAPEX_por_Modulo'!G10/SUM('10_CAPEX_por_Modulo'!$G$7:$G$13)</x:f>
        <x:v>0.15566140601998157</x:v>
      </x:c>
      <x:c r="M9" s="60" t="n">
        <x:f>SUM($F$6:$F$13)*L9</x:f>
        <x:v>12063.758966548572</x:v>
      </x:c>
      <x:c r="N9" s="60" t="n">
        <x:f>SUM($E$6:$E$13)/7</x:f>
        <x:v>9214.285714285714</x:v>
      </x:c>
      <x:c r="O9" s="60" t="n">
        <x:f>M9+N9</x:f>
        <x:v>21278.044680834286</x:v>
      </x:c>
    </x:row>
    <x:row r="10">
      <x:c r="A10" t="str">
        <x:f>'08_Premissas_Custos'!A28</x:f>
        <x:v>Segurança / compliance</x:v>
      </x:c>
      <x:c r="B10" s="70" t="n">
        <x:f>'08_Premissas_Custos'!B28</x:f>
        <x:v>14000</x:v>
      </x:c>
      <x:c r="C10" s="71" t="n">
        <x:v>0.7</x:v>
      </x:c>
      <x:c r="D10" s="72" t="n">
        <x:f>1-C10</x:f>
        <x:v>0.30000000000000004</x:v>
      </x:c>
      <x:c r="E10" s="53" t="n">
        <x:f>B10*C10</x:f>
        <x:v>9800</x:v>
      </x:c>
      <x:c r="F10" s="53" t="n">
        <x:f>B10*D10</x:f>
        <x:v>4200.000000000001</x:v>
      </x:c>
      <x:c r="G10" t="str">
        <x:f>'08_Premissas_Custos'!D28</x:f>
        <x:v>Monitoramento, scans, LGPD e auditoria</x:v>
      </x:c>
      <x:c r="H10" t="str">
        <x:v>Editável</x:v>
      </x:c>
      <x:c r="J10" t="str">
        <x:v>ACA</x:v>
      </x:c>
      <x:c r="K10" t="str">
        <x:v>Acadêmico / Universidades</x:v>
      </x:c>
      <x:c r="L10" s="61" t="n">
        <x:f>'10_CAPEX_por_Modulo'!G11/SUM('10_CAPEX_por_Modulo'!$G$7:$G$13)</x:f>
        <x:v>0.13603211275065433</x:v>
      </x:c>
      <x:c r="M10" s="60" t="n">
        <x:f>SUM($F$6:$F$13)*L10</x:f>
        <x:v>10542.48873817571</x:v>
      </x:c>
      <x:c r="N10" s="60" t="n">
        <x:f>SUM($E$6:$E$13)/7</x:f>
        <x:v>9214.285714285714</x:v>
      </x:c>
      <x:c r="O10" s="60" t="n">
        <x:f>M10+N10</x:f>
        <x:v>19756.774452461425</x:v>
      </x:c>
    </x:row>
    <x:row r="11">
      <x:c r="A11" t="str">
        <x:f>'08_Premissas_Custos'!A29</x:f>
        <x:v>QA / releases</x:v>
      </x:c>
      <x:c r="B11" s="70" t="n">
        <x:f>'08_Premissas_Custos'!B29</x:f>
        <x:v>16000</x:v>
      </x:c>
      <x:c r="C11" s="71" t="n">
        <x:v>0.35</x:v>
      </x:c>
      <x:c r="D11" s="72" t="n">
        <x:f>1-C11</x:f>
        <x:v>0.65</x:v>
      </x:c>
      <x:c r="E11" s="53" t="n">
        <x:f>B11*C11</x:f>
        <x:v>5600</x:v>
      </x:c>
      <x:c r="F11" s="53" t="n">
        <x:f>B11*D11</x:f>
        <x:v>10400</x:v>
      </x:c>
      <x:c r="G11" t="str">
        <x:f>'08_Premissas_Custos'!D29</x:f>
        <x:v>Regressão e qualidade contínua</x:v>
      </x:c>
      <x:c r="H11" t="str">
        <x:v>Editável</x:v>
      </x:c>
      <x:c r="J11" t="str">
        <x:v>EVT</x:v>
      </x:c>
      <x:c r="K11" t="str">
        <x:v>Eventos</x:v>
      </x:c>
      <x:c r="L11" s="61" t="n">
        <x:f>'10_CAPEX_por_Modulo'!G12/SUM('10_CAPEX_por_Modulo'!$G$7:$G$13)</x:f>
        <x:v>0.1723909914037516</x:v>
      </x:c>
      <x:c r="M11" s="60" t="n">
        <x:f>SUM($F$6:$F$13)*L11</x:f>
        <x:v>13360.301833790749</x:v>
      </x:c>
      <x:c r="N11" s="60" t="n">
        <x:f>SUM($E$6:$E$13)/7</x:f>
        <x:v>9214.285714285714</x:v>
      </x:c>
      <x:c r="O11" s="60" t="n">
        <x:f>M11+N11</x:f>
        <x:v>22574.587548076463</x:v>
      </x:c>
    </x:row>
    <x:row r="12">
      <x:c r="A12" t="str">
        <x:f>'08_Premissas_Custos'!A30</x:f>
        <x:v>Produto / operação técnica</x:v>
      </x:c>
      <x:c r="B12" s="70" t="n">
        <x:f>'08_Premissas_Custos'!B30</x:f>
        <x:v>28000</x:v>
      </x:c>
      <x:c r="C12" s="71" t="n">
        <x:v>0.45</x:v>
      </x:c>
      <x:c r="D12" s="72" t="n">
        <x:f>1-C12</x:f>
        <x:v>0.55</x:v>
      </x:c>
      <x:c r="E12" s="53" t="n">
        <x:f>B12*C12</x:f>
        <x:v>12600</x:v>
      </x:c>
      <x:c r="F12" s="53" t="n">
        <x:f>B12*D12</x:f>
        <x:v>15400.000000000002</x:v>
      </x:c>
      <x:c r="G12" t="str">
        <x:f>'08_Premissas_Custos'!D30</x:f>
        <x:v>Gestão de backlog, incidentes e evolução</x:v>
      </x:c>
      <x:c r="H12" t="str">
        <x:v>Editável</x:v>
      </x:c>
      <x:c r="J12" t="str">
        <x:v>COM</x:v>
      </x:c>
      <x:c r="K12" t="str">
        <x:v>Comunidades</x:v>
      </x:c>
      <x:c r="L12" s="61" t="n">
        <x:f>'10_CAPEX_por_Modulo'!G13/SUM('10_CAPEX_por_Modulo'!$G$7:$G$13)</x:f>
        <x:v>0.09133751889136532</x:v>
      </x:c>
      <x:c r="M12" s="60" t="n">
        <x:f>SUM($F$6:$F$13)*L12</x:f>
        <x:v>7078.657714080812</x:v>
      </x:c>
      <x:c r="N12" s="60" t="n">
        <x:f>SUM($E$6:$E$13)/7</x:f>
        <x:v>9214.285714285714</x:v>
      </x:c>
      <x:c r="O12" s="60" t="n">
        <x:f>M12+N12</x:f>
        <x:v>16292.943428366525</x:v>
      </x:c>
    </x:row>
    <x:row r="13">
      <x:c r="A13" t="str">
        <x:f>'08_Premissas_Custos'!A31</x:f>
        <x:v>Suporte / CS técnico</x:v>
      </x:c>
      <x:c r="B13" s="70" t="n">
        <x:f>'08_Premissas_Custos'!B31</x:f>
        <x:v>18000</x:v>
      </x:c>
      <x:c r="C13" s="71" t="n">
        <x:v>0.25</x:v>
      </x:c>
      <x:c r="D13" s="72" t="n">
        <x:f>1-C13</x:f>
        <x:v>0.75</x:v>
      </x:c>
      <x:c r="E13" s="53" t="n">
        <x:f>B13*C13</x:f>
        <x:v>4500</x:v>
      </x:c>
      <x:c r="F13" s="53" t="n">
        <x:f>B13*D13</x:f>
        <x:v>13500</x:v>
      </x:c>
      <x:c r="G13" t="str">
        <x:f>'08_Premissas_Custos'!D31</x:f>
        <x:v>Atendimento B2B e operação</x:v>
      </x:c>
      <x:c r="H13" t="str">
        <x:v>Editável</x:v>
      </x:c>
    </x:row>
    <x:row r="15">
      <x:c r="A15" s="67" t="str">
        <x:v>OPEX BASE TOTAL / MÊS</x:v>
      </x:c>
      <x:c r="B15" s="67"/>
      <x:c r="C15" s="67"/>
      <x:c r="D15" s="67"/>
      <x:c r="E15" s="68" t="n">
        <x:f>SUM(B6:B13)</x:f>
        <x:v>142000</x:v>
      </x:c>
      <x:c r="F15" s="67"/>
      <x:c r="G15" s="67"/>
      <x:c r="H15" s="67"/>
    </x:row>
  </x:sheetData>
  <x:mergeCells>
    <x:mergeCell ref="A1:H2"/>
    <x:mergeCell ref="A15:D15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20" hidden="0" customWidth="1"/>
    <x:col min="4" max="4" width="24" hidden="0" customWidth="1"/>
    <x:col min="5" max="5" width="12" hidden="0" customWidth="1"/>
    <x:col min="6" max="6" width="58" hidden="0" customWidth="1"/>
  </x:cols>
  <x:sheetData>
    <x:row r="1">
      <x:c r="A1" s="28" t="str">
        <x:v>HUB — VISÃO EXECUTIVA DE CUSTO DA PLATAFORMA</x:v>
      </x:c>
      <x:c r="B1" s="28"/>
      <x:c r="C1" s="28"/>
      <x:c r="D1" s="28"/>
      <x:c r="E1" s="28"/>
      <x:c r="F1" s="28"/>
      <x:c r="G1" s="28"/>
      <x:c r="H1" s="28"/>
      <x:c r="I1" s="28"/>
      <x:c r="J1" s="28"/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</x:row>
    <x:row r="3">
      <x:c r="A3" s="31" t="str">
        <x:v>Modelo inicial para decisão: o valor final deve ser calibrado com arquitetura técnica escolhida, volume de usuários/dados, integrações por cliente e cotações de equipe/fornecedores.</x:v>
      </x:c>
      <x:c r="B3" s="31"/>
      <x:c r="C3" s="31"/>
      <x:c r="D3" s="31"/>
      <x:c r="E3" s="31"/>
      <x:c r="F3" s="31"/>
      <x:c r="G3" s="31"/>
      <x:c r="H3" s="31"/>
      <x:c r="I3" s="31"/>
      <x:c r="J3" s="31"/>
    </x:row>
    <x:row r="5">
      <x:c r="A5" s="76" t="str">
        <x:v>CAPEX TOTAL</x:v>
      </x:c>
      <x:c r="B5" s="76"/>
      <x:c r="D5" s="76" t="str">
        <x:v>CAPEX CORE</x:v>
      </x:c>
      <x:c r="E5" s="76"/>
      <x:c r="G5" s="76" t="str">
        <x:v>OPEX BASE / MÊS</x:v>
      </x:c>
      <x:c r="H5" s="76"/>
      <x:c r="I5" s="76" t="str">
        <x:v>TELAS MAPEADAS</x:v>
      </x:c>
      <x:c r="J5" s="76"/>
    </x:row>
    <x:row r="6">
      <x:c r="A6" s="79" t="n">
        <x:f>'10_CAPEX_por_Modulo'!G15</x:f>
        <x:v>5607665.980280001</x:v>
      </x:c>
      <x:c r="B6" s="76"/>
      <x:c r="D6" s="79" t="n">
        <x:f>'10_CAPEX_por_Modulo'!G6</x:f>
        <x:v>160722.26340799994</x:v>
      </x:c>
      <x:c r="E6" s="76"/>
      <x:c r="G6" s="79" t="n">
        <x:f>'11_OPEX_Mensal'!E15</x:f>
        <x:v>142000</x:v>
      </x:c>
      <x:c r="H6" s="76"/>
      <x:c r="I6" s="81" t="n">
        <x:f>COUNTA('02_Inventario_Paginas'!A6:A101)</x:f>
        <x:v>96</x:v>
      </x:c>
      <x:c r="J6" s="76"/>
    </x:row>
    <x:row r="7">
      <x:c r="A7" s="76"/>
      <x:c r="B7" s="76"/>
      <x:c r="D7" s="76"/>
      <x:c r="E7" s="76"/>
      <x:c r="G7" s="76"/>
      <x:c r="H7" s="76"/>
      <x:c r="I7" s="76"/>
      <x:c r="J7" s="76"/>
    </x:row>
    <x:row r="10">
      <x:c r="A10" s="33" t="str">
        <x:v>Código</x:v>
      </x:c>
      <x:c r="B10" s="33" t="str">
        <x:v>Módulo</x:v>
      </x:c>
      <x:c r="C10" s="33" t="str">
        <x:v>CAPEX incremental</x:v>
      </x:c>
      <x:c r="D10" s="33" t="str">
        <x:v>OPEX fully-loaded/mês</x:v>
      </x:c>
      <x:c r="E10" s="33" t="str">
        <x:v>Telas</x:v>
      </x:c>
      <x:c r="F10" s="33" t="str">
        <x:v>Observação</x:v>
      </x:c>
    </x:row>
    <x:row r="11">
      <x:c r="A11" s="14" t="str">
        <x:v>ED</x:v>
      </x:c>
      <x:c r="B11" s="14" t="str">
        <x:v>Estratégia &amp; Dados</x:v>
      </x:c>
      <x:c r="C11" s="77" t="n">
        <x:f>'10_CAPEX_por_Modulo'!K7</x:f>
        <x:v>970690.5868799998</x:v>
      </x:c>
      <x:c r="D11" s="77" t="n">
        <x:f>'11_OPEX_Mensal'!O6</x:f>
        <x:v>23025.429062467992</x:v>
      </x:c>
      <x:c r="E11" s="14" t="n">
        <x:f>'10_CAPEX_por_Modulo'!C7</x:f>
        <x:v>11</x:v>
      </x:c>
      <x:c r="F11" s="14" t="str">
        <x:v>Core não é cobrado novamente; alocar implantação e integrações específicas à parte.</x:v>
      </x:c>
    </x:row>
    <x:row r="12">
      <x:c r="A12" s="14" t="str">
        <x:v>COL</x:v>
      </x:c>
      <x:c r="B12" s="14" t="str">
        <x:v>Colaboradores / Meu Time</x:v>
      </x:c>
      <x:c r="C12" s="77" t="n">
        <x:f>'10_CAPEX_por_Modulo'!K8</x:f>
        <x:v>581572.08256</x:v>
      </x:c>
      <x:c r="D12" s="77" t="n">
        <x:f>'11_OPEX_Mensal'!O7</x:f>
        <x:v>17488.987774964113</x:v>
      </x:c>
      <x:c r="E12" s="14" t="n">
        <x:f>'10_CAPEX_por_Modulo'!C8</x:f>
        <x:v>11</x:v>
      </x:c>
      <x:c r="F12" s="14" t="str">
        <x:v>Core não é cobrado novamente; alocar implantação e integrações específicas à parte.</x:v>
      </x:c>
    </x:row>
    <x:row r="13">
      <x:c r="A13" s="14" t="str">
        <x:v>CAN</x:v>
      </x:c>
      <x:c r="B13" s="14" t="str">
        <x:v>Candidatos &amp; Carreira</x:v>
      </x:c>
      <x:c r="C13" s="77" t="n">
        <x:f>'10_CAPEX_por_Modulo'!K9</x:f>
        <x:v>869328.5160000001</x:v>
      </x:c>
      <x:c r="D13" s="77" t="n">
        <x:f>'11_OPEX_Mensal'!O8</x:f>
        <x:v>21583.233052829182</x:v>
      </x:c>
      <x:c r="E13" s="14" t="n">
        <x:f>'10_CAPEX_por_Modulo'!C9</x:f>
        <x:v>13</x:v>
      </x:c>
      <x:c r="F13" s="14" t="str">
        <x:v>Core não é cobrado novamente; alocar implantação e integrações específicas à parte.</x:v>
      </x:c>
    </x:row>
    <x:row r="14">
      <x:c r="A14" s="14" t="str">
        <x:v>FOR</x:v>
      </x:c>
      <x:c r="B14" s="14" t="str">
        <x:v>Fornecedores &amp; Negócios</x:v>
      </x:c>
      <x:c r="C14" s="77" t="n">
        <x:f>'10_CAPEX_por_Modulo'!K10</x:f>
        <x:v>847878.9174800001</x:v>
      </x:c>
      <x:c r="D14" s="77" t="n">
        <x:f>'11_OPEX_Mensal'!O9</x:f>
        <x:v>21278.044680834286</x:v>
      </x:c>
      <x:c r="E14" s="14" t="n">
        <x:f>'10_CAPEX_por_Modulo'!C10</x:f>
        <x:v>14</x:v>
      </x:c>
      <x:c r="F14" s="14" t="str">
        <x:v>Core não é cobrado novamente; alocar implantação e integrações específicas à parte.</x:v>
      </x:c>
    </x:row>
    <x:row r="15">
      <x:c r="A15" s="14" t="str">
        <x:v>ACA</x:v>
      </x:c>
      <x:c r="B15" s="14" t="str">
        <x:v>Acadêmico / Universidades</x:v>
      </x:c>
      <x:c r="C15" s="77" t="n">
        <x:f>'10_CAPEX_por_Modulo'!K11</x:f>
        <x:v>740959.2618400002</x:v>
      </x:c>
      <x:c r="D15" s="77" t="n">
        <x:f>'11_OPEX_Mensal'!O10</x:f>
        <x:v>19756.774452461425</x:v>
      </x:c>
      <x:c r="E15" s="14" t="n">
        <x:f>'10_CAPEX_por_Modulo'!C11</x:f>
        <x:v>12</x:v>
      </x:c>
      <x:c r="F15" s="14" t="str">
        <x:v>Core não é cobrado novamente; alocar implantação e integrações específicas à parte.</x:v>
      </x:c>
    </x:row>
    <x:row r="16">
      <x:c r="A16" s="14" t="str">
        <x:v>EVT</x:v>
      </x:c>
      <x:c r="B16" s="14" t="str">
        <x:v>Eventos</x:v>
      </x:c>
      <x:c r="C16" s="77" t="n">
        <x:f>'10_CAPEX_por_Modulo'!K12</x:f>
        <x:v>939004.027472</x:v>
      </x:c>
      <x:c r="D16" s="77" t="n">
        <x:f>'11_OPEX_Mensal'!O11</x:f>
        <x:v>22574.587548076463</x:v>
      </x:c>
      <x:c r="E16" s="14" t="n">
        <x:f>'10_CAPEX_por_Modulo'!C12</x:f>
        <x:v>14</x:v>
      </x:c>
      <x:c r="F16" s="14" t="str">
        <x:v>Core não é cobrado novamente; alocar implantação e integrações específicas à parte.</x:v>
      </x:c>
    </x:row>
    <x:row r="17">
      <x:c r="A17" s="14" t="str">
        <x:v>COM</x:v>
      </x:c>
      <x:c r="B17" s="14" t="str">
        <x:v>Comunidades</x:v>
      </x:c>
      <x:c r="C17" s="77" t="n">
        <x:f>'10_CAPEX_por_Modulo'!K13</x:f>
        <x:v>497510.32464</x:v>
      </x:c>
      <x:c r="D17" s="77" t="n">
        <x:f>'11_OPEX_Mensal'!O12</x:f>
        <x:v>16292.943428366525</x:v>
      </x:c>
      <x:c r="E17" s="14" t="n">
        <x:f>'10_CAPEX_por_Modulo'!C13</x:f>
        <x:v>9</x:v>
      </x:c>
      <x:c r="F17" s="14" t="str">
        <x:v>Core não é cobrado novamente; alocar implantação e integrações específicas à parte.</x:v>
      </x:c>
    </x:row>
  </x:sheetData>
  <x:mergeCells>
    <x:mergeCell ref="A1:J2"/>
    <x:mergeCell ref="A3:J3"/>
    <x:mergeCell ref="A5:B5"/>
    <x:mergeCell ref="A6:B7"/>
    <x:mergeCell ref="D5:E5"/>
    <x:mergeCell ref="D6:E7"/>
    <x:mergeCell ref="G5:H5"/>
    <x:mergeCell ref="G6:H7"/>
    <x:mergeCell ref="I5:J5"/>
    <x:mergeCell ref="I6:J7"/>
  </x:mergeCells>
  <x:pageMargins left="0.7" right="0.7" top="0.75" bottom="0.75" header="0.3" footer="0.3"/>
  <x:drawing xmlns:r="http://schemas.openxmlformats.org/officeDocument/2006/relationships" r:id="Rc280891f6e02458f"/>
</x:worksheet>
</file>