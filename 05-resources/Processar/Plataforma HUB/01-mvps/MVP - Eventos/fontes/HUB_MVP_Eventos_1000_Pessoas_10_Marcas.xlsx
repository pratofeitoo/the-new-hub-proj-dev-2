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1b8a1a4bf843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MVP_HUB_Eventos" sheetId="1" r:id="Rc9e471d499ce40e0"/>
    <x:sheet xmlns:r="http://schemas.openxmlformats.org/officeDocument/2006/relationships" name="02_Volume_Evento" sheetId="2" r:id="R5dcea9bba7b74576"/>
    <x:sheet xmlns:r="http://schemas.openxmlformats.org/officeDocument/2006/relationships" name="03_Escopo_Enxuto" sheetId="3" r:id="R2a0637addb264692"/>
    <x:sheet xmlns:r="http://schemas.openxmlformats.org/officeDocument/2006/relationships" name="04_Premissas_Mao_de_Obra" sheetId="4" r:id="R8ddcd336485a4c53"/>
    <x:sheet xmlns:r="http://schemas.openxmlformats.org/officeDocument/2006/relationships" name="05_Investimento_Time" sheetId="5" r:id="R15db3e9bf77c45b0"/>
    <x:sheet xmlns:r="http://schemas.openxmlformats.org/officeDocument/2006/relationships" name="06_Modelo_Head_Eventos" sheetId="6" r:id="R9ba38d04348b41b3"/>
    <x:sheet xmlns:r="http://schemas.openxmlformats.org/officeDocument/2006/relationships" name="07_Custo_MVP_e_Caixa" sheetId="7" r:id="Ra9b754fef11f490c"/>
    <x:sheet xmlns:r="http://schemas.openxmlformats.org/officeDocument/2006/relationships" name="08_Plano_Case_Eventos" sheetId="8" r:id="Rc132d0f86a85468d"/>
    <x:sheet xmlns:r="http://schemas.openxmlformats.org/officeDocument/2006/relationships" name="09_Resumo_Executivo" sheetId="9" r:id="R5c9c686081f643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#,##0"/>
    <x:numFmt numFmtId="202" formatCode="R$ #,##0;[Red](R$ #,##0);-"/>
  </x:numFmts>
  <x:fonts count="7">
    <x:font>
      <x:sz val="11"/>
      <x:name val="Carlito"/>
    </x:font>
    <x:font>
      <x:b/>
      <x:sz val="20"/>
      <x:color rgb="FFFFFFFF"/>
      <x:name val="Carlito"/>
    </x:font>
    <x:font>
      <x:i/>
      <x:sz val="11"/>
      <x:color rgb="FF063747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063747"/>
      <x:name val="Carlito"/>
    </x:font>
    <x:font>
      <x:b/>
      <x:sz val="16"/>
      <x:color rgb="FF06374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63747"/>
      </x:patternFill>
    </x:fill>
    <x:fill>
      <x:patternFill patternType="solid">
        <x:fgColor rgb="FFF7F4EC"/>
      </x:patternFill>
    </x:fill>
    <x:fill>
      <x:patternFill patternType="solid">
        <x:fgColor rgb="FF073E32"/>
      </x:patternFill>
    </x:fill>
    <x:fill>
      <x:patternFill patternType="solid">
        <x:fgColor rgb="FFFFF2CC"/>
      </x:patternFill>
    </x:fill>
    <x:fill>
      <x:patternFill patternType="solid">
        <x:fgColor rgb="FFEEF2EA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4" fillId="5" borderId="0" xfId="0" applyNumberFormat="1" applyFont="1" applyFill="1" applyBorder="1"/>
    <x:xf numFmtId="202" fontId="4" fillId="5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202" fontId="5" fillId="6" borderId="0" xfId="0" applyNumberFormat="1" applyFont="1" applyFill="1" applyBorder="1"/>
    <x:xf numFmtId="202" fontId="5" fillId="6" borderId="1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6" fillId="6" borderId="1" xfId="0" applyNumberFormat="1" applyFont="1" applyFill="1" applyBorder="1" applyAlignment="1">
      <x:alignment horizontal="center" vertical="center"/>
    </x:xf>
    <x:xf numFmtId="202" fontId="6" fillId="6" borderId="0" xfId="0" applyNumberFormat="1" applyFont="1" applyFill="1" applyBorder="1" applyAlignment="1">
      <x:alignment horizontal="center" vertical="center"/>
    </x:xf>
    <x:xf numFmtId="202" fontId="6" fillId="6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de34866af946b1" /><Relationship Type="http://schemas.openxmlformats.org/officeDocument/2006/relationships/theme" Target="/xl/theme/theme1.xml" Id="Rd4bcae65633642d7" /><Relationship Type="http://schemas.openxmlformats.org/officeDocument/2006/relationships/sharedStrings" Target="/xl/sharedStrings.xml" Id="R9018371ac1ff4810" /><Relationship Type="http://schemas.openxmlformats.org/officeDocument/2006/relationships/worksheet" Target="/xl/worksheets/sheet1.xml" Id="Rc9e471d499ce40e0" /><Relationship Type="http://schemas.openxmlformats.org/officeDocument/2006/relationships/worksheet" Target="/xl/worksheets/sheet2.xml" Id="R5dcea9bba7b74576" /><Relationship Type="http://schemas.openxmlformats.org/officeDocument/2006/relationships/worksheet" Target="/xl/worksheets/sheet3.xml" Id="R2a0637addb264692" /><Relationship Type="http://schemas.openxmlformats.org/officeDocument/2006/relationships/worksheet" Target="/xl/worksheets/sheet4.xml" Id="R8ddcd336485a4c53" /><Relationship Type="http://schemas.openxmlformats.org/officeDocument/2006/relationships/worksheet" Target="/xl/worksheets/sheet5.xml" Id="R15db3e9bf77c45b0" /><Relationship Type="http://schemas.openxmlformats.org/officeDocument/2006/relationships/worksheet" Target="/xl/worksheets/sheet6.xml" Id="R9ba38d04348b41b3" /><Relationship Type="http://schemas.openxmlformats.org/officeDocument/2006/relationships/worksheet" Target="/xl/worksheets/sheet7.xml" Id="Ra9b754fef11f490c" /><Relationship Type="http://schemas.openxmlformats.org/officeDocument/2006/relationships/worksheet" Target="/xl/worksheets/sheet8.xml" Id="Rc132d0f86a85468d" /><Relationship Type="http://schemas.openxmlformats.org/officeDocument/2006/relationships/worksheet" Target="/xl/worksheets/sheet9.xml" Id="R5c9c686081f643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32" hidden="0" customWidth="1"/>
    <x:col min="4" max="4" width="38" hidden="0" customWidth="1"/>
    <x:col min="5" max="5" width="36" hidden="0" customWidth="1"/>
    <x:col min="6" max="6" width="26" hidden="0" customWidth="1"/>
    <x:col min="7" max="7" width="16" hidden="0" customWidth="1"/>
    <x:col min="8" max="8" width="34" hidden="0" customWidth="1"/>
  </x:cols>
  <x:sheetData>
    <x:row r="1">
      <x:c r="A1" s="3" t="str">
        <x:v>HUB EVENTOS — MVP | PESSOAS → EXPERIÊNCIA → NEGÓCIO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3">
      <x:c r="A3" s="8" t="str">
        <x:v>Piloto: 1 produtora e/ou artista, 1 grande evento, 1.000 participantes e 10 marcas patrocinadoras. A HUB não substitui ticketing ou gestão operacional: conecta público, trabalhadores, fornecedores, marcas e dados para medir e provar resultado.</x:v>
      </x:c>
      <x:c r="B3" s="8"/>
      <x:c r="C3" s="8"/>
      <x:c r="D3" s="8"/>
      <x:c r="E3" s="8"/>
      <x:c r="F3" s="8"/>
      <x:c r="G3" s="8"/>
      <x:c r="H3" s="8"/>
    </x:row>
    <x:row r="5">
      <x:c r="A5" s="13" t="str">
        <x:v>Etapa</x:v>
      </x:c>
      <x:c r="B5" s="13" t="str">
        <x:v>Quem entra</x:v>
      </x:c>
      <x:c r="C5" s="13" t="str">
        <x:v>Entrada</x:v>
      </x:c>
      <x:c r="D5" s="13" t="str">
        <x:v>Tecnologia MVP</x:v>
      </x:c>
      <x:c r="E5" s="13" t="str">
        <x:v>Operação HUB/Eventos</x:v>
      </x:c>
      <x:c r="F5" s="13" t="str">
        <x:v>Mede</x:v>
      </x:c>
      <x:c r="G5" s="13" t="str">
        <x:v>Necessário?</x:v>
      </x:c>
      <x:c r="H5" s="13" t="str">
        <x:v>Futuro</x:v>
      </x:c>
    </x:row>
    <x:row r="6">
      <x:c r="A6" s="16" t="str">
        <x:v>1. Planejar evento</x:v>
      </x:c>
      <x:c r="B6" s="16" t="str">
        <x:v>Produtora/artista</x:v>
      </x:c>
      <x:c r="C6" s="16" t="str">
        <x:v>Público, metas, operação</x:v>
      </x:c>
      <x:c r="D6" s="16" t="str">
        <x:v>Cadastro do evento</x:v>
      </x:c>
      <x:c r="E6" s="16" t="str">
        <x:v>Estruturar baseline</x:v>
      </x:c>
      <x:c r="F6" s="16" t="str">
        <x:v>Metas</x:v>
      </x:c>
      <x:c r="G6" s="16" t="str">
        <x:v>Sim</x:v>
      </x:c>
      <x:c r="H6" s="16" t="str">
        <x:v>Integrações</x:v>
      </x:c>
    </x:row>
    <x:row r="7">
      <x:c r="A7" s="16" t="str">
        <x:v>2. Estruturar patrocinadores</x:v>
      </x:c>
      <x:c r="B7" s="16" t="str">
        <x:v>10 marcas</x:v>
      </x:c>
      <x:c r="C7" s="16" t="str">
        <x:v>Objetivos, público, ativações</x:v>
      </x:c>
      <x:c r="D7" s="16" t="str">
        <x:v>Perfil da marca/ativação</x:v>
      </x:c>
      <x:c r="E7" s="16" t="str">
        <x:v>Qualificar objetivos</x:v>
      </x:c>
      <x:c r="F7" s="16" t="str">
        <x:v>Investimento e metas</x:v>
      </x:c>
      <x:c r="G7" s="16" t="str">
        <x:v>Sim</x:v>
      </x:c>
      <x:c r="H7" s="16" t="str">
        <x:v>Portal de marcas</x:v>
      </x:c>
    </x:row>
    <x:row r="8">
      <x:c r="A8" s="16" t="str">
        <x:v>3. Conectar fornecedores</x:v>
      </x:c>
      <x:c r="B8" s="16" t="str">
        <x:v>Produtora + fornecedores</x:v>
      </x:c>
      <x:c r="C8" s="16" t="str">
        <x:v>Demandas de bens/serviços</x:v>
      </x:c>
      <x:c r="D8" s="16" t="str">
        <x:v>Demanda + match + status</x:v>
      </x:c>
      <x:c r="E8" s="16" t="str">
        <x:v>Curadoria</x:v>
      </x:c>
      <x:c r="F8" s="16" t="str">
        <x:v>Contratação e R$</x:v>
      </x:c>
      <x:c r="G8" s="16" t="str">
        <x:v>Sim</x:v>
      </x:c>
      <x:c r="H8" s="16" t="str">
        <x:v>Marketplace</x:v>
      </x:c>
    </x:row>
    <x:row r="9">
      <x:c r="A9" s="16" t="str">
        <x:v>4. Conectar trabalhadores</x:v>
      </x:c>
      <x:c r="B9" s="16" t="str">
        <x:v>Produtora + profissionais</x:v>
      </x:c>
      <x:c r="C9" s="16" t="str">
        <x:v>Funções, skills, disponibilidade</x:v>
      </x:c>
      <x:c r="D9" s="16" t="str">
        <x:v>Perfil + match + status</x:v>
      </x:c>
      <x:c r="E9" s="16" t="str">
        <x:v>Curadoria</x:v>
      </x:c>
      <x:c r="F9" s="16" t="str">
        <x:v>Contratação</x:v>
      </x:c>
      <x:c r="G9" s="16" t="str">
        <x:v>Sim</x:v>
      </x:c>
      <x:c r="H9" s="16" t="str">
        <x:v>Workforce</x:v>
      </x:c>
    </x:row>
    <x:row r="10">
      <x:c r="A10" s="16" t="str">
        <x:v>5. Capturar experiência</x:v>
      </x:c>
      <x:c r="B10" s="16" t="str">
        <x:v>1.000 participantes</x:v>
      </x:c>
      <x:c r="C10" s="16" t="str">
        <x:v>Pesquisa/ativação/dados consentidos</x:v>
      </x:c>
      <x:c r="D10" s="16" t="str">
        <x:v>Formulários + importação</x:v>
      </x:c>
      <x:c r="E10" s="16" t="str">
        <x:v>Desenho da pesquisa</x:v>
      </x:c>
      <x:c r="F10" s="16" t="str">
        <x:v>Experiência</x:v>
      </x:c>
      <x:c r="G10" s="16" t="str">
        <x:v>Sim</x:v>
      </x:c>
      <x:c r="H10" s="16" t="str">
        <x:v>Integração CRM/ticketing</x:v>
      </x:c>
    </x:row>
    <x:row r="11">
      <x:c r="A11" s="16" t="str">
        <x:v>6. Medir ativações</x:v>
      </x:c>
      <x:c r="B11" s="16" t="str">
        <x:v>Marcas + público</x:v>
      </x:c>
      <x:c r="C11" s="16" t="str">
        <x:v>Interação, leads, percepção</x:v>
      </x:c>
      <x:c r="D11" s="16" t="str">
        <x:v>Registro de métricas</x:v>
      </x:c>
      <x:c r="E11" s="16" t="str">
        <x:v>Consolidação</x:v>
      </x:c>
      <x:c r="F11" s="16" t="str">
        <x:v>Engajamento/resultado</x:v>
      </x:c>
      <x:c r="G11" s="16" t="str">
        <x:v>Sim</x:v>
      </x:c>
      <x:c r="H11" s="16" t="str">
        <x:v>Tracking avançado</x:v>
      </x:c>
    </x:row>
    <x:row r="12">
      <x:c r="A12" s="16" t="str">
        <x:v>7. Segurança/acessibilidade</x:v>
      </x:c>
      <x:c r="B12" s="16" t="str">
        <x:v>Operação + público</x:v>
      </x:c>
      <x:c r="C12" s="16" t="str">
        <x:v>Sinais e percepção</x:v>
      </x:c>
      <x:c r="D12" s="16" t="str">
        <x:v>Indicadores simples</x:v>
      </x:c>
      <x:c r="E12" s="16" t="str">
        <x:v>Leitura transversal</x:v>
      </x:c>
      <x:c r="F12" s="16" t="str">
        <x:v>Experiência/qualidade</x:v>
      </x:c>
      <x:c r="G12" s="16" t="str">
        <x:v>Sim</x:v>
      </x:c>
      <x:c r="H12" s="16" t="str">
        <x:v>Modelos preditivos</x:v>
      </x:c>
    </x:row>
    <x:row r="13">
      <x:c r="A13" s="16" t="str">
        <x:v>8. Provar retorno</x:v>
      </x:c>
      <x:c r="B13" s="16" t="str">
        <x:v>Produtora + marcas</x:v>
      </x:c>
      <x:c r="C13" s="16" t="str">
        <x:v>Todos os dados disponíveis</x:v>
      </x:c>
      <x:c r="D13" s="16" t="str">
        <x:v>Dashboard pós-evento</x:v>
      </x:c>
      <x:c r="E13" s="16" t="str">
        <x:v>Análise e narrativa</x:v>
      </x:c>
      <x:c r="F13" s="16" t="str">
        <x:v>Pessoas → resultado</x:v>
      </x:c>
      <x:c r="G13" s="16" t="str">
        <x:v>Sim</x:v>
      </x:c>
      <x:c r="H13" s="16" t="str">
        <x:v>Benchmark multi-evento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6" hidden="0" customWidth="1"/>
    <x:col min="5" max="5" width="8" hidden="0" customWidth="1"/>
    <x:col min="6" max="6" width="34" hidden="0" customWidth="1"/>
    <x:col min="7" max="7" width="34" hidden="0" customWidth="1"/>
    <x:col min="8" max="8" width="22" hidden="0" customWidth="1"/>
  </x:cols>
  <x:sheetData>
    <x:row r="1">
      <x:c r="A1" s="3" t="str">
        <x:v>DIMENSIONAMENTO — 1 EVENTO | 1.000 PESSOAS | 10 MARCAS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5">
      <x:c r="A5" s="13" t="str">
        <x:v>Premissa</x:v>
      </x:c>
      <x:c r="B5" s="13" t="str">
        <x:v>Quantidade</x:v>
      </x:c>
      <x:c r="C5" s="13" t="str">
        <x:v>Unidade</x:v>
      </x:c>
      <x:c r="D5" s="13" t="str">
        <x:v>Editável?</x:v>
      </x:c>
      <x:c r="F5" s="13" t="str">
        <x:v>Indicador de capacidade</x:v>
      </x:c>
      <x:c r="G5" s="13" t="str">
        <x:v>Lógica</x:v>
      </x:c>
      <x:c r="H5" s="13" t="str">
        <x:v>Estimativa</x:v>
      </x:c>
    </x:row>
    <x:row r="6">
      <x:c r="A6" t="str">
        <x:v>Participantes</x:v>
      </x:c>
      <x:c r="B6" s="20" t="n">
        <x:v>1000</x:v>
      </x:c>
      <x:c r="C6" t="str">
        <x:v>pessoas</x:v>
      </x:c>
      <x:c r="D6" t="str">
        <x:v>Sim</x:v>
      </x:c>
      <x:c r="F6" t="str">
        <x:v>Matches fornecedores</x:v>
      </x:c>
      <x:c r="G6" t="str">
        <x:v>demandas × sugestões</x:v>
      </x:c>
      <x:c r="H6" s="24" t="n">
        <x:f>B8*B9</x:f>
        <x:v>80</x:v>
      </x:c>
    </x:row>
    <x:row r="7">
      <x:c r="A7" t="str">
        <x:v>Marcas patrocinadoras</x:v>
      </x:c>
      <x:c r="B7" s="20" t="n">
        <x:v>10</x:v>
      </x:c>
      <x:c r="C7" t="str">
        <x:v>marcas</x:v>
      </x:c>
      <x:c r="D7" t="str">
        <x:v>Sim</x:v>
      </x:c>
      <x:c r="F7" t="str">
        <x:v>Matches profissionais</x:v>
      </x:c>
      <x:c r="G7" t="str">
        <x:v>posições × sugestões</x:v>
      </x:c>
      <x:c r="H7" s="24" t="n">
        <x:f>B10*B11</x:f>
        <x:v>150</x:v>
      </x:c>
    </x:row>
    <x:row r="8">
      <x:c r="A8" t="str">
        <x:v>Demandas de fornecedores</x:v>
      </x:c>
      <x:c r="B8" s="20" t="n">
        <x:v>20</x:v>
      </x:c>
      <x:c r="C8" t="str">
        <x:v>demandas</x:v>
      </x:c>
      <x:c r="D8" t="str">
        <x:v>Sim</x:v>
      </x:c>
      <x:c r="F8" t="str">
        <x:v>Respostas de pesquisa</x:v>
      </x:c>
      <x:c r="G8" t="str">
        <x:v>participantes × taxa</x:v>
      </x:c>
      <x:c r="H8" s="24" t="n">
        <x:f>B6*B12</x:f>
        <x:v>350</x:v>
      </x:c>
    </x:row>
    <x:row r="9">
      <x:c r="A9" t="str">
        <x:v>Fornecedores sugeridos por demanda</x:v>
      </x:c>
      <x:c r="B9" s="20" t="n">
        <x:v>4</x:v>
      </x:c>
      <x:c r="C9" t="str">
        <x:v>matches</x:v>
      </x:c>
      <x:c r="D9" t="str">
        <x:v>Sim</x:v>
      </x:c>
      <x:c r="F9" t="str">
        <x:v>Ativações patrocinadas</x:v>
      </x:c>
      <x:c r="G9" t="str">
        <x:v>marcas × ativações</x:v>
      </x:c>
      <x:c r="H9" s="24" t="n">
        <x:f>B7*B13</x:f>
        <x:v>20</x:v>
      </x:c>
    </x:row>
    <x:row r="10">
      <x:c r="A10" t="str">
        <x:v>Funções/vagas temporárias</x:v>
      </x:c>
      <x:c r="B10" s="20" t="n">
        <x:v>50</x:v>
      </x:c>
      <x:c r="C10" t="str">
        <x:v>posições</x:v>
      </x:c>
      <x:c r="D10" t="str">
        <x:v>Sim</x:v>
      </x:c>
      <x:c r="F10" t="str">
        <x:v>Interações potenciais*</x:v>
      </x:c>
      <x:c r="G10" t="str">
        <x:v>participantes × ativações × taxa</x:v>
      </x:c>
      <x:c r="H10" s="24" t="n">
        <x:f>B6*H9*B14</x:f>
        <x:v>6000</x:v>
      </x:c>
    </x:row>
    <x:row r="11">
      <x:c r="A11" t="str">
        <x:v>Profissionais sugeridos por posição</x:v>
      </x:c>
      <x:c r="B11" s="20" t="n">
        <x:v>3</x:v>
      </x:c>
      <x:c r="C11" t="str">
        <x:v>matches</x:v>
      </x:c>
      <x:c r="D11" t="str">
        <x:v>Sim</x:v>
      </x:c>
    </x:row>
    <x:row r="12">
      <x:c r="A12" t="str">
        <x:v>Taxa de resposta da pesquisa</x:v>
      </x:c>
      <x:c r="B12" s="22" t="n">
        <x:v>0.35</x:v>
      </x:c>
      <x:c r="C12" t="str">
        <x:v>% público</x:v>
      </x:c>
      <x:c r="D12" t="str">
        <x:v>Sim</x:v>
      </x:c>
      <x:c r="F12" s="8" t="str">
        <x:v>* Capacidade teórica para planejamento; uma pessoa pode interagir com mais de uma ativação. Não representa pessoas únicas nem resultado prometido.</x:v>
      </x:c>
      <x:c r="G12" s="8"/>
      <x:c r="H12" s="8"/>
    </x:row>
    <x:row r="13">
      <x:c r="A13" t="str">
        <x:v>Ativações médias por marca</x:v>
      </x:c>
      <x:c r="B13" s="20" t="n">
        <x:v>2</x:v>
      </x:c>
      <x:c r="C13" t="str">
        <x:v>ativações</x:v>
      </x:c>
      <x:c r="D13" t="str">
        <x:v>Sim</x:v>
      </x:c>
      <x:c r="F13" s="8"/>
      <x:c r="G13" s="8"/>
      <x:c r="H13" s="8"/>
    </x:row>
    <x:row r="14">
      <x:c r="A14" t="str">
        <x:v>Taxa média de interação nas ativações</x:v>
      </x:c>
      <x:c r="B14" s="22" t="n">
        <x:v>0.3</x:v>
      </x:c>
      <x:c r="C14" t="str">
        <x:v>% público</x:v>
      </x:c>
      <x:c r="D14" t="str">
        <x:v>Sim</x:v>
      </x:c>
    </x:row>
  </x:sheetData>
  <x:mergeCells>
    <x:mergeCell ref="A1:H2"/>
    <x:mergeCell ref="F12:H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2" hidden="0" customWidth="1"/>
    <x:col min="3" max="3" width="20" hidden="0" customWidth="1"/>
    <x:col min="4" max="4" width="12" hidden="0" customWidth="1"/>
    <x:col min="5" max="5" width="14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52" hidden="0" customWidth="1"/>
  </x:cols>
  <x:sheetData>
    <x:row r="1">
      <x:c r="A1" s="3" t="str">
        <x:v>ESCOPO ENXUTO — HUB EVENTOS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5">
      <x:c r="A5" s="13" t="str">
        <x:v>ID</x:v>
      </x:c>
      <x:c r="B5" s="13" t="str">
        <x:v>Tela/capacidade</x:v>
      </x:c>
      <x:c r="C5" s="13" t="str">
        <x:v>Público</x:v>
      </x:c>
      <x:c r="D5" s="13" t="str">
        <x:v>MVP</x:v>
      </x:c>
      <x:c r="E5" s="13" t="str">
        <x:v>Complex.</x:v>
      </x:c>
      <x:c r="F5" s="13" t="str">
        <x:v>Dados</x:v>
      </x:c>
      <x:c r="G5" s="13" t="str">
        <x:v>Front</x:v>
      </x:c>
      <x:c r="H5" s="13" t="str">
        <x:v>Back</x:v>
      </x:c>
      <x:c r="I5" s="13" t="str">
        <x:v>Match</x:v>
      </x:c>
      <x:c r="J5" s="13" t="str">
        <x:v>Observação</x:v>
      </x:c>
    </x:row>
    <x:row r="6">
      <x:c r="A6" s="16" t="n">
        <x:v>1</x:v>
      </x:c>
      <x:c r="B6" s="16" t="str">
        <x:v>Cadastro do evento</x:v>
      </x:c>
      <x:c r="C6" s="16" t="str">
        <x:v>HUB/Produtora</x:v>
      </x:c>
      <x:c r="D6" s="16" t="str">
        <x:v>Sim</x:v>
      </x:c>
      <x:c r="E6" s="16" t="str">
        <x:v>Baixa</x:v>
      </x:c>
      <x:c r="F6" s="16" t="str">
        <x:v>Médio</x:v>
      </x:c>
      <x:c r="G6" s="16" t="str">
        <x:v>Baixo</x:v>
      </x:c>
      <x:c r="H6" s="16" t="str">
        <x:v>Baixo</x:v>
      </x:c>
      <x:c r="I6" s="16" t="str">
        <x:v>Não</x:v>
      </x:c>
      <x:c r="J6" s="16" t="str">
        <x:v>Metas e baseline</x:v>
      </x:c>
    </x:row>
    <x:row r="7">
      <x:c r="A7" s="16" t="n">
        <x:v>2</x:v>
      </x:c>
      <x:c r="B7" s="16" t="str">
        <x:v>Cadastro de marcas/ativações</x:v>
      </x:c>
      <x:c r="C7" s="16" t="str">
        <x:v>HUB/Marcas</x:v>
      </x:c>
      <x:c r="D7" s="16" t="str">
        <x:v>Sim</x:v>
      </x:c>
      <x:c r="E7" s="16" t="str">
        <x:v>Média</x:v>
      </x:c>
      <x:c r="F7" s="16" t="str">
        <x:v>Médio</x:v>
      </x:c>
      <x:c r="G7" s="16" t="str">
        <x:v>Médio</x:v>
      </x:c>
      <x:c r="H7" s="16" t="str">
        <x:v>Médio</x:v>
      </x:c>
      <x:c r="I7" s="16" t="str">
        <x:v>Não</x:v>
      </x:c>
      <x:c r="J7" s="16" t="str">
        <x:v>10 patrocinadores</x:v>
      </x:c>
    </x:row>
    <x:row r="8">
      <x:c r="A8" s="16" t="n">
        <x:v>3</x:v>
      </x:c>
      <x:c r="B8" s="16" t="str">
        <x:v>Demandas de fornecedores</x:v>
      </x:c>
      <x:c r="C8" s="16" t="str">
        <x:v>Produtora/HUB</x:v>
      </x:c>
      <x:c r="D8" s="16" t="str">
        <x:v>Sim</x:v>
      </x:c>
      <x:c r="E8" s="16" t="str">
        <x:v>Média</x:v>
      </x:c>
      <x:c r="F8" s="16" t="str">
        <x:v>Médio</x:v>
      </x:c>
      <x:c r="G8" s="16" t="str">
        <x:v>Médio</x:v>
      </x:c>
      <x:c r="H8" s="16" t="str">
        <x:v>Médio</x:v>
      </x:c>
      <x:c r="I8" s="16" t="str">
        <x:v>Não</x:v>
      </x:c>
      <x:c r="J8" s="16" t="str">
        <x:v>Bens e serviços</x:v>
      </x:c>
    </x:row>
    <x:row r="9">
      <x:c r="A9" s="16" t="n">
        <x:v>4</x:v>
      </x:c>
      <x:c r="B9" s="16" t="str">
        <x:v>Match fornecedor × demanda</x:v>
      </x:c>
      <x:c r="C9" s="16" t="str">
        <x:v>HUB</x:v>
      </x:c>
      <x:c r="D9" s="16" t="str">
        <x:v>Sim</x:v>
      </x:c>
      <x:c r="E9" s="16" t="str">
        <x:v>Alta</x:v>
      </x:c>
      <x:c r="F9" s="16" t="str">
        <x:v>Alto</x:v>
      </x:c>
      <x:c r="G9" s="16" t="str">
        <x:v>Médio</x:v>
      </x:c>
      <x:c r="H9" s="16" t="str">
        <x:v>Alto</x:v>
      </x:c>
      <x:c r="I9" s="16" t="str">
        <x:v>Sim</x:v>
      </x:c>
      <x:c r="J9" s="16" t="str">
        <x:v>Regras + curadoria</x:v>
      </x:c>
    </x:row>
    <x:row r="10">
      <x:c r="A10" s="16" t="n">
        <x:v>5</x:v>
      </x:c>
      <x:c r="B10" s="16" t="str">
        <x:v>Demandas de trabalhadores</x:v>
      </x:c>
      <x:c r="C10" s="16" t="str">
        <x:v>Produtora/HUB</x:v>
      </x:c>
      <x:c r="D10" s="16" t="str">
        <x:v>Sim</x:v>
      </x:c>
      <x:c r="E10" s="16" t="str">
        <x:v>Média</x:v>
      </x:c>
      <x:c r="F10" s="16" t="str">
        <x:v>Médio</x:v>
      </x:c>
      <x:c r="G10" s="16" t="str">
        <x:v>Médio</x:v>
      </x:c>
      <x:c r="H10" s="16" t="str">
        <x:v>Médio</x:v>
      </x:c>
      <x:c r="I10" s="16" t="str">
        <x:v>Não</x:v>
      </x:c>
      <x:c r="J10" s="16" t="str">
        <x:v>Equipes temporárias</x:v>
      </x:c>
    </x:row>
    <x:row r="11">
      <x:c r="A11" s="16" t="n">
        <x:v>6</x:v>
      </x:c>
      <x:c r="B11" s="16" t="str">
        <x:v>Match profissional × função</x:v>
      </x:c>
      <x:c r="C11" s="16" t="str">
        <x:v>HUB</x:v>
      </x:c>
      <x:c r="D11" s="16" t="str">
        <x:v>Sim</x:v>
      </x:c>
      <x:c r="E11" s="16" t="str">
        <x:v>Alta</x:v>
      </x:c>
      <x:c r="F11" s="16" t="str">
        <x:v>Alto</x:v>
      </x:c>
      <x:c r="G11" s="16" t="str">
        <x:v>Médio</x:v>
      </x:c>
      <x:c r="H11" s="16" t="str">
        <x:v>Alto</x:v>
      </x:c>
      <x:c r="I11" s="16" t="str">
        <x:v>Sim</x:v>
      </x:c>
      <x:c r="J11" s="16" t="str">
        <x:v>Regras + curadoria</x:v>
      </x:c>
    </x:row>
    <x:row r="12">
      <x:c r="A12" s="16" t="n">
        <x:v>7</x:v>
      </x:c>
      <x:c r="B12" s="16" t="str">
        <x:v>Pesquisa de público</x:v>
      </x:c>
      <x:c r="C12" s="16" t="str">
        <x:v>Público</x:v>
      </x:c>
      <x:c r="D12" s="16" t="str">
        <x:v>Sim</x:v>
      </x:c>
      <x:c r="E12" s="16" t="str">
        <x:v>Média</x:v>
      </x:c>
      <x:c r="F12" s="16" t="str">
        <x:v>Alto</x:v>
      </x:c>
      <x:c r="G12" s="16" t="str">
        <x:v>Médio</x:v>
      </x:c>
      <x:c r="H12" s="16" t="str">
        <x:v>Médio</x:v>
      </x:c>
      <x:c r="I12" s="16" t="str">
        <x:v>Não</x:v>
      </x:c>
      <x:c r="J12" s="16" t="str">
        <x:v>Consentimento e experiência</x:v>
      </x:c>
    </x:row>
    <x:row r="13">
      <x:c r="A13" s="16" t="n">
        <x:v>8</x:v>
      </x:c>
      <x:c r="B13" s="16" t="str">
        <x:v>Métricas de ativação</x:v>
      </x:c>
      <x:c r="C13" s="16" t="str">
        <x:v>Marcas/HUB</x:v>
      </x:c>
      <x:c r="D13" s="16" t="str">
        <x:v>Sim</x:v>
      </x:c>
      <x:c r="E13" s="16" t="str">
        <x:v>Média</x:v>
      </x:c>
      <x:c r="F13" s="16" t="str">
        <x:v>Alto</x:v>
      </x:c>
      <x:c r="G13" s="16" t="str">
        <x:v>Médio</x:v>
      </x:c>
      <x:c r="H13" s="16" t="str">
        <x:v>Médio</x:v>
      </x:c>
      <x:c r="I13" s="16" t="str">
        <x:v>Não</x:v>
      </x:c>
      <x:c r="J13" s="16" t="str">
        <x:v>Importação/manual primeiro</x:v>
      </x:c>
    </x:row>
    <x:row r="14">
      <x:c r="A14" s="16" t="n">
        <x:v>9</x:v>
      </x:c>
      <x:c r="B14" s="16" t="str">
        <x:v>Indicadores segurança/acessibilidade</x:v>
      </x:c>
      <x:c r="C14" s="16" t="str">
        <x:v>HUB/Produtora</x:v>
      </x:c>
      <x:c r="D14" s="16" t="str">
        <x:v>Sim</x:v>
      </x:c>
      <x:c r="E14" s="16" t="str">
        <x:v>Média</x:v>
      </x:c>
      <x:c r="F14" s="16" t="str">
        <x:v>Alto</x:v>
      </x:c>
      <x:c r="G14" s="16" t="str">
        <x:v>Médio</x:v>
      </x:c>
      <x:c r="H14" s="16" t="str">
        <x:v>Médio</x:v>
      </x:c>
      <x:c r="I14" s="16" t="str">
        <x:v>Não</x:v>
      </x:c>
      <x:c r="J14" s="16" t="str">
        <x:v>Lente de experiência</x:v>
      </x:c>
    </x:row>
    <x:row r="15">
      <x:c r="A15" s="16" t="n">
        <x:v>10</x:v>
      </x:c>
      <x:c r="B15" s="16" t="str">
        <x:v>Dashboard produtora/artista</x:v>
      </x:c>
      <x:c r="C15" s="16" t="str">
        <x:v>Gestão</x:v>
      </x:c>
      <x:c r="D15" s="16" t="str">
        <x:v>Sim</x:v>
      </x:c>
      <x:c r="E15" s="16" t="str">
        <x:v>Alta</x:v>
      </x:c>
      <x:c r="F15" s="16" t="str">
        <x:v>Muito alto</x:v>
      </x:c>
      <x:c r="G15" s="16" t="str">
        <x:v>Alto</x:v>
      </x:c>
      <x:c r="H15" s="16" t="str">
        <x:v>Médio</x:v>
      </x:c>
      <x:c r="I15" s="16" t="str">
        <x:v>Não</x:v>
      </x:c>
      <x:c r="J15" s="16" t="str">
        <x:v>Visão geral</x:v>
      </x:c>
    </x:row>
    <x:row r="16">
      <x:c r="A16" s="16" t="n">
        <x:v>11</x:v>
      </x:c>
      <x:c r="B16" s="16" t="str">
        <x:v>Dashboard patrocinador</x:v>
      </x:c>
      <x:c r="C16" s="16" t="str">
        <x:v>Marca</x:v>
      </x:c>
      <x:c r="D16" s="16" t="str">
        <x:v>Sim</x:v>
      </x:c>
      <x:c r="E16" s="16" t="str">
        <x:v>Alta</x:v>
      </x:c>
      <x:c r="F16" s="16" t="str">
        <x:v>Muito alto</x:v>
      </x:c>
      <x:c r="G16" s="16" t="str">
        <x:v>Alto</x:v>
      </x:c>
      <x:c r="H16" s="16" t="str">
        <x:v>Médio</x:v>
      </x:c>
      <x:c r="I16" s="16" t="str">
        <x:v>Não</x:v>
      </x:c>
      <x:c r="J16" s="16" t="str">
        <x:v>Objetivo × resultado</x:v>
      </x:c>
    </x:row>
    <x:row r="17">
      <x:c r="A17" s="16" t="n">
        <x:v>12</x:v>
      </x:c>
      <x:c r="B17" s="16" t="str">
        <x:v>Narrativa pós-evento / ROI</x:v>
      </x:c>
      <x:c r="C17" s="16" t="str">
        <x:v>HUB</x:v>
      </x:c>
      <x:c r="D17" s="16" t="str">
        <x:v>Sim</x:v>
      </x:c>
      <x:c r="E17" s="16" t="str">
        <x:v>Alta</x:v>
      </x:c>
      <x:c r="F17" s="16" t="str">
        <x:v>Muito alto</x:v>
      </x:c>
      <x:c r="G17" s="16" t="str">
        <x:v>Médio</x:v>
      </x:c>
      <x:c r="H17" s="16" t="str">
        <x:v>Médio</x:v>
      </x:c>
      <x:c r="I17" s="16" t="str">
        <x:v>Leve</x:v>
      </x:c>
      <x:c r="J17" s="16" t="str">
        <x:v>Case</x:v>
      </x:c>
    </x:row>
    <x:row r="18">
      <x:c r="A18" s="16" t="n">
        <x:v>13</x:v>
      </x:c>
      <x:c r="B18" s="16" t="str">
        <x:v>Ticketing próprio</x:v>
      </x:c>
      <x:c r="C18" s="16" t="str">
        <x:v>Público</x:v>
      </x:c>
      <x:c r="D18" s="16" t="str">
        <x:v>Não</x:v>
      </x:c>
      <x:c r="E18" s="16" t="str">
        <x:v>Muito alta</x:v>
      </x:c>
      <x:c r="F18" s="16" t="str">
        <x:v>Muito alto</x:v>
      </x:c>
      <x:c r="G18" s="16" t="str">
        <x:v>Alto</x:v>
      </x:c>
      <x:c r="H18" s="16" t="str">
        <x:v>Alto</x:v>
      </x:c>
      <x:c r="I18" s="16" t="str">
        <x:v>Não</x:v>
      </x:c>
      <x:c r="J18" s="16" t="str">
        <x:v>Não construir no MVP</x:v>
      </x:c>
    </x:row>
    <x:row r="19">
      <x:c r="A19" s="16" t="n">
        <x:v>14</x:v>
      </x:c>
      <x:c r="B19" s="16" t="str">
        <x:v>Credenciamento/financeiro/palco</x:v>
      </x:c>
      <x:c r="C19" s="16" t="str">
        <x:v>Operação</x:v>
      </x:c>
      <x:c r="D19" s="16" t="str">
        <x:v>Não</x:v>
      </x:c>
      <x:c r="E19" s="16" t="str">
        <x:v>Muito alta</x:v>
      </x:c>
      <x:c r="F19" s="16" t="str">
        <x:v>Muito alto</x:v>
      </x:c>
      <x:c r="G19" s="16" t="str">
        <x:v>Alto</x:v>
      </x:c>
      <x:c r="H19" s="16" t="str">
        <x:v>Alto</x:v>
      </x:c>
      <x:c r="I19" s="16" t="str">
        <x:v>Não</x:v>
      </x:c>
      <x:c r="J19" s="16" t="str">
        <x:v>Usar sistemas existentes</x:v>
      </x:c>
    </x:row>
    <x:row r="20">
      <x:c r="A20" s="16" t="n">
        <x:v>15</x:v>
      </x:c>
      <x:c r="B20" s="16" t="str">
        <x:v>Tracking avançado/CRM integrado</x:v>
      </x:c>
      <x:c r="C20" s="16" t="str">
        <x:v>Marcas</x:v>
      </x:c>
      <x:c r="D20" s="16" t="str">
        <x:v>Fase 2</x:v>
      </x:c>
      <x:c r="E20" s="16" t="str">
        <x:v>Alta</x:v>
      </x:c>
      <x:c r="F20" s="16" t="str">
        <x:v>Muito alto</x:v>
      </x:c>
      <x:c r="G20" s="16" t="str">
        <x:v>Alto</x:v>
      </x:c>
      <x:c r="H20" s="16" t="str">
        <x:v>Alto</x:v>
      </x:c>
      <x:c r="I20" s="16" t="str">
        <x:v>Sim</x:v>
      </x:c>
      <x:c r="J20" s="16" t="str">
        <x:v>Após validar</x:v>
      </x:c>
    </x:row>
  </x:sheetData>
  <x:mergeCells>
    <x:mergeCell ref="A1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22" hidden="0" customWidth="1"/>
    <x:col min="5" max="5" width="18" hidden="0" customWidth="1"/>
    <x:col min="6" max="6" width="66" hidden="0" customWidth="1"/>
  </x:cols>
  <x:sheetData>
    <x:row r="1">
      <x:c r="A1" s="3" t="str">
        <x:v>PREMISSAS DE MÃO DE OBRA — MVP HUB EVENTOS</x:v>
      </x:c>
      <x:c r="B1" s="3"/>
      <x:c r="C1" s="3"/>
      <x:c r="D1" s="3"/>
      <x:c r="E1" s="3"/>
      <x:c r="F1" s="3"/>
    </x:row>
    <x:row r="2">
      <x:c r="A2" s="3"/>
      <x:c r="B2" s="3"/>
      <x:c r="C2" s="3"/>
      <x:c r="D2" s="3"/>
      <x:c r="E2" s="3"/>
      <x:c r="F2" s="3"/>
    </x:row>
    <x:row r="3">
      <x:c r="A3" s="8" t="str">
        <x:v>A nova Head/Sócia de Eventos entra como conhecimento vertical + aquisição/conversão. O valor abaixo reconhece trabalho econômico; remuneração societária e comissão são modeladas separadamente.</x:v>
      </x:c>
      <x:c r="B3" s="8"/>
      <x:c r="C3" s="8"/>
      <x:c r="D3" s="8"/>
      <x:c r="E3" s="8"/>
      <x:c r="F3" s="8"/>
    </x:row>
    <x:row r="5">
      <x:c r="A5" s="13" t="str">
        <x:v>Papel</x:v>
      </x:c>
      <x:c r="B5" s="13" t="str">
        <x:v>Rate R$/h</x:v>
      </x:c>
      <x:c r="C5" s="13" t="str">
        <x:v>Horas</x:v>
      </x:c>
      <x:c r="D5" s="13" t="str">
        <x:v>Custo econômico R$</x:v>
      </x:c>
      <x:c r="E5" s="13" t="str">
        <x:v>Pago agora?</x:v>
      </x:c>
      <x:c r="F5" s="13" t="str">
        <x:v>Escopo</x:v>
      </x:c>
    </x:row>
    <x:row r="6">
      <x:c r="A6" t="str">
        <x:v>Sócio de tecnologia</x:v>
      </x:c>
      <x:c r="B6" s="26" t="n">
        <x:v>180</x:v>
      </x:c>
      <x:c r="C6" s="20" t="n">
        <x:v>500</x:v>
      </x:c>
      <x:c r="D6" s="28" t="n">
        <x:f>B6*C6</x:f>
        <x:v>90000</x:v>
      </x:c>
      <x:c r="E6" t="str">
        <x:v>Não</x:v>
      </x:c>
      <x:c r="F6" t="str">
        <x:v>Evento, fornecedores, profissionais, pesquisa, marcas e dashboards</x:v>
      </x:c>
    </x:row>
    <x:row r="7">
      <x:c r="A7" t="str">
        <x:v>Tamara — estratégia e produto</x:v>
      </x:c>
      <x:c r="B7" s="26" t="n">
        <x:v>220</x:v>
      </x:c>
      <x:c r="C7" s="20" t="n">
        <x:v>240</x:v>
      </x:c>
      <x:c r="D7" s="28" t="n">
        <x:f>B7*C7</x:f>
        <x:v>52800</x:v>
      </x:c>
      <x:c r="E7" t="str">
        <x:v>Não</x:v>
      </x:c>
      <x:c r="F7" t="str">
        <x:v>Tese, produto, conexão das frentes e modelo de valor</x:v>
      </x:c>
    </x:row>
    <x:row r="8">
      <x:c r="A8" t="str">
        <x:v>Paulo Fábio — operação e estratégia</x:v>
      </x:c>
      <x:c r="B8" s="26" t="n">
        <x:v>160</x:v>
      </x:c>
      <x:c r="C8" s="20" t="n">
        <x:v>210</x:v>
      </x:c>
      <x:c r="D8" s="28" t="n">
        <x:f>B8*C8</x:f>
        <x:v>33600</x:v>
      </x:c>
      <x:c r="E8" t="str">
        <x:v>Não</x:v>
      </x:c>
      <x:c r="F8" t="str">
        <x:v>Operação do piloto, conexões e planos de ação</x:v>
      </x:c>
    </x:row>
    <x:row r="9">
      <x:c r="A9" t="str">
        <x:v>Pedro — operação e comunicação</x:v>
      </x:c>
      <x:c r="B9" s="26" t="n">
        <x:v>150</x:v>
      </x:c>
      <x:c r="C9" s="20" t="n">
        <x:v>180</x:v>
      </x:c>
      <x:c r="D9" s="28" t="n">
        <x:f>B9*C9</x:f>
        <x:v>27000</x:v>
      </x:c>
      <x:c r="E9" t="str">
        <x:v>Não</x:v>
      </x:c>
      <x:c r="F9" t="str">
        <x:v>Público, comunicação, engajamento e apoio</x:v>
      </x:c>
    </x:row>
    <x:row r="10">
      <x:c r="A10" t="str">
        <x:v>Head/Sócia HUB Eventos</x:v>
      </x:c>
      <x:c r="B10" s="26" t="n">
        <x:v>220</x:v>
      </x:c>
      <x:c r="C10" s="20" t="n">
        <x:v>260</x:v>
      </x:c>
      <x:c r="D10" s="28" t="n">
        <x:f>B10*C10</x:f>
        <x:v>57200</x:v>
      </x:c>
      <x:c r="E10" t="str">
        <x:v>Não</x:v>
      </x:c>
      <x:c r="F10" t="str">
        <x:v>Produto vertical, produtora/artista, marcas, aquisição e conversão</x:v>
      </x:c>
    </x:row>
    <x:row r="11">
      <x:c r="A11" t="str">
        <x:v>UX/UI enxuto</x:v>
      </x:c>
      <x:c r="B11" s="26" t="n">
        <x:v>140</x:v>
      </x:c>
      <x:c r="C11" s="20" t="n">
        <x:v>80</x:v>
      </x:c>
      <x:c r="D11" s="28" t="n">
        <x:f>B11*C11</x:f>
        <x:v>11200</x:v>
      </x:c>
      <x:c r="E11" t="str">
        <x:v>Sim/Não</x:v>
      </x:c>
      <x:c r="F11" t="str">
        <x:v>Jornadas e dashboards</x:v>
      </x:c>
    </x:row>
    <x:row r="12">
      <x:c r="A12" t="str">
        <x:v>QA / testes</x:v>
      </x:c>
      <x:c r="B12" s="26" t="n">
        <x:v>120</x:v>
      </x:c>
      <x:c r="C12" s="20" t="n">
        <x:v>80</x:v>
      </x:c>
      <x:c r="D12" s="28" t="n">
        <x:f>B12*C12</x:f>
        <x:v>9600</x:v>
      </x:c>
      <x:c r="E12" t="str">
        <x:v>Sim/Não</x:v>
      </x:c>
      <x:c r="F12" t="str">
        <x:v>Fluxos e volume</x:v>
      </x:c>
    </x:row>
    <x:row r="13">
      <x:c r="A13" t="str">
        <x:v>Dados / BI adicional</x:v>
      </x:c>
      <x:c r="B13" s="26" t="n">
        <x:v>180</x:v>
      </x:c>
      <x:c r="C13" s="20" t="n">
        <x:v>110</x:v>
      </x:c>
      <x:c r="D13" s="28" t="n">
        <x:f>B13*C13</x:f>
        <x:v>19800</x:v>
      </x:c>
      <x:c r="E13" t="str">
        <x:v>Sim/Não</x:v>
      </x:c>
      <x:c r="F13" t="str">
        <x:v>Público, ativações e resultado</x:v>
      </x:c>
    </x:row>
    <x:row r="14">
      <x:c r="A14" t="str">
        <x:v>Segurança/LGPD</x:v>
      </x:c>
      <x:c r="B14" s="26" t="n">
        <x:v>220</x:v>
      </x:c>
      <x:c r="C14" s="20" t="n">
        <x:v>32</x:v>
      </x:c>
      <x:c r="D14" s="28" t="n">
        <x:f>B14*C14</x:f>
        <x:v>7040</x:v>
      </x:c>
      <x:c r="E14" t="str">
        <x:v>Sim</x:v>
      </x:c>
      <x:c r="F14" t="str">
        <x:v>Dados de público e participantes</x:v>
      </x:c>
    </x:row>
    <x:row r="16">
      <x:c r="A16" s="31" t="str">
        <x:v>TOTAL MÃO DE OBRA</x:v>
      </x:c>
      <x:c r="B16" s="31"/>
      <x:c r="C16" s="31"/>
      <x:c r="D16" s="34" t="n">
        <x:f>SUM(D6:D14)</x:f>
        <x:v>308240</x:v>
      </x:c>
      <x:c r="E16" s="31"/>
      <x:c r="F16" s="31"/>
    </x:row>
  </x:sheetData>
  <x:mergeCells>
    <x:mergeCell ref="A1:F2"/>
    <x:mergeCell ref="A3:F3"/>
    <x:mergeCell ref="A16:C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4" hidden="0" customWidth="1"/>
    <x:col min="4" max="4" width="16" hidden="0" customWidth="1"/>
    <x:col min="5" max="5" width="20" hidden="0" customWidth="1"/>
    <x:col min="6" max="6" width="18" hidden="0" customWidth="1"/>
    <x:col min="7" max="7" width="20" hidden="0" customWidth="1"/>
    <x:col min="8" max="8" width="28" hidden="0" customWidth="1"/>
    <x:col min="9" max="9" width="48" hidden="0" customWidth="1"/>
    <x:col min="10" max="10" width="42" hidden="0" customWidth="1"/>
  </x:cols>
  <x:sheetData>
    <x:row r="1">
      <x:c r="A1" s="3" t="str">
        <x:v>INVESTIMENTO DE TRABALHO — TIME HUB EVENTOS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8" t="str">
        <x:v>Memória econômica, não dívida automática. Qualquer reembolso, equity, vesting ou obrigação futura deve ser formalizado com acordo societário, contábil e jurídico.</x:v>
      </x:c>
      <x:c r="B3" s="8"/>
      <x:c r="C3" s="8"/>
      <x:c r="D3" s="8"/>
      <x:c r="E3" s="8"/>
      <x:c r="F3" s="8"/>
      <x:c r="G3" s="8"/>
      <x:c r="H3" s="8"/>
      <x:c r="I3" s="8"/>
      <x:c r="J3" s="8"/>
    </x:row>
    <x:row r="5">
      <x:c r="A5" s="13" t="str">
        <x:v>Pessoa</x:v>
      </x:c>
      <x:c r="B5" s="13" t="str">
        <x:v>Papel</x:v>
      </x:c>
      <x:c r="C5" s="13" t="str">
        <x:v>Horas</x:v>
      </x:c>
      <x:c r="D5" s="13" t="str">
        <x:v>Rate R$/h</x:v>
      </x:c>
      <x:c r="E5" s="13" t="str">
        <x:v>Valor econômico</x:v>
      </x:c>
      <x:c r="F5" s="13" t="str">
        <x:v>Pago agora</x:v>
      </x:c>
      <x:c r="G5" s="13" t="str">
        <x:v>Saldo diferido</x:v>
      </x:c>
      <x:c r="H5" s="13" t="str">
        <x:v>Possível mecanismo</x:v>
      </x:c>
      <x:c r="I5" s="13" t="str">
        <x:v>Escopo</x:v>
      </x:c>
      <x:c r="J5" s="13" t="str">
        <x:v>Observação</x:v>
      </x:c>
    </x:row>
    <x:row r="6">
      <x:c r="A6" t="str">
        <x:v>Tamara</x:v>
      </x:c>
      <x:c r="B6" t="str">
        <x:v>Estratégia e produto</x:v>
      </x:c>
      <x:c r="C6" s="20" t="n">
        <x:v>240</x:v>
      </x:c>
      <x:c r="D6" s="26" t="n">
        <x:v>220</x:v>
      </x:c>
      <x:c r="E6" s="28" t="n">
        <x:f>C6*D6</x:f>
        <x:v>52800</x:v>
      </x:c>
      <x:c r="F6" s="26" t="n">
        <x:v>0</x:v>
      </x:c>
      <x:c r="G6" s="28" t="n">
        <x:f>E6-F6</x:f>
        <x:v>52800</x:v>
      </x:c>
      <x:c r="H6" t="str">
        <x:v>Crédito fundador</x:v>
      </x:c>
      <x:c r="I6" t="str">
        <x:v>Produto e estratégia</x:v>
      </x:c>
      <x:c r="J6" t="str">
        <x:v>Editável</x:v>
      </x:c>
    </x:row>
    <x:row r="7">
      <x:c r="A7" t="str">
        <x:v>Paulo Fábio</x:v>
      </x:c>
      <x:c r="B7" t="str">
        <x:v>Operação e estratégia</x:v>
      </x:c>
      <x:c r="C7" s="20" t="n">
        <x:v>210</x:v>
      </x:c>
      <x:c r="D7" s="26" t="n">
        <x:v>160</x:v>
      </x:c>
      <x:c r="E7" s="28" t="n">
        <x:f>C7*D7</x:f>
        <x:v>33600</x:v>
      </x:c>
      <x:c r="F7" s="26" t="n">
        <x:v>0</x:v>
      </x:c>
      <x:c r="G7" s="28" t="n">
        <x:f>E7-F7</x:f>
        <x:v>33600</x:v>
      </x:c>
      <x:c r="H7" t="str">
        <x:v>Crédito fundador</x:v>
      </x:c>
      <x:c r="I7" t="str">
        <x:v>Operação e planos</x:v>
      </x:c>
      <x:c r="J7" t="str">
        <x:v>Editável</x:v>
      </x:c>
    </x:row>
    <x:row r="8">
      <x:c r="A8" t="str">
        <x:v>Pedro</x:v>
      </x:c>
      <x:c r="B8" t="str">
        <x:v>Operação e comunicação</x:v>
      </x:c>
      <x:c r="C8" s="20" t="n">
        <x:v>180</x:v>
      </x:c>
      <x:c r="D8" s="26" t="n">
        <x:v>150</x:v>
      </x:c>
      <x:c r="E8" s="28" t="n">
        <x:f>C8*D8</x:f>
        <x:v>27000</x:v>
      </x:c>
      <x:c r="F8" s="26" t="n">
        <x:v>0</x:v>
      </x:c>
      <x:c r="G8" s="28" t="n">
        <x:f>E8-F8</x:f>
        <x:v>27000</x:v>
      </x:c>
      <x:c r="H8" t="str">
        <x:v>Crédito fundador</x:v>
      </x:c>
      <x:c r="I8" t="str">
        <x:v>Comunicação e engajamento</x:v>
      </x:c>
      <x:c r="J8" t="str">
        <x:v>Editável</x:v>
      </x:c>
    </x:row>
    <x:row r="9">
      <x:c r="A9" t="str">
        <x:v>Sócio de tecnologia</x:v>
      </x:c>
      <x:c r="B9" t="str">
        <x:v>Tecnologia</x:v>
      </x:c>
      <x:c r="C9" s="20" t="n">
        <x:v>500</x:v>
      </x:c>
      <x:c r="D9" s="26" t="n">
        <x:v>180</x:v>
      </x:c>
      <x:c r="E9" s="28" t="n">
        <x:f>C9*D9</x:f>
        <x:v>90000</x:v>
      </x:c>
      <x:c r="F9" s="26" t="n">
        <x:v>0</x:v>
      </x:c>
      <x:c r="G9" s="28" t="n">
        <x:f>E9-F9</x:f>
        <x:v>90000</x:v>
      </x:c>
      <x:c r="H9" t="str">
        <x:v>Crédito fundador</x:v>
      </x:c>
      <x:c r="I9" t="str">
        <x:v>Construção técnica</x:v>
      </x:c>
      <x:c r="J9" t="str">
        <x:v>Editável</x:v>
      </x:c>
    </x:row>
    <x:row r="10">
      <x:c r="A10" t="str">
        <x:v>Head/Sócia HUB Eventos</x:v>
      </x:c>
      <x:c r="B10" t="str">
        <x:v>Vertical + comercial</x:v>
      </x:c>
      <x:c r="C10" s="20" t="n">
        <x:v>260</x:v>
      </x:c>
      <x:c r="D10" s="26" t="n">
        <x:v>220</x:v>
      </x:c>
      <x:c r="E10" s="28" t="n">
        <x:f>C10*D10</x:f>
        <x:v>57200</x:v>
      </x:c>
      <x:c r="F10" s="26" t="n">
        <x:v>0</x:v>
      </x:c>
      <x:c r="G10" s="28" t="n">
        <x:f>E10-F10</x:f>
        <x:v>57200</x:v>
      </x:c>
      <x:c r="H10" t="str">
        <x:v>Vesting + comissão + crédito</x:v>
      </x:c>
      <x:c r="I10" t="str">
        <x:v>Produto vertical e clientes</x:v>
      </x:c>
      <x:c r="J10" t="str">
        <x:v>Não conceder equity apenas por promessa</x:v>
      </x:c>
    </x:row>
    <x:row r="12">
      <x:c r="A12" s="31" t="str">
        <x:v>TOTAL DIFERIDO</x:v>
      </x:c>
      <x:c r="B12" s="31"/>
      <x:c r="C12" s="31"/>
      <x:c r="D12" s="31"/>
      <x:c r="E12" s="34" t="n">
        <x:f>SUM(G6:G10)</x:f>
        <x:v>260600</x:v>
      </x:c>
      <x:c r="F12" s="31"/>
      <x:c r="G12" s="31"/>
      <x:c r="H12" s="31"/>
      <x:c r="I12" s="31"/>
      <x:c r="J12" s="31"/>
    </x:row>
  </x:sheetData>
  <x:mergeCells>
    <x:mergeCell ref="A1:J2"/>
    <x:mergeCell ref="A3:J3"/>
    <x:mergeCell ref="A12:D12"/>
    <x:mergeCell ref="E12:G1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8" hidden="0" customWidth="1"/>
    <x:col min="4" max="4" width="20" hidden="0" customWidth="1"/>
    <x:col min="5" max="5" width="32" hidden="0" customWidth="1"/>
    <x:col min="6" max="6" width="34" hidden="0" customWidth="1"/>
    <x:col min="7" max="7" width="16" hidden="0" customWidth="1"/>
    <x:col min="8" max="8" width="48" hidden="0" customWidth="1"/>
  </x:cols>
  <x:sheetData>
    <x:row r="1">
      <x:c r="A1" s="3" t="str">
        <x:v>MODELO PARA HEAD / POTENCIAL SÓCIA DE HUB EVENTOS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3">
      <x:c r="A3" s="8" t="str">
        <x:v>Separar remuneração comercial de participação societária. Os percentuais abaixo são cenários de modelagem, não recomendação jurídica nem proposta fechada.</x:v>
      </x:c>
      <x:c r="B3" s="8"/>
      <x:c r="C3" s="8"/>
      <x:c r="D3" s="8"/>
      <x:c r="E3" s="8"/>
      <x:c r="F3" s="8"/>
      <x:c r="G3" s="8"/>
      <x:c r="H3" s="8"/>
    </x:row>
    <x:row r="5">
      <x:c r="A5" s="13" t="str">
        <x:v>Componente</x:v>
      </x:c>
      <x:c r="B5" s="13" t="str">
        <x:v>Premissa inicial</x:v>
      </x:c>
      <x:c r="C5" s="13" t="str">
        <x:v>Base</x:v>
      </x:c>
      <x:c r="D5" s="13" t="str">
        <x:v>Exemplo R$</x:v>
      </x:c>
      <x:c r="E5" s="13" t="str">
        <x:v>Quando gera direito</x:v>
      </x:c>
      <x:c r="F5" s="13" t="str">
        <x:v>Proteção HUB</x:v>
      </x:c>
      <x:c r="G5" s="13" t="str">
        <x:v>Editável?</x:v>
      </x:c>
      <x:c r="H5" s="13" t="str">
        <x:v>Comentário</x:v>
      </x:c>
    </x:row>
    <x:row r="6">
      <x:c r="A6" t="str">
        <x:v>Comissão de originação</x:v>
      </x:c>
      <x:c r="B6" s="22" t="n">
        <x:v>0.08</x:v>
      </x:c>
      <x:c r="C6" t="str">
        <x:v>Receita líquida do 1º contrato</x:v>
      </x:c>
      <x:c r="D6" s="28" t="n">
        <x:f>B6*D7</x:f>
        <x:v>8000</x:v>
      </x:c>
      <x:c r="E6" t="str">
        <x:v>Cliente originado e pago</x:v>
      </x:c>
      <x:c r="F6" t="str">
        <x:v>Somente receita recebida</x:v>
      </x:c>
      <x:c r="G6" t="str">
        <x:v>Sim</x:v>
      </x:c>
      <x:c r="H6" t="str">
        <x:v>Separada de equity</x:v>
      </x:c>
    </x:row>
    <x:row r="7">
      <x:c r="A7" t="str">
        <x:v>Comissão de expansão</x:v>
      </x:c>
      <x:c r="B7" s="22" t="n">
        <x:v>0.04</x:v>
      </x:c>
      <x:c r="C7" t="str">
        <x:v>Receita líquida incremental</x:v>
      </x:c>
      <x:c r="D7" s="26" t="n">
        <x:v>100000</x:v>
      </x:c>
      <x:c r="E7" t="str">
        <x:v>Upsell/renovação que ela liderar</x:v>
      </x:c>
      <x:c r="F7" t="str">
        <x:v>Somente incremento recebido</x:v>
      </x:c>
      <x:c r="G7" t="str">
        <x:v>Sim</x:v>
      </x:c>
      <x:c r="H7" t="str">
        <x:v>Pode ter prazo</x:v>
      </x:c>
    </x:row>
    <x:row r="8">
      <x:c r="A8" t="str">
        <x:v>Equity alvo ilustrativo</x:v>
      </x:c>
      <x:c r="B8" s="22" t="n">
        <x:v>0.05</x:v>
      </x:c>
      <x:c r="C8" t="str">
        <x:v>Participação na vertical/empresa</x:v>
      </x:c>
      <x:c r="D8"/>
      <x:c r="E8" t="str">
        <x:v>Vesting + cliff + marcos</x:v>
      </x:c>
      <x:c r="F8" t="str">
        <x:v>Recompra/leaver/vesting</x:v>
      </x:c>
      <x:c r="G8" t="str">
        <x:v>Sim</x:v>
      </x:c>
      <x:c r="H8" t="str">
        <x:v>Definir após dedicação e papel</x:v>
      </x:c>
    </x:row>
    <x:row r="9">
      <x:c r="A9" t="str">
        <x:v>Vesting</x:v>
      </x:c>
      <x:c r="B9" s="20" t="n">
        <x:v>4</x:v>
      </x:c>
      <x:c r="C9" t="str">
        <x:v>anos</x:v>
      </x:c>
      <x:c r="D9"/>
      <x:c r="E9" t="str">
        <x:v>Permanência e contribuição</x:v>
      </x:c>
      <x:c r="F9" t="str">
        <x:v>Aquisição progressiva</x:v>
      </x:c>
      <x:c r="G9" t="str">
        <x:v>Sim</x:v>
      </x:c>
      <x:c r="H9" t="str">
        <x:v>Exemplo</x:v>
      </x:c>
    </x:row>
    <x:row r="10">
      <x:c r="A10" t="str">
        <x:v>Cliff</x:v>
      </x:c>
      <x:c r="B10" s="20" t="n">
        <x:v>12</x:v>
      </x:c>
      <x:c r="C10" t="str">
        <x:v>meses</x:v>
      </x:c>
      <x:c r="D10"/>
      <x:c r="E10" t="str">
        <x:v>Completar período inicial</x:v>
      </x:c>
      <x:c r="F10" t="str">
        <x:v>Nada adquirido antes do cliff</x:v>
      </x:c>
      <x:c r="G10" t="str">
        <x:v>Sim</x:v>
      </x:c>
      <x:c r="H10" t="str">
        <x:v>Exemplo</x:v>
      </x:c>
    </x:row>
    <x:row r="11">
      <x:c r="A11" t="str">
        <x:v>Marco comercial</x:v>
      </x:c>
      <x:c r="B11" s="20" t="n">
        <x:v>3</x:v>
      </x:c>
      <x:c r="C11" t="str">
        <x:v>clientes pagantes</x:v>
      </x:c>
      <x:c r="D11"/>
      <x:c r="E11" t="str">
        <x:v>Conversão real</x:v>
      </x:c>
      <x:c r="F11" t="str">
        <x:v>Não contar apenas leads</x:v>
      </x:c>
      <x:c r="G11" t="str">
        <x:v>Sim</x:v>
      </x:c>
      <x:c r="H11" t="str">
        <x:v>Exemplo</x:v>
      </x:c>
    </x:row>
    <x:row r="14">
      <x:c r="A14" s="36" t="str">
        <x:v>Sugestão de lógica: comissão remunera venda; vesting remunera construção de valor de longo prazo. Não usar equity como substituto automático de comissão e não conceder participação integral no início. Formalizar propriedade intelectual, dedicação, território/clientes, good/bad leaver e governança.</x:v>
      </x:c>
      <x:c r="B14" s="36"/>
      <x:c r="C14" s="36"/>
      <x:c r="D14" s="36"/>
      <x:c r="E14" s="36"/>
      <x:c r="F14" s="36"/>
      <x:c r="G14" s="36"/>
      <x:c r="H14" s="36"/>
    </x:row>
    <x:row r="15">
      <x:c r="A15" s="36"/>
      <x:c r="B15" s="36"/>
      <x:c r="C15" s="36"/>
      <x:c r="D15" s="36"/>
      <x:c r="E15" s="36"/>
      <x:c r="F15" s="36"/>
      <x:c r="G15" s="36"/>
      <x:c r="H15" s="36"/>
    </x:row>
  </x:sheetData>
  <x:mergeCells>
    <x:mergeCell ref="A1:H2"/>
    <x:mergeCell ref="A3:H3"/>
    <x:mergeCell ref="A14:H1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4" hidden="0" customWidth="1"/>
    <x:col min="4" max="4" width="22" hidden="0" customWidth="1"/>
    <x:col min="5" max="5" width="12" hidden="0" customWidth="1"/>
    <x:col min="6" max="6" width="12" hidden="0" customWidth="1"/>
    <x:col min="7" max="7" width="22" hidden="0" customWidth="1"/>
    <x:col min="8" max="8" width="50" hidden="0" customWidth="1"/>
  </x:cols>
  <x:sheetData>
    <x:row r="1">
      <x:c r="A1" s="3" t="str">
        <x:v>HUB EVENTOS — CUSTO ECONÔMICO × CAIXA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5">
      <x:c r="A5" s="13" t="str">
        <x:v>Categoria</x:v>
      </x:c>
      <x:c r="B5" s="13" t="str">
        <x:v>Custo econômico R$</x:v>
      </x:c>
      <x:c r="C5" s="13" t="str">
        <x:v>Caixa pré-aporte R$</x:v>
      </x:c>
      <x:c r="D5" s="13" t="str">
        <x:v>Diferido R$</x:v>
      </x:c>
      <x:c r="E5" s="13" t="str">
        <x:v>Mensal?</x:v>
      </x:c>
      <x:c r="F5" s="13" t="str">
        <x:v>Meses</x:v>
      </x:c>
      <x:c r="G5" s="13" t="str">
        <x:v>Total período R$</x:v>
      </x:c>
      <x:c r="H5" s="13" t="str">
        <x:v>Observação</x:v>
      </x:c>
    </x:row>
    <x:row r="6">
      <x:c r="A6" t="str">
        <x:v>Sócio tecnologia</x:v>
      </x:c>
      <x:c r="B6" s="28" t="n">
        <x:f>'04_Premissas_Mao_de_Obra'!D6</x:f>
        <x:v>90000</x:v>
      </x:c>
      <x:c r="C6" s="28" t="n">
        <x:v>0</x:v>
      </x:c>
      <x:c r="D6" s="28" t="n">
        <x:f>B6-C6</x:f>
        <x:v>90000</x:v>
      </x:c>
      <x:c r="E6" t="str">
        <x:v>Não</x:v>
      </x:c>
      <x:c r="F6" t="n">
        <x:v>1</x:v>
      </x:c>
      <x:c r="G6" s="28" t="n">
        <x:f>B6</x:f>
        <x:v>90000</x:v>
      </x:c>
      <x:c r="H6" t="str">
        <x:v>Tecnologia</x:v>
      </x:c>
    </x:row>
    <x:row r="7">
      <x:c r="A7" t="str">
        <x:v>Tamara</x:v>
      </x:c>
      <x:c r="B7" s="28" t="n">
        <x:f>'04_Premissas_Mao_de_Obra'!D7</x:f>
        <x:v>52800</x:v>
      </x:c>
      <x:c r="C7" s="28" t="n">
        <x:v>0</x:v>
      </x:c>
      <x:c r="D7" s="28" t="n">
        <x:f>B7-C7</x:f>
        <x:v>52800</x:v>
      </x:c>
      <x:c r="E7" t="str">
        <x:v>Não</x:v>
      </x:c>
      <x:c r="F7" t="n">
        <x:v>1</x:v>
      </x:c>
      <x:c r="G7" s="28" t="n">
        <x:f>B7</x:f>
        <x:v>52800</x:v>
      </x:c>
      <x:c r="H7" t="str">
        <x:v>Estratégia/produto</x:v>
      </x:c>
    </x:row>
    <x:row r="8">
      <x:c r="A8" t="str">
        <x:v>Paulo Fábio</x:v>
      </x:c>
      <x:c r="B8" s="28" t="n">
        <x:f>'04_Premissas_Mao_de_Obra'!D8</x:f>
        <x:v>33600</x:v>
      </x:c>
      <x:c r="C8" s="28" t="n">
        <x:v>0</x:v>
      </x:c>
      <x:c r="D8" s="28" t="n">
        <x:f>B8-C8</x:f>
        <x:v>33600</x:v>
      </x:c>
      <x:c r="E8" t="str">
        <x:v>Não</x:v>
      </x:c>
      <x:c r="F8" t="n">
        <x:v>1</x:v>
      </x:c>
      <x:c r="G8" s="28" t="n">
        <x:f>B8</x:f>
        <x:v>33600</x:v>
      </x:c>
      <x:c r="H8" t="str">
        <x:v>Operação/estratégia</x:v>
      </x:c>
    </x:row>
    <x:row r="9">
      <x:c r="A9" t="str">
        <x:v>Pedro</x:v>
      </x:c>
      <x:c r="B9" s="28" t="n">
        <x:f>'04_Premissas_Mao_de_Obra'!D9</x:f>
        <x:v>27000</x:v>
      </x:c>
      <x:c r="C9" s="28" t="n">
        <x:v>0</x:v>
      </x:c>
      <x:c r="D9" s="28" t="n">
        <x:f>B9-C9</x:f>
        <x:v>27000</x:v>
      </x:c>
      <x:c r="E9" t="str">
        <x:v>Não</x:v>
      </x:c>
      <x:c r="F9" t="n">
        <x:v>1</x:v>
      </x:c>
      <x:c r="G9" s="28" t="n">
        <x:f>B9</x:f>
        <x:v>27000</x:v>
      </x:c>
      <x:c r="H9" t="str">
        <x:v>Operação/comunicação</x:v>
      </x:c>
    </x:row>
    <x:row r="10">
      <x:c r="A10" t="str">
        <x:v>Head/Sócia Eventos</x:v>
      </x:c>
      <x:c r="B10" s="28" t="n">
        <x:f>'04_Premissas_Mao_de_Obra'!D10</x:f>
        <x:v>57200</x:v>
      </x:c>
      <x:c r="C10" s="28" t="n">
        <x:v>0</x:v>
      </x:c>
      <x:c r="D10" s="28" t="n">
        <x:f>B10-C10</x:f>
        <x:v>57200</x:v>
      </x:c>
      <x:c r="E10" t="str">
        <x:v>Não</x:v>
      </x:c>
      <x:c r="F10" t="n">
        <x:v>1</x:v>
      </x:c>
      <x:c r="G10" s="28" t="n">
        <x:f>B10</x:f>
        <x:v>57200</x:v>
      </x:c>
      <x:c r="H10" t="str">
        <x:v>Vertical/comercial</x:v>
      </x:c>
    </x:row>
    <x:row r="11">
      <x:c r="A11" t="str">
        <x:v>UX/UI</x:v>
      </x:c>
      <x:c r="B11" s="28" t="n">
        <x:f>'04_Premissas_Mao_de_Obra'!D11</x:f>
        <x:v>11200</x:v>
      </x:c>
      <x:c r="C11" s="28" t="n">
        <x:v>0</x:v>
      </x:c>
      <x:c r="D11" s="28" t="n">
        <x:f>B11-C11</x:f>
        <x:v>11200</x:v>
      </x:c>
      <x:c r="E11" t="str">
        <x:v>Não</x:v>
      </x:c>
      <x:c r="F11" t="n">
        <x:v>1</x:v>
      </x:c>
      <x:c r="G11" s="28" t="n">
        <x:f>B11</x:f>
        <x:v>11200</x:v>
      </x:c>
      <x:c r="H11" t="str">
        <x:v>Enxuto</x:v>
      </x:c>
    </x:row>
    <x:row r="12">
      <x:c r="A12" t="str">
        <x:v>QA</x:v>
      </x:c>
      <x:c r="B12" s="28" t="n">
        <x:f>'04_Premissas_Mao_de_Obra'!D12</x:f>
        <x:v>9600</x:v>
      </x:c>
      <x:c r="C12" s="28" t="n">
        <x:v>0</x:v>
      </x:c>
      <x:c r="D12" s="28" t="n">
        <x:f>B12-C12</x:f>
        <x:v>9600</x:v>
      </x:c>
      <x:c r="E12" t="str">
        <x:v>Não</x:v>
      </x:c>
      <x:c r="F12" t="n">
        <x:v>1</x:v>
      </x:c>
      <x:c r="G12" s="28" t="n">
        <x:f>B12</x:f>
        <x:v>9600</x:v>
      </x:c>
      <x:c r="H12" t="str">
        <x:v>Testes</x:v>
      </x:c>
    </x:row>
    <x:row r="13">
      <x:c r="A13" t="str">
        <x:v>Dados/BI</x:v>
      </x:c>
      <x:c r="B13" s="28" t="n">
        <x:f>'04_Premissas_Mao_de_Obra'!D13</x:f>
        <x:v>19800</x:v>
      </x:c>
      <x:c r="C13" s="28" t="n">
        <x:v>0</x:v>
      </x:c>
      <x:c r="D13" s="28" t="n">
        <x:f>B13-C13</x:f>
        <x:v>19800</x:v>
      </x:c>
      <x:c r="E13" t="str">
        <x:v>Não</x:v>
      </x:c>
      <x:c r="F13" t="n">
        <x:v>1</x:v>
      </x:c>
      <x:c r="G13" s="28" t="n">
        <x:f>B13</x:f>
        <x:v>19800</x:v>
      </x:c>
      <x:c r="H13" t="str">
        <x:v>Impacto/ativações</x:v>
      </x:c>
    </x:row>
    <x:row r="14">
      <x:c r="A14" t="str">
        <x:v>Segurança/LGPD</x:v>
      </x:c>
      <x:c r="B14" s="28" t="n">
        <x:f>'04_Premissas_Mao_de_Obra'!D14</x:f>
        <x:v>7040</x:v>
      </x:c>
      <x:c r="C14" s="28" t="n">
        <x:f>B14</x:f>
        <x:v>7040</x:v>
      </x:c>
      <x:c r="D14" s="28" t="n">
        <x:v>0</x:v>
      </x:c>
      <x:c r="E14" t="str">
        <x:v>Não</x:v>
      </x:c>
      <x:c r="F14" t="n">
        <x:v>1</x:v>
      </x:c>
      <x:c r="G14" s="28" t="n">
        <x:f>B14</x:f>
        <x:v>7040</x:v>
      </x:c>
      <x:c r="H14" t="str">
        <x:v>Revisão</x:v>
      </x:c>
    </x:row>
    <x:row r="15">
      <x:c r="A15" t="str">
        <x:v>Cloud / banco / storage</x:v>
      </x:c>
      <x:c r="B15" s="26" t="n">
        <x:v>2400</x:v>
      </x:c>
      <x:c r="C15" s="26" t="n">
        <x:v>2400</x:v>
      </x:c>
      <x:c r="D15" s="28" t="n">
        <x:v>0</x:v>
      </x:c>
      <x:c r="E15" t="str">
        <x:v>Sim</x:v>
      </x:c>
      <x:c r="F15" t="n">
        <x:v>6</x:v>
      </x:c>
      <x:c r="G15" s="28" t="n">
        <x:f>B15*F15</x:f>
        <x:v>14400</x:v>
      </x:c>
      <x:c r="H15" t="str">
        <x:v>1.000 participantes</x:v>
      </x:c>
    </x:row>
    <x:row r="16">
      <x:c r="A16" t="str">
        <x:v>Pesquisa/formulários/comunicação</x:v>
      </x:c>
      <x:c r="B16" s="26" t="n">
        <x:v>1000</x:v>
      </x:c>
      <x:c r="C16" s="26" t="n">
        <x:v>1000</x:v>
      </x:c>
      <x:c r="D16" s="28" t="n">
        <x:v>0</x:v>
      </x:c>
      <x:c r="E16" t="str">
        <x:v>Sim</x:v>
      </x:c>
      <x:c r="F16" t="n">
        <x:v>6</x:v>
      </x:c>
      <x:c r="G16" s="28" t="n">
        <x:f>B16*F16</x:f>
        <x:v>6000</x:v>
      </x:c>
      <x:c r="H16" t="str">
        <x:v>Coleta e contato</x:v>
      </x:c>
    </x:row>
    <x:row r="17">
      <x:c r="A17" t="str">
        <x:v>Ferramentas / monitoramento</x:v>
      </x:c>
      <x:c r="B17" s="26" t="n">
        <x:v>800</x:v>
      </x:c>
      <x:c r="C17" s="26" t="n">
        <x:v>800</x:v>
      </x:c>
      <x:c r="D17" s="28" t="n">
        <x:v>0</x:v>
      </x:c>
      <x:c r="E17" t="str">
        <x:v>Sim</x:v>
      </x:c>
      <x:c r="F17" t="n">
        <x:v>6</x:v>
      </x:c>
      <x:c r="G17" s="28" t="n">
        <x:f>B17*F17</x:f>
        <x:v>4800</x:v>
      </x:c>
      <x:c r="H17" t="str">
        <x:v>Analytics</x:v>
      </x:c>
    </x:row>
    <x:row r="18">
      <x:c r="A18" t="str">
        <x:v>Reserva APIs / matching</x:v>
      </x:c>
      <x:c r="B18" s="26" t="n">
        <x:v>1400</x:v>
      </x:c>
      <x:c r="C18" s="26" t="n">
        <x:v>1400</x:v>
      </x:c>
      <x:c r="D18" s="28" t="n">
        <x:v>0</x:v>
      </x:c>
      <x:c r="E18" t="str">
        <x:v>Sim</x:v>
      </x:c>
      <x:c r="F18" t="n">
        <x:v>6</x:v>
      </x:c>
      <x:c r="G18" s="28" t="n">
        <x:f>B18*F18</x:f>
        <x:v>8400</x:v>
      </x:c>
      <x:c r="H18" t="str">
        <x:v>Regras primeiro</x:v>
      </x:c>
    </x:row>
    <x:row r="20">
      <x:c r="A20" s="31" t="str">
        <x:v>CUSTO ECONÔMICO MVP — 6 MESES</x:v>
      </x:c>
      <x:c r="B20" s="31"/>
      <x:c r="C20" s="31"/>
      <x:c r="D20" s="31"/>
      <x:c r="E20" s="31"/>
      <x:c r="F20" s="31"/>
      <x:c r="G20" s="31" t="n">
        <x:f>SUM(G6:G18)</x:f>
        <x:v>341840</x:v>
      </x:c>
      <x:c r="H20" s="31"/>
    </x:row>
    <x:row r="21">
      <x:c r="A21" s="31" t="str">
        <x:v>CAIXA PRÉ-APORTE</x:v>
      </x:c>
      <x:c r="B21" s="31"/>
      <x:c r="C21" s="34" t="n">
        <x:f>SUM(C6:C14)+SUMPRODUCT(C15:C18,F15:F18)</x:f>
        <x:v>40640</x:v>
      </x:c>
      <x:c r="D21" s="34" t="str">
        <x:v>DIFERIDO / TIME</x:v>
      </x:c>
      <x:c r="E21" s="34"/>
      <x:c r="F21" s="34"/>
      <x:c r="G21" s="34" t="n">
        <x:f>SUM(D6:D18)</x:f>
        <x:v>301200</x:v>
      </x:c>
      <x:c r="H21" s="31"/>
    </x:row>
  </x:sheetData>
  <x:mergeCells>
    <x:mergeCell ref="A1:H2"/>
    <x:mergeCell ref="A20:F20"/>
    <x:mergeCell ref="A21:B21"/>
    <x:mergeCell ref="D21:F2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32" hidden="0" customWidth="1"/>
    <x:col min="4" max="4" width="36" hidden="0" customWidth="1"/>
    <x:col min="5" max="5" width="36" hidden="0" customWidth="1"/>
    <x:col min="6" max="6" width="40" hidden="0" customWidth="1"/>
    <x:col min="7" max="7" width="30" hidden="0" customWidth="1"/>
    <x:col min="8" max="8" width="34" hidden="0" customWidth="1"/>
  </x:cols>
  <x:sheetData>
    <x:row r="1">
      <x:c r="A1" s="3" t="str">
        <x:v>PLANO DE CASE — 1 GRANDE EVENTO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5">
      <x:c r="A5" s="13" t="str">
        <x:v>Fase</x:v>
      </x:c>
      <x:c r="B5" s="13" t="str">
        <x:v>Momento</x:v>
      </x:c>
      <x:c r="C5" s="13" t="str">
        <x:v>Objetivo</x:v>
      </x:c>
      <x:c r="D5" s="13" t="str">
        <x:v>Produto</x:v>
      </x:c>
      <x:c r="E5" s="13" t="str">
        <x:v>Dados</x:v>
      </x:c>
      <x:c r="F5" s="13" t="str">
        <x:v>Operação</x:v>
      </x:c>
      <x:c r="G5" s="13" t="str">
        <x:v>Prova</x:v>
      </x:c>
      <x:c r="H5" s="13" t="str">
        <x:v>Evolução</x:v>
      </x:c>
    </x:row>
    <x:row r="6">
      <x:c r="A6" s="16" t="str">
        <x:v>0. Desenho</x:v>
      </x:c>
      <x:c r="B6" s="16" t="str">
        <x:v>Pré-evento</x:v>
      </x:c>
      <x:c r="C6" s="16" t="str">
        <x:v>Definir metas e baseline</x:v>
      </x:c>
      <x:c r="D6" s="16" t="str">
        <x:v>Evento + marcas + demandas</x:v>
      </x:c>
      <x:c r="E6" s="16" t="str">
        <x:v>Objetivos e bases</x:v>
      </x:c>
      <x:c r="F6" s="16" t="str">
        <x:v>Head + HUB</x:v>
      </x:c>
      <x:c r="G6" s="16" t="str">
        <x:v>Plano de medição</x:v>
      </x:c>
      <x:c r="H6" s="16" t="str">
        <x:v>Configurar</x:v>
      </x:c>
    </x:row>
    <x:row r="7">
      <x:c r="A7" s="16" t="str">
        <x:v>1. Conexões</x:v>
      </x:c>
      <x:c r="B7" s="16" t="str">
        <x:v>Pré-evento</x:v>
      </x:c>
      <x:c r="C7" s="16" t="str">
        <x:v>Fornecedores e trabalhadores</x:v>
      </x:c>
      <x:c r="D7" s="16" t="str">
        <x:v>Matching + status</x:v>
      </x:c>
      <x:c r="E7" s="16" t="str">
        <x:v>Contratações e R$</x:v>
      </x:c>
      <x:c r="F7" s="16" t="str">
        <x:v>Curadoria</x:v>
      </x:c>
      <x:c r="G7" s="16" t="str">
        <x:v>Valor operacional</x:v>
      </x:c>
      <x:c r="H7" s="16" t="str">
        <x:v>Executar</x:v>
      </x:c>
    </x:row>
    <x:row r="8">
      <x:c r="A8" s="16" t="str">
        <x:v>2. Experiência</x:v>
      </x:c>
      <x:c r="B8" s="16" t="str">
        <x:v>Durante</x:v>
      </x:c>
      <x:c r="C8" s="16" t="str">
        <x:v>Capturar percepção e ativações</x:v>
      </x:c>
      <x:c r="D8" s="16" t="str">
        <x:v>Pesquisa + métricas</x:v>
      </x:c>
      <x:c r="E8" s="16" t="str">
        <x:v>Público/ativação</x:v>
      </x:c>
      <x:c r="F8" s="16" t="str">
        <x:v>Coleta</x:v>
      </x:c>
      <x:c r="G8" s="16" t="str">
        <x:v>Qualidade/engajamento</x:v>
      </x:c>
      <x:c r="H8" s="16" t="str">
        <x:v>Consolidar</x:v>
      </x:c>
    </x:row>
    <x:row r="9">
      <x:c r="A9" s="16" t="str">
        <x:v>3. Retorno</x:v>
      </x:c>
      <x:c r="B9" s="16" t="str">
        <x:v>Pós-evento</x:v>
      </x:c>
      <x:c r="C9" s="16" t="str">
        <x:v>Provar valor</x:v>
      </x:c>
      <x:c r="D9" s="16" t="str">
        <x:v>Dashboards + narrativa</x:v>
      </x:c>
      <x:c r="E9" s="16" t="str">
        <x:v>Todos os indicadores</x:v>
      </x:c>
      <x:c r="F9" s="16" t="str">
        <x:v>Análise HUB</x:v>
      </x:c>
      <x:c r="G9" s="16" t="str">
        <x:v>Case para produtora/marcas</x:v>
      </x:c>
      <x:c r="H9" s="16" t="str">
        <x:v>Vender próximo</x:v>
      </x:c>
    </x:row>
    <x:row r="12">
      <x:c r="A12" s="13" t="str">
        <x:v>KPIs PARA O PRIMEIRO CASE</x:v>
      </x:c>
      <x:c r="B12" s="13"/>
      <x:c r="C12" s="13"/>
      <x:c r="D12" s="13"/>
      <x:c r="E12" s="13"/>
      <x:c r="F12" s="13"/>
      <x:c r="G12" s="13"/>
      <x:c r="H12" s="13"/>
    </x:row>
    <x:row r="13">
      <x:c r="A13" t="str">
        <x:v>1</x:v>
      </x:c>
      <x:c r="B13" t="str">
        <x:v>R$ movimentado com fornecedores</x:v>
      </x:c>
    </x:row>
    <x:row r="14">
      <x:c r="A14" t="str">
        <x:v>2</x:v>
      </x:c>
      <x:c r="B14" t="str">
        <x:v>Profissionais conectados/contratados</x:v>
      </x:c>
    </x:row>
    <x:row r="15">
      <x:c r="A15" t="str">
        <x:v>3</x:v>
      </x:c>
      <x:c r="B15" t="str">
        <x:v>Tempo para preencher demandas</x:v>
      </x:c>
    </x:row>
    <x:row r="16">
      <x:c r="A16" t="str">
        <x:v>4</x:v>
      </x:c>
      <x:c r="B16" t="str">
        <x:v>Perfil e experiência do público respondente</x:v>
      </x:c>
    </x:row>
    <x:row r="17">
      <x:c r="A17" t="str">
        <x:v>5</x:v>
      </x:c>
      <x:c r="B17" t="str">
        <x:v>Participação/interação em ativações</x:v>
      </x:c>
    </x:row>
    <x:row r="18">
      <x:c r="A18" t="str">
        <x:v>6</x:v>
      </x:c>
      <x:c r="B18" t="str">
        <x:v>Leads consentidos quando aplicável</x:v>
      </x:c>
    </x:row>
    <x:row r="19">
      <x:c r="A19" t="str">
        <x:v>7</x:v>
      </x:c>
      <x:c r="B19" t="str">
        <x:v>Percepção e intenção associada às marcas</x:v>
      </x:c>
    </x:row>
    <x:row r="20">
      <x:c r="A20" t="str">
        <x:v>8</x:v>
      </x:c>
      <x:c r="B20" t="str">
        <x:v>Segurança, acessibilidade e experiência como variáveis de qualidade</x:v>
      </x:c>
    </x:row>
    <x:row r="21">
      <x:c r="A21" t="str">
        <x:v>9</x:v>
      </x:c>
      <x:c r="B21" t="str">
        <x:v>Resultado por patrocinador versus objetivo declarado</x:v>
      </x:c>
    </x:row>
    <x:row r="22">
      <x:c r="A22" t="str">
        <x:v>10</x:v>
      </x:c>
      <x:c r="B22" t="str">
        <x:v>Intenção de renovação das marcas e da produtora/artista</x:v>
      </x:c>
    </x:row>
  </x:sheetData>
  <x:mergeCells>
    <x:mergeCell ref="A1:H2"/>
    <x:mergeCell ref="A12:H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6" hidden="0" customWidth="1"/>
    <x:col min="5" max="5" width="26" hidden="0" customWidth="1"/>
    <x:col min="6" max="6" width="24" hidden="0" customWidth="1"/>
  </x:cols>
  <x:sheetData>
    <x:row r="1">
      <x:c r="A1" s="3" t="str">
        <x:v>HUB EVENTOS — MVP | VISÃO ECONÔMICA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8" t="str">
        <x:v>Eventos funciona como demonstração integrada da HUB: fornecedores + trabalhadores + público + marcas + Estratégia &amp; Dados em uma única jornada, com pessoas como lente e retorno de negócio como resultado.</x:v>
      </x:c>
      <x:c r="B3" s="8"/>
      <x:c r="C3" s="8"/>
      <x:c r="D3" s="8"/>
      <x:c r="E3" s="8"/>
      <x:c r="F3" s="8"/>
      <x:c r="G3" s="8"/>
      <x:c r="H3" s="8"/>
      <x:c r="I3" s="8"/>
      <x:c r="J3" s="8"/>
    </x:row>
    <x:row r="5">
      <x:c r="A5" s="39" t="str">
        <x:v>CUSTO ECONÔMICO MVP</x:v>
      </x:c>
      <x:c r="B5" s="39"/>
      <x:c r="D5" s="39" t="str">
        <x:v>CAIXA PRÉ-APORTE</x:v>
      </x:c>
      <x:c r="E5" s="39"/>
      <x:c r="G5" s="39" t="str">
        <x:v>DIFERIDO / TIME</x:v>
      </x:c>
      <x:c r="H5" s="39"/>
      <x:c r="I5" s="39" t="str">
        <x:v>PARTICIPANTES</x:v>
      </x:c>
      <x:c r="J5" s="39"/>
    </x:row>
    <x:row r="6">
      <x:c r="A6" s="44" t="n">
        <x:f>'07_Custo_MVP_e_Caixa'!G20</x:f>
        <x:v>341840</x:v>
      </x:c>
      <x:c r="B6" s="39"/>
      <x:c r="D6" s="44" t="n">
        <x:f>'07_Custo_MVP_e_Caixa'!C21</x:f>
        <x:v>40640</x:v>
      </x:c>
      <x:c r="E6" s="39"/>
      <x:c r="G6" s="44" t="n">
        <x:f>'07_Custo_MVP_e_Caixa'!G21</x:f>
        <x:v>301200</x:v>
      </x:c>
      <x:c r="H6" s="39"/>
      <x:c r="I6" s="42" t="n">
        <x:f>'02_Volume_Evento'!B6</x:f>
        <x:v>1000</x:v>
      </x:c>
      <x:c r="J6" s="39"/>
    </x:row>
    <x:row r="7">
      <x:c r="A7" s="39"/>
      <x:c r="B7" s="39"/>
      <x:c r="D7" s="39"/>
      <x:c r="E7" s="39"/>
      <x:c r="G7" s="39"/>
      <x:c r="H7" s="39"/>
      <x:c r="I7" s="39"/>
      <x:c r="J7" s="39"/>
    </x:row>
    <x:row r="10">
      <x:c r="A10" s="13" t="str">
        <x:v>Piloto</x:v>
      </x:c>
      <x:c r="B10" s="13" t="str">
        <x:v>Público</x:v>
      </x:c>
      <x:c r="C10" s="13" t="str">
        <x:v>Marcas</x:v>
      </x:c>
      <x:c r="D10" s="13" t="str">
        <x:v>Matches fornecedores</x:v>
      </x:c>
      <x:c r="E10" s="13" t="str">
        <x:v>Matches profissionais</x:v>
      </x:c>
      <x:c r="F10" s="13" t="str">
        <x:v>Respostas pesquisa</x:v>
      </x:c>
    </x:row>
    <x:row r="11">
      <x:c r="A11" t="str">
        <x:v>1 grande evento</x:v>
      </x:c>
      <x:c r="B11" t="n">
        <x:f>'02_Volume_Evento'!B6</x:f>
        <x:v>1000</x:v>
      </x:c>
      <x:c r="C11" t="n">
        <x:f>'02_Volume_Evento'!B7</x:f>
        <x:v>10</x:v>
      </x:c>
      <x:c r="D11" t="n">
        <x:f>'02_Volume_Evento'!H6</x:f>
        <x:v>80</x:v>
      </x:c>
      <x:c r="E11" t="n">
        <x:f>'02_Volume_Evento'!H7</x:f>
        <x:v>150</x:v>
      </x:c>
      <x:c r="F11" t="n">
        <x:f>'02_Volume_Evento'!H8</x:f>
        <x:v>350</x:v>
      </x:c>
    </x:row>
    <x:row r="13">
      <x:c r="A13" s="8" t="str">
        <x:v>Tese: a produtora deixa de vender apenas audiência e entrega inteligência sobre pessoas e evidência de valor para patrocinadores. A HUB não precisa controlar todo o evento; precisa conectar os dados certos e transformar relações em resultado mensurável.</x:v>
      </x:c>
      <x:c r="B13" s="8"/>
      <x:c r="C13" s="8"/>
      <x:c r="D13" s="8"/>
      <x:c r="E13" s="8"/>
      <x:c r="F13" s="8"/>
    </x:row>
    <x:row r="14">
      <x:c r="A14" s="8"/>
      <x:c r="B14" s="8"/>
      <x:c r="C14" s="8"/>
      <x:c r="D14" s="8"/>
      <x:c r="E14" s="8"/>
      <x:c r="F14" s="8"/>
    </x:row>
  </x:sheetData>
  <x:mergeCells>
    <x:mergeCell ref="A1:J2"/>
    <x:mergeCell ref="A3:J3"/>
    <x:mergeCell ref="A5:B5"/>
    <x:mergeCell ref="A6:B7"/>
    <x:mergeCell ref="D5:E5"/>
    <x:mergeCell ref="D6:E7"/>
    <x:mergeCell ref="G5:H5"/>
    <x:mergeCell ref="G6:H7"/>
    <x:mergeCell ref="I5:J5"/>
    <x:mergeCell ref="I6:J7"/>
    <x:mergeCell ref="A13:F14"/>
  </x:mergeCells>
  <x:pageMargins left="0.7" right="0.7" top="0.75" bottom="0.75" header="0.3" footer="0.3"/>
</x:worksheet>
</file>