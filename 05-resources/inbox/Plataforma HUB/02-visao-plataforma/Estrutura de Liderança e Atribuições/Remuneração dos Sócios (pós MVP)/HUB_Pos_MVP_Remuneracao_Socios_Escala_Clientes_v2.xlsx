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054d34bf1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remissas" sheetId="1" r:id="R4a37d6775e634ff8"/>
    <x:sheet xmlns:r="http://schemas.openxmlformats.org/officeDocument/2006/relationships" name="02_Faixas_Clientes" sheetId="2" r:id="Rd432bb8aed7440f3"/>
    <x:sheet xmlns:r="http://schemas.openxmlformats.org/officeDocument/2006/relationships" name="03_Socios_e_Heads" sheetId="3" r:id="Rdcc39418d04746d5"/>
    <x:sheet xmlns:r="http://schemas.openxmlformats.org/officeDocument/2006/relationships" name="04_Cenario_36m" sheetId="4" r:id="Rd925a183a3414f47"/>
    <x:sheet xmlns:r="http://schemas.openxmlformats.org/officeDocument/2006/relationships" name="05_Governanca" sheetId="5" r:id="R3358ddc4827c40a8"/>
    <x:sheet xmlns:r="http://schemas.openxmlformats.org/officeDocument/2006/relationships" name="06_Resumo_Executivo" sheetId="6" r:id="R155c80c0a0004bd4"/>
    <x:sheet xmlns:r="http://schemas.openxmlformats.org/officeDocument/2006/relationships" name="07_Custos_Absorvidos_MVPs" sheetId="7" r:id="Rb80b950f11fb44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 #,##0;[Red](R$ #,##0);-"/>
    <x:numFmt numFmtId="201" formatCode="0.0%;[Red](0.0%);-"/>
    <x:numFmt numFmtId="202" formatCode="#,##0;[Red](#,##0);-"/>
    <x:numFmt numFmtId="203" formatCode="$ #,##0;[Red]($ #,##0);-"/>
    <x:numFmt numFmtId="204" formatCode="0"/>
    <x:numFmt numFmtId="205" formatCode="mmm/yy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B10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F5F7FA"/>
      </x:patternFill>
    </x:fill>
    <x:fill>
      <x:patternFill patternType="solid">
        <x:fgColor rgb="FF773FC3"/>
      </x:patternFill>
    </x:fill>
    <x:fill>
      <x:patternFill patternType="solid">
        <x:fgColor rgb="FFFFF2CC"/>
      </x:patternFill>
    </x:fill>
    <x:fill>
      <x:patternFill patternType="solid">
        <x:fgColor rgb="FF0B1020"/>
      </x:patternFill>
    </x:fill>
    <x:fill>
      <x:patternFill patternType="solid">
        <x:fgColor rgb="FFF5F7FA"/>
      </x:patternFill>
    </x:fill>
    <x:fill>
      <x:patternFill patternType="solid">
        <x:fgColor rgb="FFFFF2CC"/>
      </x:patternFill>
    </x:fill>
    <x:fill>
      <x:patternFill patternType="solid">
        <x:fgColor rgb="FF773FC3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4" fillId="0" borderId="0" xfId="0" applyNumberFormat="1" applyFont="1" applyFill="1" applyBorder="1"/>
    <x:xf numFmtId="200" fontId="5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/>
    <x:xf numFmtId="201" fontId="0" fillId="8" borderId="0" xfId="0" applyNumberFormat="1" applyFont="1" applyFill="1" applyBorder="1"/>
    <x:xf numFmtId="201" fontId="4" fillId="8" borderId="0" xfId="0" applyNumberFormat="1" applyFont="1" applyFill="1" applyBorder="1"/>
    <x:xf numFmtId="200" fontId="0" fillId="8" borderId="0" xfId="0" applyNumberFormat="1" applyFont="1" applyFill="1" applyBorder="1"/>
    <x:xf numFmtId="204" fontId="0" fillId="8" borderId="0" xfId="0" applyNumberFormat="1" applyFont="1" applyFill="1" applyBorder="1"/>
    <x:xf numFmtId="200" fontId="4" fillId="8" borderId="0" xfId="0" applyNumberFormat="1" applyFont="1" applyFill="1" applyBorder="1"/>
    <x:xf numFmtId="204" fontId="4" fillId="8" borderId="0" xfId="0" applyNumberFormat="1" applyFont="1" applyFill="1" applyBorder="1"/>
    <x:xf numFmtId="201" fontId="4" fillId="8" borderId="0" xfId="0" applyNumberFormat="1" applyFont="1" applyFill="1" applyBorder="1" applyAlignment="1">
      <x:alignment wrapText="1"/>
    </x:xf>
    <x:xf numFmtId="200" fontId="4" fillId="8" borderId="0" xfId="0" applyNumberFormat="1" applyFont="1" applyFill="1" applyBorder="1" applyAlignment="1">
      <x:alignment wrapText="1"/>
    </x:xf>
    <x:xf numFmtId="204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1413382304eb2" /><Relationship Type="http://schemas.openxmlformats.org/officeDocument/2006/relationships/theme" Target="/xl/theme/theme1.xml" Id="R41ad85f4f1774a77" /><Relationship Type="http://schemas.openxmlformats.org/officeDocument/2006/relationships/sharedStrings" Target="/xl/sharedStrings.xml" Id="Rdef243806c284961" /><Relationship Type="http://schemas.openxmlformats.org/officeDocument/2006/relationships/worksheet" Target="/xl/worksheets/sheet1.xml" Id="R4a37d6775e634ff8" /><Relationship Type="http://schemas.openxmlformats.org/officeDocument/2006/relationships/worksheet" Target="/xl/worksheets/sheet2.xml" Id="Rd432bb8aed7440f3" /><Relationship Type="http://schemas.openxmlformats.org/officeDocument/2006/relationships/worksheet" Target="/xl/worksheets/sheet3.xml" Id="Rdcc39418d04746d5" /><Relationship Type="http://schemas.openxmlformats.org/officeDocument/2006/relationships/worksheet" Target="/xl/worksheets/sheet4.xml" Id="Rd925a183a3414f47" /><Relationship Type="http://schemas.openxmlformats.org/officeDocument/2006/relationships/worksheet" Target="/xl/worksheets/sheet5.xml" Id="R3358ddc4827c40a8" /><Relationship Type="http://schemas.openxmlformats.org/officeDocument/2006/relationships/worksheet" Target="/xl/worksheets/sheet6.xml" Id="R155c80c0a0004bd4" /><Relationship Type="http://schemas.openxmlformats.org/officeDocument/2006/relationships/worksheet" Target="/xl/worksheets/sheet7.xml" Id="Rb80b950f11fb44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4" hidden="0" customWidth="1"/>
    <x:col min="5" max="5" width="12" hidden="0" customWidth="1"/>
    <x:col min="6" max="6" width="48" hidden="0" customWidth="1"/>
    <x:col min="7" max="7" width="30" hidden="0" customWidth="1"/>
  </x:cols>
  <x:sheetData>
    <x:row r="1" ht="28" customHeight="1">
      <x:c r="A1" s="3" t="str">
        <x:v>HUB | Pós-MVP — Remuneração dos Sócios</x:v>
      </x:c>
      <x:c r="B1" s="3"/>
      <x:c r="C1" s="3"/>
      <x:c r="D1" s="3"/>
      <x:c r="E1" s="3"/>
      <x:c r="F1" s="3"/>
      <x:c r="G1" s="3"/>
    </x:row>
    <x:row r="2" ht="24" customHeight="1">
      <x:c r="A2" s="8" t="str">
        <x:v>Modelo editável: salários crescem com clientes, MRR, margem e caixa. Cenário de planejamento, não promessa de pagamento.</x:v>
      </x:c>
      <x:c r="B2" s="8"/>
      <x:c r="C2" s="8"/>
      <x:c r="D2" s="8"/>
      <x:c r="E2" s="8"/>
      <x:c r="F2" s="8"/>
      <x:c r="G2" s="8"/>
    </x:row>
    <x:row r="4">
      <x:c r="A4" s="13" t="str">
        <x:v>Premissas de receita e segurança financeira</x:v>
      </x:c>
      <x:c r="B4" s="13"/>
      <x:c r="C4" s="13"/>
      <x:c r="D4" s="13"/>
      <x:c r="E4" s="13"/>
      <x:c r="F4" s="13"/>
      <x:c r="G4" s="13"/>
    </x:row>
    <x:row r="5">
      <x:c r="A5" s="18" t="str">
        <x:v>Premissa</x:v>
      </x:c>
      <x:c r="B5" s="18" t="str">
        <x:v>Valor</x:v>
      </x:c>
      <x:c r="C5" s="18" t="str">
        <x:v>Unidade</x:v>
      </x:c>
      <x:c r="D5" s="18" t="str">
        <x:v>Tipo</x:v>
      </x:c>
      <x:c r="E5" s="18" t="str">
        <x:v>Fonte / racional</x:v>
      </x:c>
      <x:c r="F5" s="18" t="str">
        <x:v>Observação</x:v>
      </x:c>
      <x:c r="G5" s="18" t="str">
        <x:v>Editável?</x:v>
      </x:c>
    </x:row>
    <x:row r="6">
      <x:c r="A6" t="str">
        <x:v>Ticket médio mensal por cliente</x:v>
      </x:c>
      <x:c r="B6" s="26" t="n">
        <x:v>30000</x:v>
      </x:c>
      <x:c r="C6" t="str">
        <x:v>R$/mês</x:v>
      </x:c>
      <x:c r="D6" t="str">
        <x:v>Input</x:v>
      </x:c>
      <x:c r="E6" t="str">
        <x:v>Hipótese HUB</x:v>
      </x:c>
      <x:c r="F6" t="str">
        <x:v>Licença + operação/inteligência média.</x:v>
      </x:c>
      <x:c r="G6" t="str">
        <x:v>Sim</x:v>
      </x:c>
    </x:row>
    <x:row r="7">
      <x:c r="A7" t="str">
        <x:v>Margem bruta alvo</x:v>
      </x:c>
      <x:c r="B7" s="28" t="n">
        <x:v>0.7</x:v>
      </x:c>
      <x:c r="C7" t="str">
        <x:v>%</x:v>
      </x:c>
      <x:c r="D7" t="str">
        <x:v>Input</x:v>
      </x:c>
      <x:c r="E7" t="str">
        <x:v>Hipótese HUB</x:v>
      </x:c>
      <x:c r="F7" t="str">
        <x:v>Trava para expansão salarial.</x:v>
      </x:c>
      <x:c r="G7" t="str">
        <x:v>Sim</x:v>
      </x:c>
    </x:row>
    <x:row r="8">
      <x:c r="A8" t="str">
        <x:v>Runway mínimo pós-salários</x:v>
      </x:c>
      <x:c r="B8" s="30" t="n">
        <x:v>12</x:v>
      </x:c>
      <x:c r="C8" t="str">
        <x:v>meses</x:v>
      </x:c>
      <x:c r="D8" t="str">
        <x:v>Input</x:v>
      </x:c>
      <x:c r="E8" t="str">
        <x:v>Governança HUB</x:v>
      </x:c>
      <x:c r="F8" t="str">
        <x:v>Meta após folha executiva.</x:v>
      </x:c>
      <x:c r="G8" t="str">
        <x:v>Sim</x:v>
      </x:c>
    </x:row>
    <x:row r="9">
      <x:c r="A9" t="str">
        <x:v>Folha executiva máx. / MRR</x:v>
      </x:c>
      <x:c r="B9" s="28" t="n">
        <x:v>0.28</x:v>
      </x:c>
      <x:c r="C9" t="str">
        <x:v>% MRR</x:v>
      </x:c>
      <x:c r="D9" t="str">
        <x:v>Input</x:v>
      </x:c>
      <x:c r="E9" t="str">
        <x:v>Governança HUB</x:v>
      </x:c>
      <x:c r="F9" t="str">
        <x:v>Evita consumir crescimento.</x:v>
      </x:c>
      <x:c r="G9" t="str">
        <x:v>Sim</x:v>
      </x:c>
    </x:row>
    <x:row r="10">
      <x:c r="A10" t="str">
        <x:v>Bônus anual máximo - C-level</x:v>
      </x:c>
      <x:c r="B10" s="28" t="n">
        <x:v>0.2</x:v>
      </x:c>
      <x:c r="C10" t="str">
        <x:v>% salário anual</x:v>
      </x:c>
      <x:c r="D10" t="str">
        <x:v>Input</x:v>
      </x:c>
      <x:c r="E10" t="str">
        <x:v>Hipótese HUB</x:v>
      </x:c>
      <x:c r="F10" t="str">
        <x:v>Receita, retenção, margem e entrega.</x:v>
      </x:c>
      <x:c r="G10" t="str">
        <x:v>Sim</x:v>
      </x:c>
    </x:row>
    <x:row r="11">
      <x:c r="A11" t="str">
        <x:v>Bônus anual máximo - Head</x:v>
      </x:c>
      <x:c r="B11" s="28" t="n">
        <x:v>0.15</x:v>
      </x:c>
      <x:c r="C11" t="str">
        <x:v>% salário anual</x:v>
      </x:c>
      <x:c r="D11" t="str">
        <x:v>Input</x:v>
      </x:c>
      <x:c r="E11" t="str">
        <x:v>Hipótese HUB</x:v>
      </x:c>
      <x:c r="F11" t="str">
        <x:v>Metas da vertical.</x:v>
      </x:c>
      <x:c r="G11" t="str">
        <x:v>Sim</x:v>
      </x:c>
    </x:row>
    <x:row r="12">
      <x:c r="A12" t="str">
        <x:v>Reajuste anual referência</x:v>
      </x:c>
      <x:c r="B12" s="28" t="n">
        <x:v>0.06</x:v>
      </x:c>
      <x:c r="C12" t="str">
        <x:v>%</x:v>
      </x:c>
      <x:c r="D12" t="str">
        <x:v>Input</x:v>
      </x:c>
      <x:c r="E12" t="str">
        <x:v>Hipótese HUB</x:v>
      </x:c>
      <x:c r="F12" t="str">
        <x:v>Revisar anualmente.</x:v>
      </x:c>
      <x:c r="G12" t="str">
        <x:v>Sim</x:v>
      </x:c>
    </x:row>
    <x:row r="13">
      <x:c r="A13" t="str">
        <x:v>Reserva para reinvestimento</x:v>
      </x:c>
      <x:c r="B13" s="28" t="n">
        <x:v>0.2</x:v>
      </x:c>
      <x:c r="C13" t="str">
        <x:v>% receita</x:v>
      </x:c>
      <x:c r="D13" t="str">
        <x:v>Input</x:v>
      </x:c>
      <x:c r="E13" t="str">
        <x:v>Governança HUB</x:v>
      </x:c>
      <x:c r="F13" t="str">
        <x:v>Produto, tecnologia, marketing e expansão.</x:v>
      </x:c>
      <x:c r="G13" t="str">
        <x:v>Sim</x:v>
      </x:c>
    </x:row>
    <x:row r="15">
      <x:c r="A15" s="13" t="str">
        <x:v>Benchmarks de referência</x:v>
      </x:c>
      <x:c r="B15" s="13"/>
      <x:c r="C15" s="13"/>
      <x:c r="D15" s="13"/>
      <x:c r="E15" s="13"/>
      <x:c r="F15" s="13"/>
      <x:c r="G15" s="13"/>
    </x:row>
    <x:row r="16">
      <x:c r="A16" s="18" t="str">
        <x:v>Referência</x:v>
      </x:c>
      <x:c r="B16" s="18" t="str">
        <x:v>Indicador</x:v>
      </x:c>
      <x:c r="C16" s="18" t="str">
        <x:v>Valor</x:v>
      </x:c>
      <x:c r="D16" s="18" t="str">
        <x:v>Unidade</x:v>
      </x:c>
      <x:c r="E16" s="18" t="str">
        <x:v>Ano</x:v>
      </x:c>
      <x:c r="F16" s="18" t="str">
        <x:v>URL</x:v>
      </x:c>
      <x:c r="G16" s="18" t="str">
        <x:v>Uso</x:v>
      </x:c>
    </x:row>
    <x:row r="17">
      <x:c r="A17" s="36" t="str">
        <x:v>Comp.vc / Norte Ventures</x:v>
      </x:c>
      <x:c r="B17" s="36" t="str">
        <x:v>Mediana founder Seed</x:v>
      </x:c>
      <x:c r="C17" s="37" t="n">
        <x:v>20000</x:v>
      </x:c>
      <x:c r="D17" s="36" t="str">
        <x:v>R$/mês</x:v>
      </x:c>
      <x:c r="E17" s="36" t="n">
        <x:v>2022</x:v>
      </x:c>
      <x:c r="F17" s="36" t="str">
        <x:v>https://comp.vc/blog/quanto-fundadores-de-empresas-investidas-por-vcs-ganham</x:v>
      </x:c>
      <x:c r="G17" s="36" t="str">
        <x:v>Referência Brasil.</x:v>
      </x:c>
    </x:row>
    <x:row r="18">
      <x:c r="A18" s="36" t="str">
        <x:v>Comp.vc / Norte Ventures</x:v>
      </x:c>
      <x:c r="B18" s="36" t="str">
        <x:v>Mediana founder Série A</x:v>
      </x:c>
      <x:c r="C18" s="37" t="n">
        <x:v>25000</x:v>
      </x:c>
      <x:c r="D18" s="36" t="str">
        <x:v>R$/mês</x:v>
      </x:c>
      <x:c r="E18" s="36" t="n">
        <x:v>2022</x:v>
      </x:c>
      <x:c r="F18" s="36" t="str">
        <x:v>https://comp.vc/blog/quanto-fundadores-de-empresas-investidas-por-vcs-ganham</x:v>
      </x:c>
      <x:c r="G18" s="36" t="str">
        <x:v>Referência Brasil.</x:v>
      </x:c>
    </x:row>
    <x:row r="19">
      <x:c r="A19" s="36" t="str">
        <x:v>Comp.vc / Norte Ventures</x:v>
      </x:c>
      <x:c r="B19" s="36" t="str">
        <x:v>Mediana founder Série B</x:v>
      </x:c>
      <x:c r="C19" s="37" t="n">
        <x:v>45000</x:v>
      </x:c>
      <x:c r="D19" s="36" t="str">
        <x:v>R$/mês</x:v>
      </x:c>
      <x:c r="E19" s="36" t="n">
        <x:v>2022</x:v>
      </x:c>
      <x:c r="F19" s="36" t="str">
        <x:v>https://comp.vc/blog/quanto-fundadores-de-empresas-investidas-por-vcs-ganham</x:v>
      </x:c>
      <x:c r="G19" s="36" t="str">
        <x:v>Referência Brasil.</x:v>
      </x:c>
    </x:row>
    <x:row r="20">
      <x:c r="A20" s="36" t="str">
        <x:v>StartupCFO</x:v>
      </x:c>
      <x:c r="B20" s="36" t="str">
        <x:v>Founder CEO Série A</x:v>
      </x:c>
      <x:c r="C20" s="38" t="n">
        <x:v>175000</x:v>
      </x:c>
      <x:c r="D20" s="36" t="str">
        <x:v>US$/ano</x:v>
      </x:c>
      <x:c r="E20" s="36" t="n">
        <x:v>2026</x:v>
      </x:c>
      <x:c r="F20" s="36" t="str">
        <x:v>https://www.startupcfo.ai/insights/startup-founder-salary-report-2026</x:v>
      </x:c>
      <x:c r="G20" s="36" t="str">
        <x:v>Referência internacional; não converter automaticamente.</x:v>
      </x:c>
    </x:row>
  </x:sheetData>
  <x:mergeCells>
    <x:mergeCell ref="A1:G1"/>
    <x:mergeCell ref="A2:G2"/>
    <x:mergeCell ref="A4:G4"/>
    <x:mergeCell ref="A15:G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4" hidden="0" customWidth="1"/>
    <x:col min="8" max="8" width="18" hidden="0" customWidth="1"/>
    <x:col min="9" max="9" width="42" hidden="0" customWidth="1"/>
  </x:cols>
  <x:sheetData>
    <x:row r="1" ht="28" customHeight="1">
      <x:c r="A1" s="3" t="str">
        <x:v>Escada de remuneração por evolução da HUB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8" t="str">
        <x:v>Clientes definem a faixa possível; receita, margem e caixa definem se ela pode ser liberada.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8" t="str">
        <x:v>Fase</x:v>
      </x:c>
      <x:c r="B4" s="18" t="str">
        <x:v>Clientes pagantes</x:v>
      </x:c>
      <x:c r="C4" s="18" t="str">
        <x:v>MRR estimado</x:v>
      </x:c>
      <x:c r="D4" s="18" t="str">
        <x:v>ARR run-rate</x:v>
      </x:c>
      <x:c r="E4" s="18" t="str">
        <x:v>CEO / Tamara</x:v>
      </x:c>
      <x:c r="F4" s="18" t="str">
        <x:v>CTO / Marcos</x:v>
      </x:c>
      <x:c r="G4" s="18" t="str">
        <x:v>COO / Paulo</x:v>
      </x:c>
      <x:c r="H4" s="18" t="str">
        <x:v>Growth / Pedro</x:v>
      </x:c>
      <x:c r="I4" s="18" t="str">
        <x:v>Regra</x:v>
      </x:c>
    </x:row>
    <x:row r="5">
      <x:c r="A5" s="36" t="str">
        <x:v>Pós-MVP</x:v>
      </x:c>
      <x:c r="B5" s="52" t="n">
        <x:v>3</x:v>
      </x:c>
      <x:c r="C5" s="53" t="n">
        <x:f>'01_Premissas'!$B$6*B5</x:f>
        <x:v>90000</x:v>
      </x:c>
      <x:c r="D5" s="53" t="n">
        <x:f>C5*12</x:f>
        <x:v>1080000</x:v>
      </x:c>
      <x:c r="E5" s="54" t="n">
        <x:v>25000</x:v>
      </x:c>
      <x:c r="F5" s="54" t="n">
        <x:v>22000</x:v>
      </x:c>
      <x:c r="G5" s="54" t="n">
        <x:v>18000</x:v>
      </x:c>
      <x:c r="H5" s="54" t="n">
        <x:v>15000</x:v>
      </x:c>
      <x:c r="I5" s="36" t="str">
        <x:v>Pilotos convertidos + receita recorrente</x:v>
      </x:c>
    </x:row>
    <x:row r="6">
      <x:c r="A6" s="36" t="str">
        <x:v>Tração inicial</x:v>
      </x:c>
      <x:c r="B6" s="52" t="n">
        <x:v>6</x:v>
      </x:c>
      <x:c r="C6" s="53" t="n">
        <x:f>'01_Premissas'!$B$6*B6</x:f>
        <x:v>180000</x:v>
      </x:c>
      <x:c r="D6" s="53" t="n">
        <x:f>C6*12</x:f>
        <x:v>2160000</x:v>
      </x:c>
      <x:c r="E6" s="54" t="n">
        <x:v>32000</x:v>
      </x:c>
      <x:c r="F6" s="54" t="n">
        <x:v>28000</x:v>
      </x:c>
      <x:c r="G6" s="54" t="n">
        <x:v>23000</x:v>
      </x:c>
      <x:c r="H6" s="54" t="n">
        <x:v>19000</x:v>
      </x:c>
      <x:c r="I6" s="36" t="str">
        <x:v>MRR + margem + runway</x:v>
      </x:c>
    </x:row>
    <x:row r="7">
      <x:c r="A7" s="36" t="str">
        <x:v>Tração</x:v>
      </x:c>
      <x:c r="B7" s="52" t="n">
        <x:v>10</x:v>
      </x:c>
      <x:c r="C7" s="53" t="n">
        <x:f>'01_Premissas'!$B$6*B7</x:f>
        <x:v>300000</x:v>
      </x:c>
      <x:c r="D7" s="53" t="n">
        <x:f>C7*12</x:f>
        <x:v>3600000</x:v>
      </x:c>
      <x:c r="E7" s="54" t="n">
        <x:v>40000</x:v>
      </x:c>
      <x:c r="F7" s="54" t="n">
        <x:v>35000</x:v>
      </x:c>
      <x:c r="G7" s="54" t="n">
        <x:v>28000</x:v>
      </x:c>
      <x:c r="H7" s="54" t="n">
        <x:v>23000</x:v>
      </x:c>
      <x:c r="I7" s="36" t="str">
        <x:v>Produto repetível e churn sob controle</x:v>
      </x:c>
    </x:row>
    <x:row r="8">
      <x:c r="A8" s="36" t="str">
        <x:v>Escala inicial</x:v>
      </x:c>
      <x:c r="B8" s="52" t="n">
        <x:v>20</x:v>
      </x:c>
      <x:c r="C8" s="53" t="n">
        <x:f>'01_Premissas'!$B$6*B8</x:f>
        <x:v>600000</x:v>
      </x:c>
      <x:c r="D8" s="53" t="n">
        <x:f>C8*12</x:f>
        <x:v>7200000</x:v>
      </x:c>
      <x:c r="E8" s="54" t="n">
        <x:v>50000</x:v>
      </x:c>
      <x:c r="F8" s="54" t="n">
        <x:v>45000</x:v>
      </x:c>
      <x:c r="G8" s="54" t="n">
        <x:v>35000</x:v>
      </x:c>
      <x:c r="H8" s="54" t="n">
        <x:v>28000</x:v>
      </x:c>
      <x:c r="I8" s="36" t="str">
        <x:v>Time formado e receita diversificada</x:v>
      </x:c>
    </x:row>
    <x:row r="9">
      <x:c r="A9" s="36" t="str">
        <x:v>Escala</x:v>
      </x:c>
      <x:c r="B9" s="52" t="n">
        <x:v>35</x:v>
      </x:c>
      <x:c r="C9" s="53" t="n">
        <x:f>'01_Premissas'!$B$6*B9</x:f>
        <x:v>1050000</x:v>
      </x:c>
      <x:c r="D9" s="53" t="n">
        <x:f>C9*12</x:f>
        <x:v>12600000</x:v>
      </x:c>
      <x:c r="E9" s="54" t="n">
        <x:v>65000</x:v>
      </x:c>
      <x:c r="F9" s="54" t="n">
        <x:v>58000</x:v>
      </x:c>
      <x:c r="G9" s="54" t="n">
        <x:v>45000</x:v>
      </x:c>
      <x:c r="H9" s="54" t="n">
        <x:v>35000</x:v>
      </x:c>
      <x:c r="I9" s="36" t="str">
        <x:v>Governança + caixa</x:v>
      </x:c>
    </x:row>
    <x:row r="10">
      <x:c r="A10" s="36" t="str">
        <x:v>Escala avançada</x:v>
      </x:c>
      <x:c r="B10" s="52" t="n">
        <x:v>60</x:v>
      </x:c>
      <x:c r="C10" s="53" t="n">
        <x:f>'01_Premissas'!$B$6*B10</x:f>
        <x:v>1800000</x:v>
      </x:c>
      <x:c r="D10" s="53" t="n">
        <x:f>C10*12</x:f>
        <x:v>21600000</x:v>
      </x:c>
      <x:c r="E10" s="54" t="n">
        <x:v>80000</x:v>
      </x:c>
      <x:c r="F10" s="54" t="n">
        <x:v>70000</x:v>
      </x:c>
      <x:c r="G10" s="54" t="n">
        <x:v>55000</x:v>
      </x:c>
      <x:c r="H10" s="54" t="n">
        <x:v>42000</x:v>
      </x:c>
      <x:c r="I10" s="36" t="str">
        <x:v>Empresa madura; executivo de mercado</x:v>
      </x:c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</x:row>
    <x:row r="12">
      <x:c r="A12" s="55" t="str">
        <x:v>Heads de verticais — após validação</x:v>
      </x:c>
      <x:c r="B12" s="55"/>
      <x:c r="C12" s="55"/>
      <x:c r="D12" s="55"/>
      <x:c r="E12" s="55"/>
      <x:c r="F12" s="55"/>
      <x:c r="G12" s="55"/>
      <x:c r="H12" s="55"/>
      <x:c r="I12" s="55"/>
    </x:row>
    <x:row r="13">
      <x:c r="A13" s="18" t="str">
        <x:v>Faixa</x:v>
      </x:c>
      <x:c r="B13" s="18" t="str">
        <x:v>Clientes da vertical</x:v>
      </x:c>
      <x:c r="C13" s="18" t="str">
        <x:v>Noah - Talentos/RH</x:v>
      </x:c>
      <x:c r="D13" s="18" t="str">
        <x:v>Ana - Acadêmico</x:v>
      </x:c>
      <x:c r="E13" s="18" t="str">
        <x:v>Luana - Eventos</x:v>
      </x:c>
      <x:c r="F13" s="18" t="str">
        <x:v>Head Fornecedores</x:v>
      </x:c>
      <x:c r="G13" s="18" t="str">
        <x:v>Variável alvo</x:v>
      </x:c>
      <x:c r="H13" s="18" t="str">
        <x:v>Equity?</x:v>
      </x:c>
      <x:c r="I13" s="18" t="str">
        <x:v>Observação</x:v>
      </x:c>
    </x:row>
    <x:row r="14">
      <x:c r="A14" s="36" t="str">
        <x:v>Validação</x:v>
      </x:c>
      <x:c r="B14" s="52" t="n">
        <x:v>1</x:v>
      </x:c>
      <x:c r="C14" s="54" t="n">
        <x:v>12000</x:v>
      </x:c>
      <x:c r="D14" s="54" t="n">
        <x:v>12000</x:v>
      </x:c>
      <x:c r="E14" s="54" t="n">
        <x:v>15000</x:v>
      </x:c>
      <x:c r="F14" s="54" t="n">
        <x:v>15000</x:v>
      </x:c>
      <x:c r="G14" s="56" t="n">
        <x:v>0.1</x:v>
      </x:c>
      <x:c r="H14" s="36" t="str">
        <x:v>Caso a caso</x:v>
      </x:c>
      <x:c r="I14" s="36" t="str">
        <x:v>Fee reduzido + variável pode fazer sentido.</x:v>
      </x:c>
    </x:row>
    <x:row r="15">
      <x:c r="A15" s="36" t="str">
        <x:v>Tração vertical</x:v>
      </x:c>
      <x:c r="B15" s="52" t="n">
        <x:v>3</x:v>
      </x:c>
      <x:c r="C15" s="54" t="n">
        <x:v>18000</x:v>
      </x:c>
      <x:c r="D15" s="54" t="n">
        <x:v>18000</x:v>
      </x:c>
      <x:c r="E15" s="54" t="n">
        <x:v>22000</x:v>
      </x:c>
      <x:c r="F15" s="54" t="n">
        <x:v>22000</x:v>
      </x:c>
      <x:c r="G15" s="56" t="n">
        <x:v>0.15</x:v>
      </x:c>
      <x:c r="H15" s="36" t="str">
        <x:v>Caso a caso</x:v>
      </x:c>
      <x:c r="I15" s="36" t="str">
        <x:v>Responsabilidade por receita e produto vertical.</x:v>
      </x:c>
    </x:row>
    <x:row r="16">
      <x:c r="A16" s="36" t="str">
        <x:v>Escala vertical</x:v>
      </x:c>
      <x:c r="B16" s="52" t="n">
        <x:v>6</x:v>
      </x:c>
      <x:c r="C16" s="54" t="n">
        <x:v>25000</x:v>
      </x:c>
      <x:c r="D16" s="54" t="n">
        <x:v>25000</x:v>
      </x:c>
      <x:c r="E16" s="54" t="n">
        <x:v>30000</x:v>
      </x:c>
      <x:c r="F16" s="54" t="n">
        <x:v>30000</x:v>
      </x:c>
      <x:c r="G16" s="56" t="n">
        <x:v>0.2</x:v>
      </x:c>
      <x:c r="H16" s="36" t="str">
        <x:v>Vesting se estratégico</x:v>
      </x:c>
      <x:c r="I16" s="36" t="str">
        <x:v>Remuneração executiva + metas.</x:v>
      </x:c>
    </x:row>
    <x:row r="17">
      <x:c r="A17" s="36" t="str">
        <x:v>Vertical madura</x:v>
      </x:c>
      <x:c r="B17" s="52" t="n">
        <x:v>10</x:v>
      </x:c>
      <x:c r="C17" s="54" t="n">
        <x:v>32000</x:v>
      </x:c>
      <x:c r="D17" s="54" t="n">
        <x:v>32000</x:v>
      </x:c>
      <x:c r="E17" s="54" t="n">
        <x:v>38000</x:v>
      </x:c>
      <x:c r="F17" s="54" t="n">
        <x:v>38000</x:v>
      </x:c>
      <x:c r="G17" s="56" t="n">
        <x:v>0.25</x:v>
      </x:c>
      <x:c r="H17" s="36" t="str">
        <x:v>Vesting / phantom</x:v>
      </x:c>
      <x:c r="I17" s="36" t="str">
        <x:v>Revisar dedicação e papel.</x:v>
      </x:c>
    </x:row>
    <x:row r="18">
      <x:c r="A18" s="36" t="str">
        <x:v>Vertical estratégica</x:v>
      </x:c>
      <x:c r="B18" s="52" t="n">
        <x:v>15</x:v>
      </x:c>
      <x:c r="C18" s="54" t="n">
        <x:v>40000</x:v>
      </x:c>
      <x:c r="D18" s="54" t="n">
        <x:v>40000</x:v>
      </x:c>
      <x:c r="E18" s="54" t="n">
        <x:v>48000</x:v>
      </x:c>
      <x:c r="F18" s="54" t="n">
        <x:v>48000</x:v>
      </x:c>
      <x:c r="G18" s="56" t="n">
        <x:v>0.3</x:v>
      </x:c>
      <x:c r="H18" s="36" t="str">
        <x:v>Governança formal</x:v>
      </x:c>
      <x:c r="I18" s="36" t="str">
        <x:v>Só se a margem da vertical sustentar.</x:v>
      </x:c>
    </x:row>
  </x:sheetData>
  <x:mergeCells>
    <x:mergeCell ref="A1:I1"/>
    <x:mergeCell ref="A2:I2"/>
    <x:mergeCell ref="A12:I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0" hidden="0" customWidth="1"/>
    <x:col min="4" max="4" width="18" hidden="0" customWidth="1"/>
    <x:col min="5" max="5" width="18" hidden="0" customWidth="1"/>
    <x:col min="6" max="6" width="14" hidden="0" customWidth="1"/>
    <x:col min="7" max="7" width="28" hidden="0" customWidth="1"/>
    <x:col min="8" max="8" width="48" hidden="0" customWidth="1"/>
  </x:cols>
  <x:sheetData>
    <x:row r="1" ht="28" customHeight="1">
      <x:c r="A1" s="3" t="str">
        <x:v>Papéis e remuneração-alvo</x:v>
      </x:c>
      <x:c r="B1" s="3"/>
      <x:c r="C1" s="3"/>
      <x:c r="D1" s="3"/>
      <x:c r="E1" s="3"/>
      <x:c r="F1" s="3"/>
      <x:c r="G1" s="3"/>
      <x:c r="H1" s="3"/>
    </x:row>
    <x:row r="4">
      <x:c r="A4" s="18" t="str">
        <x:v>Pessoa</x:v>
      </x:c>
      <x:c r="B4" s="18" t="str">
        <x:v>Papel</x:v>
      </x:c>
      <x:c r="C4" s="18" t="str">
        <x:v>Tipo</x:v>
      </x:c>
      <x:c r="D4" s="18" t="str">
        <x:v>Inicial pós-MVP</x:v>
      </x:c>
      <x:c r="E4" s="18" t="str">
        <x:v>Alvo em escala</x:v>
      </x:c>
      <x:c r="F4" s="18" t="str">
        <x:v>Bônus alvo</x:v>
      </x:c>
      <x:c r="G4" s="18" t="str">
        <x:v>Gatilho</x:v>
      </x:c>
      <x:c r="H4" s="18" t="str">
        <x:v>Observação</x:v>
      </x:c>
    </x:row>
    <x:row r="5">
      <x:c r="A5" s="36" t="str">
        <x:v>Tamara Braga</x:v>
      </x:c>
      <x:c r="B5" s="36" t="str">
        <x:v>CEO &amp; Chief Product Officer</x:v>
      </x:c>
      <x:c r="C5" s="36" t="str">
        <x:v>Sócia / fundadora</x:v>
      </x:c>
      <x:c r="D5" s="53" t="n">
        <x:f>'02_Faixas_Clientes'!E5</x:f>
        <x:v>25000</x:v>
      </x:c>
      <x:c r="E5" s="53" t="n">
        <x:f>'02_Faixas_Clientes'!E10</x:f>
        <x:v>80000</x:v>
      </x:c>
      <x:c r="F5" s="66" t="n">
        <x:f>'01_Premissas'!B10</x:f>
        <x:v>0.2</x:v>
      </x:c>
      <x:c r="G5" s="36" t="str">
        <x:v>Clientes + MRR + caixa</x:v>
      </x:c>
      <x:c r="H5" s="36" t="str">
        <x:v>Visão, produto, estratégia, capital e grandes contas.</x:v>
      </x:c>
    </x:row>
    <x:row r="6">
      <x:c r="A6" s="36" t="str">
        <x:v>Marcos Fernandes</x:v>
      </x:c>
      <x:c r="B6" s="36" t="str">
        <x:v>CTO</x:v>
      </x:c>
      <x:c r="C6" s="36" t="str">
        <x:v>Sócio / cofundador</x:v>
      </x:c>
      <x:c r="D6" s="53" t="n">
        <x:f>'02_Faixas_Clientes'!F5</x:f>
        <x:v>22000</x:v>
      </x:c>
      <x:c r="E6" s="53" t="n">
        <x:f>'02_Faixas_Clientes'!F10</x:f>
        <x:v>70000</x:v>
      </x:c>
      <x:c r="F6" s="66" t="n">
        <x:f>'01_Premissas'!B10</x:f>
        <x:v>0.2</x:v>
      </x:c>
      <x:c r="G6" s="36" t="str">
        <x:v>Clientes + estabilidade técnica</x:v>
      </x:c>
      <x:c r="H6" s="36" t="str">
        <x:v>CORE, arquitetura, dados, segurança e escala.</x:v>
      </x:c>
    </x:row>
    <x:row r="7">
      <x:c r="A7" s="36" t="str">
        <x:v>Paulo Fábio</x:v>
      </x:c>
      <x:c r="B7" s="36" t="str">
        <x:v>COO</x:v>
      </x:c>
      <x:c r="C7" s="36" t="str">
        <x:v>Sócio</x:v>
      </x:c>
      <x:c r="D7" s="53" t="n">
        <x:f>'02_Faixas_Clientes'!G5</x:f>
        <x:v>18000</x:v>
      </x:c>
      <x:c r="E7" s="53" t="n">
        <x:f>'02_Faixas_Clientes'!G10</x:f>
        <x:v>55000</x:v>
      </x:c>
      <x:c r="F7" s="66" t="n">
        <x:f>'01_Premissas'!B10</x:f>
        <x:v>0.2</x:v>
      </x:c>
      <x:c r="G7" s="36" t="str">
        <x:v>Clientes + operação replicável</x:v>
      </x:c>
      <x:c r="H7" s="36" t="str">
        <x:v>Operação, implantação, planos e resultado.</x:v>
      </x:c>
    </x:row>
    <x:row r="8">
      <x:c r="A8" s="36" t="str">
        <x:v>Pedro</x:v>
      </x:c>
      <x:c r="B8" s="36" t="str">
        <x:v>Head Growth, Comunicação &amp; Comunidades</x:v>
      </x:c>
      <x:c r="C8" s="36" t="str">
        <x:v>Sócio</x:v>
      </x:c>
      <x:c r="D8" s="53" t="n">
        <x:f>'02_Faixas_Clientes'!H5</x:f>
        <x:v>15000</x:v>
      </x:c>
      <x:c r="E8" s="53" t="n">
        <x:f>'02_Faixas_Clientes'!H10</x:f>
        <x:v>42000</x:v>
      </x:c>
      <x:c r="F8" s="66" t="n">
        <x:f>'01_Premissas'!B10</x:f>
        <x:v>0.2</x:v>
      </x:c>
      <x:c r="G8" s="36" t="str">
        <x:v>Aquisição + adoção + retenção</x:v>
      </x:c>
      <x:c r="H8" s="36" t="str">
        <x:v>Growth, comunicação, engajamento e comunidades.</x:v>
      </x:c>
    </x:row>
    <x:row r="9">
      <x:c r="A9" s="36" t="str">
        <x:v>Noah Scheffel</x:v>
      </x:c>
      <x:c r="B9" s="36" t="str">
        <x:v>Head Talentos &amp; RH</x:v>
      </x:c>
      <x:c r="C9" s="36" t="str">
        <x:v>Head vertical</x:v>
      </x:c>
      <x:c r="D9" s="53" t="n">
        <x:f>'02_Faixas_Clientes'!C14</x:f>
        <x:v>12000</x:v>
      </x:c>
      <x:c r="E9" s="53" t="n">
        <x:f>'02_Faixas_Clientes'!C18</x:f>
        <x:v>40000</x:v>
      </x:c>
      <x:c r="F9" s="66" t="n">
        <x:f>'01_Premissas'!B11</x:f>
        <x:v>0.15</x:v>
      </x:c>
      <x:c r="G9" s="36" t="str">
        <x:v>Clientes da vertical</x:v>
      </x:c>
      <x:c r="H9" s="36" t="str">
        <x:v>Candidatos, recrutamento, RH e empregabilidade.</x:v>
      </x:c>
    </x:row>
    <x:row r="10">
      <x:c r="A10" s="36" t="str">
        <x:v>Ana Minuto</x:v>
      </x:c>
      <x:c r="B10" s="36" t="str">
        <x:v>Potencial Head Acadêmico &amp; Educação</x:v>
      </x:c>
      <x:c r="C10" s="36" t="str">
        <x:v>Potencial Head</x:v>
      </x:c>
      <x:c r="D10" s="53" t="n">
        <x:f>'02_Faixas_Clientes'!D14</x:f>
        <x:v>12000</x:v>
      </x:c>
      <x:c r="E10" s="53" t="n">
        <x:f>'02_Faixas_Clientes'!D18</x:f>
        <x:v>40000</x:v>
      </x:c>
      <x:c r="F10" s="66" t="n">
        <x:f>'01_Premissas'!B11</x:f>
        <x:v>0.15</x:v>
      </x:c>
      <x:c r="G10" s="36" t="str">
        <x:v>Clientes da vertical</x:v>
      </x:c>
      <x:c r="H10" s="36" t="str">
        <x:v>Universidades, pesquisa, educação e empresas.</x:v>
      </x:c>
    </x:row>
    <x:row r="11">
      <x:c r="A11" s="36" t="str">
        <x:v>Luana</x:v>
      </x:c>
      <x:c r="B11" s="36" t="str">
        <x:v>Potencial Sócia / Head Eventos</x:v>
      </x:c>
      <x:c r="C11" s="36" t="str">
        <x:v>Potencial sócia / Head</x:v>
      </x:c>
      <x:c r="D11" s="53" t="n">
        <x:f>'02_Faixas_Clientes'!E14</x:f>
        <x:v>15000</x:v>
      </x:c>
      <x:c r="E11" s="53" t="n">
        <x:f>'02_Faixas_Clientes'!E18</x:f>
        <x:v>48000</x:v>
      </x:c>
      <x:c r="F11" s="66" t="n">
        <x:f>'01_Premissas'!B11</x:f>
        <x:v>0.15</x:v>
      </x:c>
      <x:c r="G11" s="36" t="str">
        <x:v>Clientes/eventos da vertical</x:v>
      </x:c>
      <x:c r="H11" s="36" t="str">
        <x:v>Eventos, marcas, produtoras, artistas e receita.</x:v>
      </x:c>
    </x:row>
    <x:row r="12">
      <x:c r="A12" s="36" t="str">
        <x:v>Head Fornecedores</x:v>
      </x:c>
      <x:c r="B12" s="36" t="str">
        <x:v>A definir</x:v>
      </x:c>
      <x:c r="C12" s="36" t="str">
        <x:v>Futura Head</x:v>
      </x:c>
      <x:c r="D12" s="53" t="n">
        <x:f>'02_Faixas_Clientes'!F14</x:f>
        <x:v>15000</x:v>
      </x:c>
      <x:c r="E12" s="53" t="n">
        <x:f>'02_Faixas_Clientes'!F18</x:f>
        <x:v>48000</x:v>
      </x:c>
      <x:c r="F12" s="66" t="n">
        <x:f>'01_Premissas'!B11</x:f>
        <x:v>0.15</x:v>
      </x:c>
      <x:c r="G12" s="36" t="str">
        <x:v>Clientes da vertical</x:v>
      </x:c>
      <x:c r="H12" s="36" t="str">
        <x:v>Tamara lidera até escolha dedicada.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5" hidden="0" customWidth="1"/>
    <x:col min="4" max="4" width="15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2" hidden="0" customWidth="1"/>
    <x:col min="12" max="12" width="16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Cenário de crescimento — 36 meses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8" t="str">
        <x:v>Edite clientes por mês. O salário acompanha automaticamente a faixa de clientes.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8" t="str">
        <x:v>Mês</x:v>
      </x:c>
      <x:c r="B4" s="18" t="str">
        <x:v>Clientes</x:v>
      </x:c>
      <x:c r="C4" s="18" t="str">
        <x:v>Ticket médio</x:v>
      </x:c>
      <x:c r="D4" s="18" t="str">
        <x:v>MRR</x:v>
      </x:c>
      <x:c r="E4" s="18" t="str">
        <x:v>ARR run-rate</x:v>
      </x:c>
      <x:c r="F4" s="18" t="str">
        <x:v>Tamara</x:v>
      </x:c>
      <x:c r="G4" s="18" t="str">
        <x:v>Marcos</x:v>
      </x:c>
      <x:c r="H4" s="18" t="str">
        <x:v>Paulo</x:v>
      </x:c>
      <x:c r="I4" s="18" t="str">
        <x:v>Pedro</x:v>
      </x:c>
      <x:c r="J4" s="18" t="str">
        <x:v>Folha sócios</x:v>
      </x:c>
      <x:c r="K4" s="18" t="str">
        <x:v>Folha/MRR</x:v>
      </x:c>
      <x:c r="L4" s="18" t="str">
        <x:v>Margem bruta</x:v>
      </x:c>
      <x:c r="M4" s="18" t="str">
        <x:v>Margem após sócios*</x:v>
      </x:c>
      <x:c r="N4" s="18" t="str">
        <x:v>Faixa</x:v>
      </x:c>
    </x:row>
    <x:row r="5">
      <x:c r="A5" t="n">
        <x:v>1</x:v>
      </x:c>
      <x:c r="B5" s="42" t="n">
        <x:v>3</x:v>
      </x:c>
      <x:c r="C5" s="46" t="n">
        <x:f>'01_Premissas'!$B$6</x:f>
        <x:v>30000</x:v>
      </x:c>
      <x:c r="D5" s="32" t="n">
        <x:f>B5*C5</x:f>
        <x:v>90000</x:v>
      </x:c>
      <x:c r="E5" s="32" t="n">
        <x:f>D5*12</x:f>
        <x:v>1080000</x:v>
      </x:c>
      <x:c r="F5" s="32" t="n">
        <x:f>LOOKUP(B5,'02_Faixas_Clientes'!$B$5:$B$10,'02_Faixas_Clientes'!$E$5:$E$10)</x:f>
        <x:v>25000</x:v>
      </x:c>
      <x:c r="G5" s="32" t="n">
        <x:f>LOOKUP(B5,'02_Faixas_Clientes'!$B$5:$B$10,'02_Faixas_Clientes'!$F$5:$F$10)</x:f>
        <x:v>22000</x:v>
      </x:c>
      <x:c r="H5" s="32" t="n">
        <x:f>LOOKUP(B5,'02_Faixas_Clientes'!$B$5:$B$10,'02_Faixas_Clientes'!$G$5:$G$10)</x:f>
        <x:v>18000</x:v>
      </x:c>
      <x:c r="I5" s="32" t="n">
        <x:f>LOOKUP(B5,'02_Faixas_Clientes'!$B$5:$B$10,'02_Faixas_Clientes'!$H$5:$H$10)</x:f>
        <x:v>15000</x:v>
      </x:c>
      <x:c r="J5" s="32" t="n">
        <x:f>SUM(F5:I5)</x:f>
        <x:v>80000</x:v>
      </x:c>
      <x:c r="K5" s="62" t="n">
        <x:f>J5/D5</x:f>
        <x:v>0.8888888888888888</x:v>
      </x:c>
      <x:c r="L5" s="32" t="n">
        <x:f>D5*'01_Premissas'!$B$7</x:f>
        <x:v>62999.99999999999</x:v>
      </x:c>
      <x:c r="M5" s="32" t="n">
        <x:f>L5-J5</x:f>
        <x:v>-17000.000000000007</x:v>
      </x:c>
      <x:c r="N5" t="str">
        <x:f>LOOKUP(B5,'02_Faixas_Clientes'!$B$5:$B$10,'02_Faixas_Clientes'!$A$5:$A$10)</x:f>
        <x:v>Pós-MVP</x:v>
      </x:c>
    </x:row>
    <x:row r="6">
      <x:c r="A6" t="n">
        <x:v>2</x:v>
      </x:c>
      <x:c r="B6" s="42" t="n">
        <x:v>3</x:v>
      </x:c>
      <x:c r="C6" s="46" t="n">
        <x:f>'01_Premissas'!$B$6</x:f>
        <x:v>30000</x:v>
      </x:c>
      <x:c r="D6" s="32" t="n">
        <x:f>B6*C6</x:f>
        <x:v>90000</x:v>
      </x:c>
      <x:c r="E6" s="32" t="n">
        <x:f>D6*12</x:f>
        <x:v>1080000</x:v>
      </x:c>
      <x:c r="F6" s="32" t="n">
        <x:f>LOOKUP(B6,'02_Faixas_Clientes'!$B$5:$B$10,'02_Faixas_Clientes'!$E$5:$E$10)</x:f>
        <x:v>25000</x:v>
      </x:c>
      <x:c r="G6" s="32" t="n">
        <x:f>LOOKUP(B6,'02_Faixas_Clientes'!$B$5:$B$10,'02_Faixas_Clientes'!$F$5:$F$10)</x:f>
        <x:v>22000</x:v>
      </x:c>
      <x:c r="H6" s="32" t="n">
        <x:f>LOOKUP(B6,'02_Faixas_Clientes'!$B$5:$B$10,'02_Faixas_Clientes'!$G$5:$G$10)</x:f>
        <x:v>18000</x:v>
      </x:c>
      <x:c r="I6" s="32" t="n">
        <x:f>LOOKUP(B6,'02_Faixas_Clientes'!$B$5:$B$10,'02_Faixas_Clientes'!$H$5:$H$10)</x:f>
        <x:v>15000</x:v>
      </x:c>
      <x:c r="J6" s="32" t="n">
        <x:f>SUM(F6:I6)</x:f>
        <x:v>80000</x:v>
      </x:c>
      <x:c r="K6" s="62" t="n">
        <x:f>J6/D6</x:f>
        <x:v>0.8888888888888888</x:v>
      </x:c>
      <x:c r="L6" s="32" t="n">
        <x:f>D6*'01_Premissas'!$B$7</x:f>
        <x:v>62999.99999999999</x:v>
      </x:c>
      <x:c r="M6" s="32" t="n">
        <x:f>L6-J6</x:f>
        <x:v>-17000.000000000007</x:v>
      </x:c>
      <x:c r="N6" t="str">
        <x:f>LOOKUP(B6,'02_Faixas_Clientes'!$B$5:$B$10,'02_Faixas_Clientes'!$A$5:$A$10)</x:f>
        <x:v>Pós-MVP</x:v>
      </x:c>
    </x:row>
    <x:row r="7">
      <x:c r="A7" t="n">
        <x:v>3</x:v>
      </x:c>
      <x:c r="B7" s="42" t="n">
        <x:v>3</x:v>
      </x:c>
      <x:c r="C7" s="46" t="n">
        <x:f>'01_Premissas'!$B$6</x:f>
        <x:v>30000</x:v>
      </x:c>
      <x:c r="D7" s="32" t="n">
        <x:f>B7*C7</x:f>
        <x:v>90000</x:v>
      </x:c>
      <x:c r="E7" s="32" t="n">
        <x:f>D7*12</x:f>
        <x:v>1080000</x:v>
      </x:c>
      <x:c r="F7" s="32" t="n">
        <x:f>LOOKUP(B7,'02_Faixas_Clientes'!$B$5:$B$10,'02_Faixas_Clientes'!$E$5:$E$10)</x:f>
        <x:v>25000</x:v>
      </x:c>
      <x:c r="G7" s="32" t="n">
        <x:f>LOOKUP(B7,'02_Faixas_Clientes'!$B$5:$B$10,'02_Faixas_Clientes'!$F$5:$F$10)</x:f>
        <x:v>22000</x:v>
      </x:c>
      <x:c r="H7" s="32" t="n">
        <x:f>LOOKUP(B7,'02_Faixas_Clientes'!$B$5:$B$10,'02_Faixas_Clientes'!$G$5:$G$10)</x:f>
        <x:v>18000</x:v>
      </x:c>
      <x:c r="I7" s="32" t="n">
        <x:f>LOOKUP(B7,'02_Faixas_Clientes'!$B$5:$B$10,'02_Faixas_Clientes'!$H$5:$H$10)</x:f>
        <x:v>15000</x:v>
      </x:c>
      <x:c r="J7" s="32" t="n">
        <x:f>SUM(F7:I7)</x:f>
        <x:v>80000</x:v>
      </x:c>
      <x:c r="K7" s="62" t="n">
        <x:f>J7/D7</x:f>
        <x:v>0.8888888888888888</x:v>
      </x:c>
      <x:c r="L7" s="32" t="n">
        <x:f>D7*'01_Premissas'!$B$7</x:f>
        <x:v>62999.99999999999</x:v>
      </x:c>
      <x:c r="M7" s="32" t="n">
        <x:f>L7-J7</x:f>
        <x:v>-17000.000000000007</x:v>
      </x:c>
      <x:c r="N7" t="str">
        <x:f>LOOKUP(B7,'02_Faixas_Clientes'!$B$5:$B$10,'02_Faixas_Clientes'!$A$5:$A$10)</x:f>
        <x:v>Pós-MVP</x:v>
      </x:c>
    </x:row>
    <x:row r="8">
      <x:c r="A8" t="n">
        <x:v>4</x:v>
      </x:c>
      <x:c r="B8" s="42" t="n">
        <x:v>6</x:v>
      </x:c>
      <x:c r="C8" s="46" t="n">
        <x:f>'01_Premissas'!$B$6</x:f>
        <x:v>30000</x:v>
      </x:c>
      <x:c r="D8" s="32" t="n">
        <x:f>B8*C8</x:f>
        <x:v>180000</x:v>
      </x:c>
      <x:c r="E8" s="32" t="n">
        <x:f>D8*12</x:f>
        <x:v>2160000</x:v>
      </x:c>
      <x:c r="F8" s="32" t="n">
        <x:f>LOOKUP(B8,'02_Faixas_Clientes'!$B$5:$B$10,'02_Faixas_Clientes'!$E$5:$E$10)</x:f>
        <x:v>32000</x:v>
      </x:c>
      <x:c r="G8" s="32" t="n">
        <x:f>LOOKUP(B8,'02_Faixas_Clientes'!$B$5:$B$10,'02_Faixas_Clientes'!$F$5:$F$10)</x:f>
        <x:v>28000</x:v>
      </x:c>
      <x:c r="H8" s="32" t="n">
        <x:f>LOOKUP(B8,'02_Faixas_Clientes'!$B$5:$B$10,'02_Faixas_Clientes'!$G$5:$G$10)</x:f>
        <x:v>23000</x:v>
      </x:c>
      <x:c r="I8" s="32" t="n">
        <x:f>LOOKUP(B8,'02_Faixas_Clientes'!$B$5:$B$10,'02_Faixas_Clientes'!$H$5:$H$10)</x:f>
        <x:v>19000</x:v>
      </x:c>
      <x:c r="J8" s="32" t="n">
        <x:f>SUM(F8:I8)</x:f>
        <x:v>102000</x:v>
      </x:c>
      <x:c r="K8" s="62" t="n">
        <x:f>J8/D8</x:f>
        <x:v>0.5666666666666667</x:v>
      </x:c>
      <x:c r="L8" s="32" t="n">
        <x:f>D8*'01_Premissas'!$B$7</x:f>
        <x:v>125999.99999999999</x:v>
      </x:c>
      <x:c r="M8" s="32" t="n">
        <x:f>L8-J8</x:f>
        <x:v>23999.999999999985</x:v>
      </x:c>
      <x:c r="N8" t="str">
        <x:f>LOOKUP(B8,'02_Faixas_Clientes'!$B$5:$B$10,'02_Faixas_Clientes'!$A$5:$A$10)</x:f>
        <x:v>Tração inicial</x:v>
      </x:c>
    </x:row>
    <x:row r="9">
      <x:c r="A9" t="n">
        <x:v>5</x:v>
      </x:c>
      <x:c r="B9" s="42" t="n">
        <x:v>6</x:v>
      </x:c>
      <x:c r="C9" s="46" t="n">
        <x:f>'01_Premissas'!$B$6</x:f>
        <x:v>30000</x:v>
      </x:c>
      <x:c r="D9" s="32" t="n">
        <x:f>B9*C9</x:f>
        <x:v>180000</x:v>
      </x:c>
      <x:c r="E9" s="32" t="n">
        <x:f>D9*12</x:f>
        <x:v>2160000</x:v>
      </x:c>
      <x:c r="F9" s="32" t="n">
        <x:f>LOOKUP(B9,'02_Faixas_Clientes'!$B$5:$B$10,'02_Faixas_Clientes'!$E$5:$E$10)</x:f>
        <x:v>32000</x:v>
      </x:c>
      <x:c r="G9" s="32" t="n">
        <x:f>LOOKUP(B9,'02_Faixas_Clientes'!$B$5:$B$10,'02_Faixas_Clientes'!$F$5:$F$10)</x:f>
        <x:v>28000</x:v>
      </x:c>
      <x:c r="H9" s="32" t="n">
        <x:f>LOOKUP(B9,'02_Faixas_Clientes'!$B$5:$B$10,'02_Faixas_Clientes'!$G$5:$G$10)</x:f>
        <x:v>23000</x:v>
      </x:c>
      <x:c r="I9" s="32" t="n">
        <x:f>LOOKUP(B9,'02_Faixas_Clientes'!$B$5:$B$10,'02_Faixas_Clientes'!$H$5:$H$10)</x:f>
        <x:v>19000</x:v>
      </x:c>
      <x:c r="J9" s="32" t="n">
        <x:f>SUM(F9:I9)</x:f>
        <x:v>102000</x:v>
      </x:c>
      <x:c r="K9" s="62" t="n">
        <x:f>J9/D9</x:f>
        <x:v>0.5666666666666667</x:v>
      </x:c>
      <x:c r="L9" s="32" t="n">
        <x:f>D9*'01_Premissas'!$B$7</x:f>
        <x:v>125999.99999999999</x:v>
      </x:c>
      <x:c r="M9" s="32" t="n">
        <x:f>L9-J9</x:f>
        <x:v>23999.999999999985</x:v>
      </x:c>
      <x:c r="N9" t="str">
        <x:f>LOOKUP(B9,'02_Faixas_Clientes'!$B$5:$B$10,'02_Faixas_Clientes'!$A$5:$A$10)</x:f>
        <x:v>Tração inicial</x:v>
      </x:c>
    </x:row>
    <x:row r="10">
      <x:c r="A10" t="n">
        <x:v>6</x:v>
      </x:c>
      <x:c r="B10" s="42" t="n">
        <x:v>6</x:v>
      </x:c>
      <x:c r="C10" s="46" t="n">
        <x:f>'01_Premissas'!$B$6</x:f>
        <x:v>30000</x:v>
      </x:c>
      <x:c r="D10" s="32" t="n">
        <x:f>B10*C10</x:f>
        <x:v>180000</x:v>
      </x:c>
      <x:c r="E10" s="32" t="n">
        <x:f>D10*12</x:f>
        <x:v>2160000</x:v>
      </x:c>
      <x:c r="F10" s="32" t="n">
        <x:f>LOOKUP(B10,'02_Faixas_Clientes'!$B$5:$B$10,'02_Faixas_Clientes'!$E$5:$E$10)</x:f>
        <x:v>32000</x:v>
      </x:c>
      <x:c r="G10" s="32" t="n">
        <x:f>LOOKUP(B10,'02_Faixas_Clientes'!$B$5:$B$10,'02_Faixas_Clientes'!$F$5:$F$10)</x:f>
        <x:v>28000</x:v>
      </x:c>
      <x:c r="H10" s="32" t="n">
        <x:f>LOOKUP(B10,'02_Faixas_Clientes'!$B$5:$B$10,'02_Faixas_Clientes'!$G$5:$G$10)</x:f>
        <x:v>23000</x:v>
      </x:c>
      <x:c r="I10" s="32" t="n">
        <x:f>LOOKUP(B10,'02_Faixas_Clientes'!$B$5:$B$10,'02_Faixas_Clientes'!$H$5:$H$10)</x:f>
        <x:v>19000</x:v>
      </x:c>
      <x:c r="J10" s="32" t="n">
        <x:f>SUM(F10:I10)</x:f>
        <x:v>102000</x:v>
      </x:c>
      <x:c r="K10" s="62" t="n">
        <x:f>J10/D10</x:f>
        <x:v>0.5666666666666667</x:v>
      </x:c>
      <x:c r="L10" s="32" t="n">
        <x:f>D10*'01_Premissas'!$B$7</x:f>
        <x:v>125999.99999999999</x:v>
      </x:c>
      <x:c r="M10" s="32" t="n">
        <x:f>L10-J10</x:f>
        <x:v>23999.999999999985</x:v>
      </x:c>
      <x:c r="N10" t="str">
        <x:f>LOOKUP(B10,'02_Faixas_Clientes'!$B$5:$B$10,'02_Faixas_Clientes'!$A$5:$A$10)</x:f>
        <x:v>Tração inicial</x:v>
      </x:c>
    </x:row>
    <x:row r="11">
      <x:c r="A11" t="n">
        <x:v>7</x:v>
      </x:c>
      <x:c r="B11" s="42" t="n">
        <x:v>10</x:v>
      </x:c>
      <x:c r="C11" s="46" t="n">
        <x:f>'01_Premissas'!$B$6</x:f>
        <x:v>30000</x:v>
      </x:c>
      <x:c r="D11" s="32" t="n">
        <x:f>B11*C11</x:f>
        <x:v>300000</x:v>
      </x:c>
      <x:c r="E11" s="32" t="n">
        <x:f>D11*12</x:f>
        <x:v>3600000</x:v>
      </x:c>
      <x:c r="F11" s="32" t="n">
        <x:f>LOOKUP(B11,'02_Faixas_Clientes'!$B$5:$B$10,'02_Faixas_Clientes'!$E$5:$E$10)</x:f>
        <x:v>40000</x:v>
      </x:c>
      <x:c r="G11" s="32" t="n">
        <x:f>LOOKUP(B11,'02_Faixas_Clientes'!$B$5:$B$10,'02_Faixas_Clientes'!$F$5:$F$10)</x:f>
        <x:v>35000</x:v>
      </x:c>
      <x:c r="H11" s="32" t="n">
        <x:f>LOOKUP(B11,'02_Faixas_Clientes'!$B$5:$B$10,'02_Faixas_Clientes'!$G$5:$G$10)</x:f>
        <x:v>28000</x:v>
      </x:c>
      <x:c r="I11" s="32" t="n">
        <x:f>LOOKUP(B11,'02_Faixas_Clientes'!$B$5:$B$10,'02_Faixas_Clientes'!$H$5:$H$10)</x:f>
        <x:v>23000</x:v>
      </x:c>
      <x:c r="J11" s="32" t="n">
        <x:f>SUM(F11:I11)</x:f>
        <x:v>126000</x:v>
      </x:c>
      <x:c r="K11" s="62" t="n">
        <x:f>J11/D11</x:f>
        <x:v>0.42</x:v>
      </x:c>
      <x:c r="L11" s="32" t="n">
        <x:f>D11*'01_Premissas'!$B$7</x:f>
        <x:v>210000</x:v>
      </x:c>
      <x:c r="M11" s="32" t="n">
        <x:f>L11-J11</x:f>
        <x:v>84000</x:v>
      </x:c>
      <x:c r="N11" t="str">
        <x:f>LOOKUP(B11,'02_Faixas_Clientes'!$B$5:$B$10,'02_Faixas_Clientes'!$A$5:$A$10)</x:f>
        <x:v>Tração</x:v>
      </x:c>
    </x:row>
    <x:row r="12">
      <x:c r="A12" t="n">
        <x:v>8</x:v>
      </x:c>
      <x:c r="B12" s="42" t="n">
        <x:v>10</x:v>
      </x:c>
      <x:c r="C12" s="46" t="n">
        <x:f>'01_Premissas'!$B$6</x:f>
        <x:v>30000</x:v>
      </x:c>
      <x:c r="D12" s="32" t="n">
        <x:f>B12*C12</x:f>
        <x:v>300000</x:v>
      </x:c>
      <x:c r="E12" s="32" t="n">
        <x:f>D12*12</x:f>
        <x:v>3600000</x:v>
      </x:c>
      <x:c r="F12" s="32" t="n">
        <x:f>LOOKUP(B12,'02_Faixas_Clientes'!$B$5:$B$10,'02_Faixas_Clientes'!$E$5:$E$10)</x:f>
        <x:v>40000</x:v>
      </x:c>
      <x:c r="G12" s="32" t="n">
        <x:f>LOOKUP(B12,'02_Faixas_Clientes'!$B$5:$B$10,'02_Faixas_Clientes'!$F$5:$F$10)</x:f>
        <x:v>35000</x:v>
      </x:c>
      <x:c r="H12" s="32" t="n">
        <x:f>LOOKUP(B12,'02_Faixas_Clientes'!$B$5:$B$10,'02_Faixas_Clientes'!$G$5:$G$10)</x:f>
        <x:v>28000</x:v>
      </x:c>
      <x:c r="I12" s="32" t="n">
        <x:f>LOOKUP(B12,'02_Faixas_Clientes'!$B$5:$B$10,'02_Faixas_Clientes'!$H$5:$H$10)</x:f>
        <x:v>23000</x:v>
      </x:c>
      <x:c r="J12" s="32" t="n">
        <x:f>SUM(F12:I12)</x:f>
        <x:v>126000</x:v>
      </x:c>
      <x:c r="K12" s="62" t="n">
        <x:f>J12/D12</x:f>
        <x:v>0.42</x:v>
      </x:c>
      <x:c r="L12" s="32" t="n">
        <x:f>D12*'01_Premissas'!$B$7</x:f>
        <x:v>210000</x:v>
      </x:c>
      <x:c r="M12" s="32" t="n">
        <x:f>L12-J12</x:f>
        <x:v>84000</x:v>
      </x:c>
      <x:c r="N12" t="str">
        <x:f>LOOKUP(B12,'02_Faixas_Clientes'!$B$5:$B$10,'02_Faixas_Clientes'!$A$5:$A$10)</x:f>
        <x:v>Tração</x:v>
      </x:c>
    </x:row>
    <x:row r="13">
      <x:c r="A13" t="n">
        <x:v>9</x:v>
      </x:c>
      <x:c r="B13" s="42" t="n">
        <x:v>10</x:v>
      </x:c>
      <x:c r="C13" s="46" t="n">
        <x:f>'01_Premissas'!$B$6</x:f>
        <x:v>30000</x:v>
      </x:c>
      <x:c r="D13" s="32" t="n">
        <x:f>B13*C13</x:f>
        <x:v>300000</x:v>
      </x:c>
      <x:c r="E13" s="32" t="n">
        <x:f>D13*12</x:f>
        <x:v>3600000</x:v>
      </x:c>
      <x:c r="F13" s="32" t="n">
        <x:f>LOOKUP(B13,'02_Faixas_Clientes'!$B$5:$B$10,'02_Faixas_Clientes'!$E$5:$E$10)</x:f>
        <x:v>40000</x:v>
      </x:c>
      <x:c r="G13" s="32" t="n">
        <x:f>LOOKUP(B13,'02_Faixas_Clientes'!$B$5:$B$10,'02_Faixas_Clientes'!$F$5:$F$10)</x:f>
        <x:v>35000</x:v>
      </x:c>
      <x:c r="H13" s="32" t="n">
        <x:f>LOOKUP(B13,'02_Faixas_Clientes'!$B$5:$B$10,'02_Faixas_Clientes'!$G$5:$G$10)</x:f>
        <x:v>28000</x:v>
      </x:c>
      <x:c r="I13" s="32" t="n">
        <x:f>LOOKUP(B13,'02_Faixas_Clientes'!$B$5:$B$10,'02_Faixas_Clientes'!$H$5:$H$10)</x:f>
        <x:v>23000</x:v>
      </x:c>
      <x:c r="J13" s="32" t="n">
        <x:f>SUM(F13:I13)</x:f>
        <x:v>126000</x:v>
      </x:c>
      <x:c r="K13" s="62" t="n">
        <x:f>J13/D13</x:f>
        <x:v>0.42</x:v>
      </x:c>
      <x:c r="L13" s="32" t="n">
        <x:f>D13*'01_Premissas'!$B$7</x:f>
        <x:v>210000</x:v>
      </x:c>
      <x:c r="M13" s="32" t="n">
        <x:f>L13-J13</x:f>
        <x:v>84000</x:v>
      </x:c>
      <x:c r="N13" t="str">
        <x:f>LOOKUP(B13,'02_Faixas_Clientes'!$B$5:$B$10,'02_Faixas_Clientes'!$A$5:$A$10)</x:f>
        <x:v>Tração</x:v>
      </x:c>
    </x:row>
    <x:row r="14">
      <x:c r="A14" t="n">
        <x:v>10</x:v>
      </x:c>
      <x:c r="B14" s="42" t="n">
        <x:v>10</x:v>
      </x:c>
      <x:c r="C14" s="46" t="n">
        <x:f>'01_Premissas'!$B$6</x:f>
        <x:v>30000</x:v>
      </x:c>
      <x:c r="D14" s="32" t="n">
        <x:f>B14*C14</x:f>
        <x:v>300000</x:v>
      </x:c>
      <x:c r="E14" s="32" t="n">
        <x:f>D14*12</x:f>
        <x:v>3600000</x:v>
      </x:c>
      <x:c r="F14" s="32" t="n">
        <x:f>LOOKUP(B14,'02_Faixas_Clientes'!$B$5:$B$10,'02_Faixas_Clientes'!$E$5:$E$10)</x:f>
        <x:v>40000</x:v>
      </x:c>
      <x:c r="G14" s="32" t="n">
        <x:f>LOOKUP(B14,'02_Faixas_Clientes'!$B$5:$B$10,'02_Faixas_Clientes'!$F$5:$F$10)</x:f>
        <x:v>35000</x:v>
      </x:c>
      <x:c r="H14" s="32" t="n">
        <x:f>LOOKUP(B14,'02_Faixas_Clientes'!$B$5:$B$10,'02_Faixas_Clientes'!$G$5:$G$10)</x:f>
        <x:v>28000</x:v>
      </x:c>
      <x:c r="I14" s="32" t="n">
        <x:f>LOOKUP(B14,'02_Faixas_Clientes'!$B$5:$B$10,'02_Faixas_Clientes'!$H$5:$H$10)</x:f>
        <x:v>23000</x:v>
      </x:c>
      <x:c r="J14" s="32" t="n">
        <x:f>SUM(F14:I14)</x:f>
        <x:v>126000</x:v>
      </x:c>
      <x:c r="K14" s="62" t="n">
        <x:f>J14/D14</x:f>
        <x:v>0.42</x:v>
      </x:c>
      <x:c r="L14" s="32" t="n">
        <x:f>D14*'01_Premissas'!$B$7</x:f>
        <x:v>210000</x:v>
      </x:c>
      <x:c r="M14" s="32" t="n">
        <x:f>L14-J14</x:f>
        <x:v>84000</x:v>
      </x:c>
      <x:c r="N14" t="str">
        <x:f>LOOKUP(B14,'02_Faixas_Clientes'!$B$5:$B$10,'02_Faixas_Clientes'!$A$5:$A$10)</x:f>
        <x:v>Tração</x:v>
      </x:c>
    </x:row>
    <x:row r="15">
      <x:c r="A15" t="n">
        <x:v>11</x:v>
      </x:c>
      <x:c r="B15" s="42" t="n">
        <x:v>10</x:v>
      </x:c>
      <x:c r="C15" s="46" t="n">
        <x:f>'01_Premissas'!$B$6</x:f>
        <x:v>30000</x:v>
      </x:c>
      <x:c r="D15" s="32" t="n">
        <x:f>B15*C15</x:f>
        <x:v>300000</x:v>
      </x:c>
      <x:c r="E15" s="32" t="n">
        <x:f>D15*12</x:f>
        <x:v>3600000</x:v>
      </x:c>
      <x:c r="F15" s="32" t="n">
        <x:f>LOOKUP(B15,'02_Faixas_Clientes'!$B$5:$B$10,'02_Faixas_Clientes'!$E$5:$E$10)</x:f>
        <x:v>40000</x:v>
      </x:c>
      <x:c r="G15" s="32" t="n">
        <x:f>LOOKUP(B15,'02_Faixas_Clientes'!$B$5:$B$10,'02_Faixas_Clientes'!$F$5:$F$10)</x:f>
        <x:v>35000</x:v>
      </x:c>
      <x:c r="H15" s="32" t="n">
        <x:f>LOOKUP(B15,'02_Faixas_Clientes'!$B$5:$B$10,'02_Faixas_Clientes'!$G$5:$G$10)</x:f>
        <x:v>28000</x:v>
      </x:c>
      <x:c r="I15" s="32" t="n">
        <x:f>LOOKUP(B15,'02_Faixas_Clientes'!$B$5:$B$10,'02_Faixas_Clientes'!$H$5:$H$10)</x:f>
        <x:v>23000</x:v>
      </x:c>
      <x:c r="J15" s="32" t="n">
        <x:f>SUM(F15:I15)</x:f>
        <x:v>126000</x:v>
      </x:c>
      <x:c r="K15" s="62" t="n">
        <x:f>J15/D15</x:f>
        <x:v>0.42</x:v>
      </x:c>
      <x:c r="L15" s="32" t="n">
        <x:f>D15*'01_Premissas'!$B$7</x:f>
        <x:v>210000</x:v>
      </x:c>
      <x:c r="M15" s="32" t="n">
        <x:f>L15-J15</x:f>
        <x:v>84000</x:v>
      </x:c>
      <x:c r="N15" t="str">
        <x:f>LOOKUP(B15,'02_Faixas_Clientes'!$B$5:$B$10,'02_Faixas_Clientes'!$A$5:$A$10)</x:f>
        <x:v>Tração</x:v>
      </x:c>
    </x:row>
    <x:row r="16">
      <x:c r="A16" t="n">
        <x:v>12</x:v>
      </x:c>
      <x:c r="B16" s="42" t="n">
        <x:v>10</x:v>
      </x:c>
      <x:c r="C16" s="46" t="n">
        <x:f>'01_Premissas'!$B$6</x:f>
        <x:v>30000</x:v>
      </x:c>
      <x:c r="D16" s="32" t="n">
        <x:f>B16*C16</x:f>
        <x:v>300000</x:v>
      </x:c>
      <x:c r="E16" s="32" t="n">
        <x:f>D16*12</x:f>
        <x:v>3600000</x:v>
      </x:c>
      <x:c r="F16" s="32" t="n">
        <x:f>LOOKUP(B16,'02_Faixas_Clientes'!$B$5:$B$10,'02_Faixas_Clientes'!$E$5:$E$10)</x:f>
        <x:v>40000</x:v>
      </x:c>
      <x:c r="G16" s="32" t="n">
        <x:f>LOOKUP(B16,'02_Faixas_Clientes'!$B$5:$B$10,'02_Faixas_Clientes'!$F$5:$F$10)</x:f>
        <x:v>35000</x:v>
      </x:c>
      <x:c r="H16" s="32" t="n">
        <x:f>LOOKUP(B16,'02_Faixas_Clientes'!$B$5:$B$10,'02_Faixas_Clientes'!$G$5:$G$10)</x:f>
        <x:v>28000</x:v>
      </x:c>
      <x:c r="I16" s="32" t="n">
        <x:f>LOOKUP(B16,'02_Faixas_Clientes'!$B$5:$B$10,'02_Faixas_Clientes'!$H$5:$H$10)</x:f>
        <x:v>23000</x:v>
      </x:c>
      <x:c r="J16" s="32" t="n">
        <x:f>SUM(F16:I16)</x:f>
        <x:v>126000</x:v>
      </x:c>
      <x:c r="K16" s="62" t="n">
        <x:f>J16/D16</x:f>
        <x:v>0.42</x:v>
      </x:c>
      <x:c r="L16" s="32" t="n">
        <x:f>D16*'01_Premissas'!$B$7</x:f>
        <x:v>210000</x:v>
      </x:c>
      <x:c r="M16" s="32" t="n">
        <x:f>L16-J16</x:f>
        <x:v>84000</x:v>
      </x:c>
      <x:c r="N16" t="str">
        <x:f>LOOKUP(B16,'02_Faixas_Clientes'!$B$5:$B$10,'02_Faixas_Clientes'!$A$5:$A$10)</x:f>
        <x:v>Tração</x:v>
      </x:c>
    </x:row>
    <x:row r="17">
      <x:c r="A17" t="n">
        <x:v>13</x:v>
      </x:c>
      <x:c r="B17" s="42" t="n">
        <x:v>20</x:v>
      </x:c>
      <x:c r="C17" s="46" t="n">
        <x:f>'01_Premissas'!$B$6</x:f>
        <x:v>30000</x:v>
      </x:c>
      <x:c r="D17" s="32" t="n">
        <x:f>B17*C17</x:f>
        <x:v>600000</x:v>
      </x:c>
      <x:c r="E17" s="32" t="n">
        <x:f>D17*12</x:f>
        <x:v>7200000</x:v>
      </x:c>
      <x:c r="F17" s="32" t="n">
        <x:f>LOOKUP(B17,'02_Faixas_Clientes'!$B$5:$B$10,'02_Faixas_Clientes'!$E$5:$E$10)</x:f>
        <x:v>50000</x:v>
      </x:c>
      <x:c r="G17" s="32" t="n">
        <x:f>LOOKUP(B17,'02_Faixas_Clientes'!$B$5:$B$10,'02_Faixas_Clientes'!$F$5:$F$10)</x:f>
        <x:v>45000</x:v>
      </x:c>
      <x:c r="H17" s="32" t="n">
        <x:f>LOOKUP(B17,'02_Faixas_Clientes'!$B$5:$B$10,'02_Faixas_Clientes'!$G$5:$G$10)</x:f>
        <x:v>35000</x:v>
      </x:c>
      <x:c r="I17" s="32" t="n">
        <x:f>LOOKUP(B17,'02_Faixas_Clientes'!$B$5:$B$10,'02_Faixas_Clientes'!$H$5:$H$10)</x:f>
        <x:v>28000</x:v>
      </x:c>
      <x:c r="J17" s="32" t="n">
        <x:f>SUM(F17:I17)</x:f>
        <x:v>158000</x:v>
      </x:c>
      <x:c r="K17" s="62" t="n">
        <x:f>J17/D17</x:f>
        <x:v>0.2633333333333333</x:v>
      </x:c>
      <x:c r="L17" s="32" t="n">
        <x:f>D17*'01_Premissas'!$B$7</x:f>
        <x:v>420000</x:v>
      </x:c>
      <x:c r="M17" s="32" t="n">
        <x:f>L17-J17</x:f>
        <x:v>262000</x:v>
      </x:c>
      <x:c r="N17" t="str">
        <x:f>LOOKUP(B17,'02_Faixas_Clientes'!$B$5:$B$10,'02_Faixas_Clientes'!$A$5:$A$10)</x:f>
        <x:v>Escala inicial</x:v>
      </x:c>
    </x:row>
    <x:row r="18">
      <x:c r="A18" t="n">
        <x:v>14</x:v>
      </x:c>
      <x:c r="B18" s="42" t="n">
        <x:v>20</x:v>
      </x:c>
      <x:c r="C18" s="46" t="n">
        <x:f>'01_Premissas'!$B$6</x:f>
        <x:v>30000</x:v>
      </x:c>
      <x:c r="D18" s="32" t="n">
        <x:f>B18*C18</x:f>
        <x:v>600000</x:v>
      </x:c>
      <x:c r="E18" s="32" t="n">
        <x:f>D18*12</x:f>
        <x:v>7200000</x:v>
      </x:c>
      <x:c r="F18" s="32" t="n">
        <x:f>LOOKUP(B18,'02_Faixas_Clientes'!$B$5:$B$10,'02_Faixas_Clientes'!$E$5:$E$10)</x:f>
        <x:v>50000</x:v>
      </x:c>
      <x:c r="G18" s="32" t="n">
        <x:f>LOOKUP(B18,'02_Faixas_Clientes'!$B$5:$B$10,'02_Faixas_Clientes'!$F$5:$F$10)</x:f>
        <x:v>45000</x:v>
      </x:c>
      <x:c r="H18" s="32" t="n">
        <x:f>LOOKUP(B18,'02_Faixas_Clientes'!$B$5:$B$10,'02_Faixas_Clientes'!$G$5:$G$10)</x:f>
        <x:v>35000</x:v>
      </x:c>
      <x:c r="I18" s="32" t="n">
        <x:f>LOOKUP(B18,'02_Faixas_Clientes'!$B$5:$B$10,'02_Faixas_Clientes'!$H$5:$H$10)</x:f>
        <x:v>28000</x:v>
      </x:c>
      <x:c r="J18" s="32" t="n">
        <x:f>SUM(F18:I18)</x:f>
        <x:v>158000</x:v>
      </x:c>
      <x:c r="K18" s="62" t="n">
        <x:f>J18/D18</x:f>
        <x:v>0.2633333333333333</x:v>
      </x:c>
      <x:c r="L18" s="32" t="n">
        <x:f>D18*'01_Premissas'!$B$7</x:f>
        <x:v>420000</x:v>
      </x:c>
      <x:c r="M18" s="32" t="n">
        <x:f>L18-J18</x:f>
        <x:v>262000</x:v>
      </x:c>
      <x:c r="N18" t="str">
        <x:f>LOOKUP(B18,'02_Faixas_Clientes'!$B$5:$B$10,'02_Faixas_Clientes'!$A$5:$A$10)</x:f>
        <x:v>Escala inicial</x:v>
      </x:c>
    </x:row>
    <x:row r="19">
      <x:c r="A19" t="n">
        <x:v>15</x:v>
      </x:c>
      <x:c r="B19" s="42" t="n">
        <x:v>20</x:v>
      </x:c>
      <x:c r="C19" s="46" t="n">
        <x:f>'01_Premissas'!$B$6</x:f>
        <x:v>30000</x:v>
      </x:c>
      <x:c r="D19" s="32" t="n">
        <x:f>B19*C19</x:f>
        <x:v>600000</x:v>
      </x:c>
      <x:c r="E19" s="32" t="n">
        <x:f>D19*12</x:f>
        <x:v>7200000</x:v>
      </x:c>
      <x:c r="F19" s="32" t="n">
        <x:f>LOOKUP(B19,'02_Faixas_Clientes'!$B$5:$B$10,'02_Faixas_Clientes'!$E$5:$E$10)</x:f>
        <x:v>50000</x:v>
      </x:c>
      <x:c r="G19" s="32" t="n">
        <x:f>LOOKUP(B19,'02_Faixas_Clientes'!$B$5:$B$10,'02_Faixas_Clientes'!$F$5:$F$10)</x:f>
        <x:v>45000</x:v>
      </x:c>
      <x:c r="H19" s="32" t="n">
        <x:f>LOOKUP(B19,'02_Faixas_Clientes'!$B$5:$B$10,'02_Faixas_Clientes'!$G$5:$G$10)</x:f>
        <x:v>35000</x:v>
      </x:c>
      <x:c r="I19" s="32" t="n">
        <x:f>LOOKUP(B19,'02_Faixas_Clientes'!$B$5:$B$10,'02_Faixas_Clientes'!$H$5:$H$10)</x:f>
        <x:v>28000</x:v>
      </x:c>
      <x:c r="J19" s="32" t="n">
        <x:f>SUM(F19:I19)</x:f>
        <x:v>158000</x:v>
      </x:c>
      <x:c r="K19" s="62" t="n">
        <x:f>J19/D19</x:f>
        <x:v>0.2633333333333333</x:v>
      </x:c>
      <x:c r="L19" s="32" t="n">
        <x:f>D19*'01_Premissas'!$B$7</x:f>
        <x:v>420000</x:v>
      </x:c>
      <x:c r="M19" s="32" t="n">
        <x:f>L19-J19</x:f>
        <x:v>262000</x:v>
      </x:c>
      <x:c r="N19" t="str">
        <x:f>LOOKUP(B19,'02_Faixas_Clientes'!$B$5:$B$10,'02_Faixas_Clientes'!$A$5:$A$10)</x:f>
        <x:v>Escala inicial</x:v>
      </x:c>
    </x:row>
    <x:row r="20">
      <x:c r="A20" t="n">
        <x:v>16</x:v>
      </x:c>
      <x:c r="B20" s="42" t="n">
        <x:v>20</x:v>
      </x:c>
      <x:c r="C20" s="46" t="n">
        <x:f>'01_Premissas'!$B$6</x:f>
        <x:v>30000</x:v>
      </x:c>
      <x:c r="D20" s="32" t="n">
        <x:f>B20*C20</x:f>
        <x:v>600000</x:v>
      </x:c>
      <x:c r="E20" s="32" t="n">
        <x:f>D20*12</x:f>
        <x:v>7200000</x:v>
      </x:c>
      <x:c r="F20" s="32" t="n">
        <x:f>LOOKUP(B20,'02_Faixas_Clientes'!$B$5:$B$10,'02_Faixas_Clientes'!$E$5:$E$10)</x:f>
        <x:v>50000</x:v>
      </x:c>
      <x:c r="G20" s="32" t="n">
        <x:f>LOOKUP(B20,'02_Faixas_Clientes'!$B$5:$B$10,'02_Faixas_Clientes'!$F$5:$F$10)</x:f>
        <x:v>45000</x:v>
      </x:c>
      <x:c r="H20" s="32" t="n">
        <x:f>LOOKUP(B20,'02_Faixas_Clientes'!$B$5:$B$10,'02_Faixas_Clientes'!$G$5:$G$10)</x:f>
        <x:v>35000</x:v>
      </x:c>
      <x:c r="I20" s="32" t="n">
        <x:f>LOOKUP(B20,'02_Faixas_Clientes'!$B$5:$B$10,'02_Faixas_Clientes'!$H$5:$H$10)</x:f>
        <x:v>28000</x:v>
      </x:c>
      <x:c r="J20" s="32" t="n">
        <x:f>SUM(F20:I20)</x:f>
        <x:v>158000</x:v>
      </x:c>
      <x:c r="K20" s="62" t="n">
        <x:f>J20/D20</x:f>
        <x:v>0.2633333333333333</x:v>
      </x:c>
      <x:c r="L20" s="32" t="n">
        <x:f>D20*'01_Premissas'!$B$7</x:f>
        <x:v>420000</x:v>
      </x:c>
      <x:c r="M20" s="32" t="n">
        <x:f>L20-J20</x:f>
        <x:v>262000</x:v>
      </x:c>
      <x:c r="N20" t="str">
        <x:f>LOOKUP(B20,'02_Faixas_Clientes'!$B$5:$B$10,'02_Faixas_Clientes'!$A$5:$A$10)</x:f>
        <x:v>Escala inicial</x:v>
      </x:c>
    </x:row>
    <x:row r="21">
      <x:c r="A21" t="n">
        <x:v>17</x:v>
      </x:c>
      <x:c r="B21" s="42" t="n">
        <x:v>20</x:v>
      </x:c>
      <x:c r="C21" s="46" t="n">
        <x:f>'01_Premissas'!$B$6</x:f>
        <x:v>30000</x:v>
      </x:c>
      <x:c r="D21" s="32" t="n">
        <x:f>B21*C21</x:f>
        <x:v>600000</x:v>
      </x:c>
      <x:c r="E21" s="32" t="n">
        <x:f>D21*12</x:f>
        <x:v>7200000</x:v>
      </x:c>
      <x:c r="F21" s="32" t="n">
        <x:f>LOOKUP(B21,'02_Faixas_Clientes'!$B$5:$B$10,'02_Faixas_Clientes'!$E$5:$E$10)</x:f>
        <x:v>50000</x:v>
      </x:c>
      <x:c r="G21" s="32" t="n">
        <x:f>LOOKUP(B21,'02_Faixas_Clientes'!$B$5:$B$10,'02_Faixas_Clientes'!$F$5:$F$10)</x:f>
        <x:v>45000</x:v>
      </x:c>
      <x:c r="H21" s="32" t="n">
        <x:f>LOOKUP(B21,'02_Faixas_Clientes'!$B$5:$B$10,'02_Faixas_Clientes'!$G$5:$G$10)</x:f>
        <x:v>35000</x:v>
      </x:c>
      <x:c r="I21" s="32" t="n">
        <x:f>LOOKUP(B21,'02_Faixas_Clientes'!$B$5:$B$10,'02_Faixas_Clientes'!$H$5:$H$10)</x:f>
        <x:v>28000</x:v>
      </x:c>
      <x:c r="J21" s="32" t="n">
        <x:f>SUM(F21:I21)</x:f>
        <x:v>158000</x:v>
      </x:c>
      <x:c r="K21" s="62" t="n">
        <x:f>J21/D21</x:f>
        <x:v>0.2633333333333333</x:v>
      </x:c>
      <x:c r="L21" s="32" t="n">
        <x:f>D21*'01_Premissas'!$B$7</x:f>
        <x:v>420000</x:v>
      </x:c>
      <x:c r="M21" s="32" t="n">
        <x:f>L21-J21</x:f>
        <x:v>262000</x:v>
      </x:c>
      <x:c r="N21" t="str">
        <x:f>LOOKUP(B21,'02_Faixas_Clientes'!$B$5:$B$10,'02_Faixas_Clientes'!$A$5:$A$10)</x:f>
        <x:v>Escala inicial</x:v>
      </x:c>
    </x:row>
    <x:row r="22">
      <x:c r="A22" t="n">
        <x:v>18</x:v>
      </x:c>
      <x:c r="B22" s="42" t="n">
        <x:v>20</x:v>
      </x:c>
      <x:c r="C22" s="46" t="n">
        <x:f>'01_Premissas'!$B$6</x:f>
        <x:v>30000</x:v>
      </x:c>
      <x:c r="D22" s="32" t="n">
        <x:f>B22*C22</x:f>
        <x:v>600000</x:v>
      </x:c>
      <x:c r="E22" s="32" t="n">
        <x:f>D22*12</x:f>
        <x:v>7200000</x:v>
      </x:c>
      <x:c r="F22" s="32" t="n">
        <x:f>LOOKUP(B22,'02_Faixas_Clientes'!$B$5:$B$10,'02_Faixas_Clientes'!$E$5:$E$10)</x:f>
        <x:v>50000</x:v>
      </x:c>
      <x:c r="G22" s="32" t="n">
        <x:f>LOOKUP(B22,'02_Faixas_Clientes'!$B$5:$B$10,'02_Faixas_Clientes'!$F$5:$F$10)</x:f>
        <x:v>45000</x:v>
      </x:c>
      <x:c r="H22" s="32" t="n">
        <x:f>LOOKUP(B22,'02_Faixas_Clientes'!$B$5:$B$10,'02_Faixas_Clientes'!$G$5:$G$10)</x:f>
        <x:v>35000</x:v>
      </x:c>
      <x:c r="I22" s="32" t="n">
        <x:f>LOOKUP(B22,'02_Faixas_Clientes'!$B$5:$B$10,'02_Faixas_Clientes'!$H$5:$H$10)</x:f>
        <x:v>28000</x:v>
      </x:c>
      <x:c r="J22" s="32" t="n">
        <x:f>SUM(F22:I22)</x:f>
        <x:v>158000</x:v>
      </x:c>
      <x:c r="K22" s="62" t="n">
        <x:f>J22/D22</x:f>
        <x:v>0.2633333333333333</x:v>
      </x:c>
      <x:c r="L22" s="32" t="n">
        <x:f>D22*'01_Premissas'!$B$7</x:f>
        <x:v>420000</x:v>
      </x:c>
      <x:c r="M22" s="32" t="n">
        <x:f>L22-J22</x:f>
        <x:v>262000</x:v>
      </x:c>
      <x:c r="N22" t="str">
        <x:f>LOOKUP(B22,'02_Faixas_Clientes'!$B$5:$B$10,'02_Faixas_Clientes'!$A$5:$A$10)</x:f>
        <x:v>Escala inicial</x:v>
      </x:c>
    </x:row>
    <x:row r="23">
      <x:c r="A23" t="n">
        <x:v>19</x:v>
      </x:c>
      <x:c r="B23" s="42" t="n">
        <x:v>35</x:v>
      </x:c>
      <x:c r="C23" s="46" t="n">
        <x:f>'01_Premissas'!$B$6</x:f>
        <x:v>30000</x:v>
      </x:c>
      <x:c r="D23" s="32" t="n">
        <x:f>B23*C23</x:f>
        <x:v>1050000</x:v>
      </x:c>
      <x:c r="E23" s="32" t="n">
        <x:f>D23*12</x:f>
        <x:v>12600000</x:v>
      </x:c>
      <x:c r="F23" s="32" t="n">
        <x:f>LOOKUP(B23,'02_Faixas_Clientes'!$B$5:$B$10,'02_Faixas_Clientes'!$E$5:$E$10)</x:f>
        <x:v>65000</x:v>
      </x:c>
      <x:c r="G23" s="32" t="n">
        <x:f>LOOKUP(B23,'02_Faixas_Clientes'!$B$5:$B$10,'02_Faixas_Clientes'!$F$5:$F$10)</x:f>
        <x:v>58000</x:v>
      </x:c>
      <x:c r="H23" s="32" t="n">
        <x:f>LOOKUP(B23,'02_Faixas_Clientes'!$B$5:$B$10,'02_Faixas_Clientes'!$G$5:$G$10)</x:f>
        <x:v>45000</x:v>
      </x:c>
      <x:c r="I23" s="32" t="n">
        <x:f>LOOKUP(B23,'02_Faixas_Clientes'!$B$5:$B$10,'02_Faixas_Clientes'!$H$5:$H$10)</x:f>
        <x:v>35000</x:v>
      </x:c>
      <x:c r="J23" s="32" t="n">
        <x:f>SUM(F23:I23)</x:f>
        <x:v>203000</x:v>
      </x:c>
      <x:c r="K23" s="62" t="n">
        <x:f>J23/D23</x:f>
        <x:v>0.19333333333333333</x:v>
      </x:c>
      <x:c r="L23" s="32" t="n">
        <x:f>D23*'01_Premissas'!$B$7</x:f>
        <x:v>735000</x:v>
      </x:c>
      <x:c r="M23" s="32" t="n">
        <x:f>L23-J23</x:f>
        <x:v>532000</x:v>
      </x:c>
      <x:c r="N23" t="str">
        <x:f>LOOKUP(B23,'02_Faixas_Clientes'!$B$5:$B$10,'02_Faixas_Clientes'!$A$5:$A$10)</x:f>
        <x:v>Escala</x:v>
      </x:c>
    </x:row>
    <x:row r="24">
      <x:c r="A24" t="n">
        <x:v>20</x:v>
      </x:c>
      <x:c r="B24" s="42" t="n">
        <x:v>35</x:v>
      </x:c>
      <x:c r="C24" s="46" t="n">
        <x:f>'01_Premissas'!$B$6</x:f>
        <x:v>30000</x:v>
      </x:c>
      <x:c r="D24" s="32" t="n">
        <x:f>B24*C24</x:f>
        <x:v>1050000</x:v>
      </x:c>
      <x:c r="E24" s="32" t="n">
        <x:f>D24*12</x:f>
        <x:v>12600000</x:v>
      </x:c>
      <x:c r="F24" s="32" t="n">
        <x:f>LOOKUP(B24,'02_Faixas_Clientes'!$B$5:$B$10,'02_Faixas_Clientes'!$E$5:$E$10)</x:f>
        <x:v>65000</x:v>
      </x:c>
      <x:c r="G24" s="32" t="n">
        <x:f>LOOKUP(B24,'02_Faixas_Clientes'!$B$5:$B$10,'02_Faixas_Clientes'!$F$5:$F$10)</x:f>
        <x:v>58000</x:v>
      </x:c>
      <x:c r="H24" s="32" t="n">
        <x:f>LOOKUP(B24,'02_Faixas_Clientes'!$B$5:$B$10,'02_Faixas_Clientes'!$G$5:$G$10)</x:f>
        <x:v>45000</x:v>
      </x:c>
      <x:c r="I24" s="32" t="n">
        <x:f>LOOKUP(B24,'02_Faixas_Clientes'!$B$5:$B$10,'02_Faixas_Clientes'!$H$5:$H$10)</x:f>
        <x:v>35000</x:v>
      </x:c>
      <x:c r="J24" s="32" t="n">
        <x:f>SUM(F24:I24)</x:f>
        <x:v>203000</x:v>
      </x:c>
      <x:c r="K24" s="62" t="n">
        <x:f>J24/D24</x:f>
        <x:v>0.19333333333333333</x:v>
      </x:c>
      <x:c r="L24" s="32" t="n">
        <x:f>D24*'01_Premissas'!$B$7</x:f>
        <x:v>735000</x:v>
      </x:c>
      <x:c r="M24" s="32" t="n">
        <x:f>L24-J24</x:f>
        <x:v>532000</x:v>
      </x:c>
      <x:c r="N24" t="str">
        <x:f>LOOKUP(B24,'02_Faixas_Clientes'!$B$5:$B$10,'02_Faixas_Clientes'!$A$5:$A$10)</x:f>
        <x:v>Escala</x:v>
      </x:c>
    </x:row>
    <x:row r="25">
      <x:c r="A25" t="n">
        <x:v>21</x:v>
      </x:c>
      <x:c r="B25" s="42" t="n">
        <x:v>35</x:v>
      </x:c>
      <x:c r="C25" s="46" t="n">
        <x:f>'01_Premissas'!$B$6</x:f>
        <x:v>30000</x:v>
      </x:c>
      <x:c r="D25" s="32" t="n">
        <x:f>B25*C25</x:f>
        <x:v>1050000</x:v>
      </x:c>
      <x:c r="E25" s="32" t="n">
        <x:f>D25*12</x:f>
        <x:v>12600000</x:v>
      </x:c>
      <x:c r="F25" s="32" t="n">
        <x:f>LOOKUP(B25,'02_Faixas_Clientes'!$B$5:$B$10,'02_Faixas_Clientes'!$E$5:$E$10)</x:f>
        <x:v>65000</x:v>
      </x:c>
      <x:c r="G25" s="32" t="n">
        <x:f>LOOKUP(B25,'02_Faixas_Clientes'!$B$5:$B$10,'02_Faixas_Clientes'!$F$5:$F$10)</x:f>
        <x:v>58000</x:v>
      </x:c>
      <x:c r="H25" s="32" t="n">
        <x:f>LOOKUP(B25,'02_Faixas_Clientes'!$B$5:$B$10,'02_Faixas_Clientes'!$G$5:$G$10)</x:f>
        <x:v>45000</x:v>
      </x:c>
      <x:c r="I25" s="32" t="n">
        <x:f>LOOKUP(B25,'02_Faixas_Clientes'!$B$5:$B$10,'02_Faixas_Clientes'!$H$5:$H$10)</x:f>
        <x:v>35000</x:v>
      </x:c>
      <x:c r="J25" s="32" t="n">
        <x:f>SUM(F25:I25)</x:f>
        <x:v>203000</x:v>
      </x:c>
      <x:c r="K25" s="62" t="n">
        <x:f>J25/D25</x:f>
        <x:v>0.19333333333333333</x:v>
      </x:c>
      <x:c r="L25" s="32" t="n">
        <x:f>D25*'01_Premissas'!$B$7</x:f>
        <x:v>735000</x:v>
      </x:c>
      <x:c r="M25" s="32" t="n">
        <x:f>L25-J25</x:f>
        <x:v>532000</x:v>
      </x:c>
      <x:c r="N25" t="str">
        <x:f>LOOKUP(B25,'02_Faixas_Clientes'!$B$5:$B$10,'02_Faixas_Clientes'!$A$5:$A$10)</x:f>
        <x:v>Escala</x:v>
      </x:c>
    </x:row>
    <x:row r="26">
      <x:c r="A26" t="n">
        <x:v>22</x:v>
      </x:c>
      <x:c r="B26" s="42" t="n">
        <x:v>35</x:v>
      </x:c>
      <x:c r="C26" s="46" t="n">
        <x:f>'01_Premissas'!$B$6</x:f>
        <x:v>30000</x:v>
      </x:c>
      <x:c r="D26" s="32" t="n">
        <x:f>B26*C26</x:f>
        <x:v>1050000</x:v>
      </x:c>
      <x:c r="E26" s="32" t="n">
        <x:f>D26*12</x:f>
        <x:v>12600000</x:v>
      </x:c>
      <x:c r="F26" s="32" t="n">
        <x:f>LOOKUP(B26,'02_Faixas_Clientes'!$B$5:$B$10,'02_Faixas_Clientes'!$E$5:$E$10)</x:f>
        <x:v>65000</x:v>
      </x:c>
      <x:c r="G26" s="32" t="n">
        <x:f>LOOKUP(B26,'02_Faixas_Clientes'!$B$5:$B$10,'02_Faixas_Clientes'!$F$5:$F$10)</x:f>
        <x:v>58000</x:v>
      </x:c>
      <x:c r="H26" s="32" t="n">
        <x:f>LOOKUP(B26,'02_Faixas_Clientes'!$B$5:$B$10,'02_Faixas_Clientes'!$G$5:$G$10)</x:f>
        <x:v>45000</x:v>
      </x:c>
      <x:c r="I26" s="32" t="n">
        <x:f>LOOKUP(B26,'02_Faixas_Clientes'!$B$5:$B$10,'02_Faixas_Clientes'!$H$5:$H$10)</x:f>
        <x:v>35000</x:v>
      </x:c>
      <x:c r="J26" s="32" t="n">
        <x:f>SUM(F26:I26)</x:f>
        <x:v>203000</x:v>
      </x:c>
      <x:c r="K26" s="62" t="n">
        <x:f>J26/D26</x:f>
        <x:v>0.19333333333333333</x:v>
      </x:c>
      <x:c r="L26" s="32" t="n">
        <x:f>D26*'01_Premissas'!$B$7</x:f>
        <x:v>735000</x:v>
      </x:c>
      <x:c r="M26" s="32" t="n">
        <x:f>L26-J26</x:f>
        <x:v>532000</x:v>
      </x:c>
      <x:c r="N26" t="str">
        <x:f>LOOKUP(B26,'02_Faixas_Clientes'!$B$5:$B$10,'02_Faixas_Clientes'!$A$5:$A$10)</x:f>
        <x:v>Escala</x:v>
      </x:c>
    </x:row>
    <x:row r="27">
      <x:c r="A27" t="n">
        <x:v>23</x:v>
      </x:c>
      <x:c r="B27" s="42" t="n">
        <x:v>35</x:v>
      </x:c>
      <x:c r="C27" s="46" t="n">
        <x:f>'01_Premissas'!$B$6</x:f>
        <x:v>30000</x:v>
      </x:c>
      <x:c r="D27" s="32" t="n">
        <x:f>B27*C27</x:f>
        <x:v>1050000</x:v>
      </x:c>
      <x:c r="E27" s="32" t="n">
        <x:f>D27*12</x:f>
        <x:v>12600000</x:v>
      </x:c>
      <x:c r="F27" s="32" t="n">
        <x:f>LOOKUP(B27,'02_Faixas_Clientes'!$B$5:$B$10,'02_Faixas_Clientes'!$E$5:$E$10)</x:f>
        <x:v>65000</x:v>
      </x:c>
      <x:c r="G27" s="32" t="n">
        <x:f>LOOKUP(B27,'02_Faixas_Clientes'!$B$5:$B$10,'02_Faixas_Clientes'!$F$5:$F$10)</x:f>
        <x:v>58000</x:v>
      </x:c>
      <x:c r="H27" s="32" t="n">
        <x:f>LOOKUP(B27,'02_Faixas_Clientes'!$B$5:$B$10,'02_Faixas_Clientes'!$G$5:$G$10)</x:f>
        <x:v>45000</x:v>
      </x:c>
      <x:c r="I27" s="32" t="n">
        <x:f>LOOKUP(B27,'02_Faixas_Clientes'!$B$5:$B$10,'02_Faixas_Clientes'!$H$5:$H$10)</x:f>
        <x:v>35000</x:v>
      </x:c>
      <x:c r="J27" s="32" t="n">
        <x:f>SUM(F27:I27)</x:f>
        <x:v>203000</x:v>
      </x:c>
      <x:c r="K27" s="62" t="n">
        <x:f>J27/D27</x:f>
        <x:v>0.19333333333333333</x:v>
      </x:c>
      <x:c r="L27" s="32" t="n">
        <x:f>D27*'01_Premissas'!$B$7</x:f>
        <x:v>735000</x:v>
      </x:c>
      <x:c r="M27" s="32" t="n">
        <x:f>L27-J27</x:f>
        <x:v>532000</x:v>
      </x:c>
      <x:c r="N27" t="str">
        <x:f>LOOKUP(B27,'02_Faixas_Clientes'!$B$5:$B$10,'02_Faixas_Clientes'!$A$5:$A$10)</x:f>
        <x:v>Escala</x:v>
      </x:c>
    </x:row>
    <x:row r="28">
      <x:c r="A28" t="n">
        <x:v>24</x:v>
      </x:c>
      <x:c r="B28" s="42" t="n">
        <x:v>35</x:v>
      </x:c>
      <x:c r="C28" s="46" t="n">
        <x:f>'01_Premissas'!$B$6</x:f>
        <x:v>30000</x:v>
      </x:c>
      <x:c r="D28" s="32" t="n">
        <x:f>B28*C28</x:f>
        <x:v>1050000</x:v>
      </x:c>
      <x:c r="E28" s="32" t="n">
        <x:f>D28*12</x:f>
        <x:v>12600000</x:v>
      </x:c>
      <x:c r="F28" s="32" t="n">
        <x:f>LOOKUP(B28,'02_Faixas_Clientes'!$B$5:$B$10,'02_Faixas_Clientes'!$E$5:$E$10)</x:f>
        <x:v>65000</x:v>
      </x:c>
      <x:c r="G28" s="32" t="n">
        <x:f>LOOKUP(B28,'02_Faixas_Clientes'!$B$5:$B$10,'02_Faixas_Clientes'!$F$5:$F$10)</x:f>
        <x:v>58000</x:v>
      </x:c>
      <x:c r="H28" s="32" t="n">
        <x:f>LOOKUP(B28,'02_Faixas_Clientes'!$B$5:$B$10,'02_Faixas_Clientes'!$G$5:$G$10)</x:f>
        <x:v>45000</x:v>
      </x:c>
      <x:c r="I28" s="32" t="n">
        <x:f>LOOKUP(B28,'02_Faixas_Clientes'!$B$5:$B$10,'02_Faixas_Clientes'!$H$5:$H$10)</x:f>
        <x:v>35000</x:v>
      </x:c>
      <x:c r="J28" s="32" t="n">
        <x:f>SUM(F28:I28)</x:f>
        <x:v>203000</x:v>
      </x:c>
      <x:c r="K28" s="62" t="n">
        <x:f>J28/D28</x:f>
        <x:v>0.19333333333333333</x:v>
      </x:c>
      <x:c r="L28" s="32" t="n">
        <x:f>D28*'01_Premissas'!$B$7</x:f>
        <x:v>735000</x:v>
      </x:c>
      <x:c r="M28" s="32" t="n">
        <x:f>L28-J28</x:f>
        <x:v>532000</x:v>
      </x:c>
      <x:c r="N28" t="str">
        <x:f>LOOKUP(B28,'02_Faixas_Clientes'!$B$5:$B$10,'02_Faixas_Clientes'!$A$5:$A$10)</x:f>
        <x:v>Escala</x:v>
      </x:c>
    </x:row>
    <x:row r="29">
      <x:c r="A29" t="n">
        <x:v>25</x:v>
      </x:c>
      <x:c r="B29" s="42" t="n">
        <x:v>60</x:v>
      </x:c>
      <x:c r="C29" s="46" t="n">
        <x:f>'01_Premissas'!$B$6</x:f>
        <x:v>30000</x:v>
      </x:c>
      <x:c r="D29" s="32" t="n">
        <x:f>B29*C29</x:f>
        <x:v>1800000</x:v>
      </x:c>
      <x:c r="E29" s="32" t="n">
        <x:f>D29*12</x:f>
        <x:v>21600000</x:v>
      </x:c>
      <x:c r="F29" s="32" t="n">
        <x:f>LOOKUP(B29,'02_Faixas_Clientes'!$B$5:$B$10,'02_Faixas_Clientes'!$E$5:$E$10)</x:f>
        <x:v>80000</x:v>
      </x:c>
      <x:c r="G29" s="32" t="n">
        <x:f>LOOKUP(B29,'02_Faixas_Clientes'!$B$5:$B$10,'02_Faixas_Clientes'!$F$5:$F$10)</x:f>
        <x:v>70000</x:v>
      </x:c>
      <x:c r="H29" s="32" t="n">
        <x:f>LOOKUP(B29,'02_Faixas_Clientes'!$B$5:$B$10,'02_Faixas_Clientes'!$G$5:$G$10)</x:f>
        <x:v>55000</x:v>
      </x:c>
      <x:c r="I29" s="32" t="n">
        <x:f>LOOKUP(B29,'02_Faixas_Clientes'!$B$5:$B$10,'02_Faixas_Clientes'!$H$5:$H$10)</x:f>
        <x:v>42000</x:v>
      </x:c>
      <x:c r="J29" s="32" t="n">
        <x:f>SUM(F29:I29)</x:f>
        <x:v>247000</x:v>
      </x:c>
      <x:c r="K29" s="62" t="n">
        <x:f>J29/D29</x:f>
        <x:v>0.13722222222222222</x:v>
      </x:c>
      <x:c r="L29" s="32" t="n">
        <x:f>D29*'01_Premissas'!$B$7</x:f>
        <x:v>1260000</x:v>
      </x:c>
      <x:c r="M29" s="32" t="n">
        <x:f>L29-J29</x:f>
        <x:v>1013000</x:v>
      </x:c>
      <x:c r="N29" t="str">
        <x:f>LOOKUP(B29,'02_Faixas_Clientes'!$B$5:$B$10,'02_Faixas_Clientes'!$A$5:$A$10)</x:f>
        <x:v>Escala avançada</x:v>
      </x:c>
    </x:row>
    <x:row r="30">
      <x:c r="A30" t="n">
        <x:v>26</x:v>
      </x:c>
      <x:c r="B30" s="42" t="n">
        <x:v>60</x:v>
      </x:c>
      <x:c r="C30" s="46" t="n">
        <x:f>'01_Premissas'!$B$6</x:f>
        <x:v>30000</x:v>
      </x:c>
      <x:c r="D30" s="32" t="n">
        <x:f>B30*C30</x:f>
        <x:v>1800000</x:v>
      </x:c>
      <x:c r="E30" s="32" t="n">
        <x:f>D30*12</x:f>
        <x:v>21600000</x:v>
      </x:c>
      <x:c r="F30" s="32" t="n">
        <x:f>LOOKUP(B30,'02_Faixas_Clientes'!$B$5:$B$10,'02_Faixas_Clientes'!$E$5:$E$10)</x:f>
        <x:v>80000</x:v>
      </x:c>
      <x:c r="G30" s="32" t="n">
        <x:f>LOOKUP(B30,'02_Faixas_Clientes'!$B$5:$B$10,'02_Faixas_Clientes'!$F$5:$F$10)</x:f>
        <x:v>70000</x:v>
      </x:c>
      <x:c r="H30" s="32" t="n">
        <x:f>LOOKUP(B30,'02_Faixas_Clientes'!$B$5:$B$10,'02_Faixas_Clientes'!$G$5:$G$10)</x:f>
        <x:v>55000</x:v>
      </x:c>
      <x:c r="I30" s="32" t="n">
        <x:f>LOOKUP(B30,'02_Faixas_Clientes'!$B$5:$B$10,'02_Faixas_Clientes'!$H$5:$H$10)</x:f>
        <x:v>42000</x:v>
      </x:c>
      <x:c r="J30" s="32" t="n">
        <x:f>SUM(F30:I30)</x:f>
        <x:v>247000</x:v>
      </x:c>
      <x:c r="K30" s="62" t="n">
        <x:f>J30/D30</x:f>
        <x:v>0.13722222222222222</x:v>
      </x:c>
      <x:c r="L30" s="32" t="n">
        <x:f>D30*'01_Premissas'!$B$7</x:f>
        <x:v>1260000</x:v>
      </x:c>
      <x:c r="M30" s="32" t="n">
        <x:f>L30-J30</x:f>
        <x:v>1013000</x:v>
      </x:c>
      <x:c r="N30" t="str">
        <x:f>LOOKUP(B30,'02_Faixas_Clientes'!$B$5:$B$10,'02_Faixas_Clientes'!$A$5:$A$10)</x:f>
        <x:v>Escala avançada</x:v>
      </x:c>
    </x:row>
    <x:row r="31">
      <x:c r="A31" t="n">
        <x:v>27</x:v>
      </x:c>
      <x:c r="B31" s="42" t="n">
        <x:v>60</x:v>
      </x:c>
      <x:c r="C31" s="46" t="n">
        <x:f>'01_Premissas'!$B$6</x:f>
        <x:v>30000</x:v>
      </x:c>
      <x:c r="D31" s="32" t="n">
        <x:f>B31*C31</x:f>
        <x:v>1800000</x:v>
      </x:c>
      <x:c r="E31" s="32" t="n">
        <x:f>D31*12</x:f>
        <x:v>21600000</x:v>
      </x:c>
      <x:c r="F31" s="32" t="n">
        <x:f>LOOKUP(B31,'02_Faixas_Clientes'!$B$5:$B$10,'02_Faixas_Clientes'!$E$5:$E$10)</x:f>
        <x:v>80000</x:v>
      </x:c>
      <x:c r="G31" s="32" t="n">
        <x:f>LOOKUP(B31,'02_Faixas_Clientes'!$B$5:$B$10,'02_Faixas_Clientes'!$F$5:$F$10)</x:f>
        <x:v>70000</x:v>
      </x:c>
      <x:c r="H31" s="32" t="n">
        <x:f>LOOKUP(B31,'02_Faixas_Clientes'!$B$5:$B$10,'02_Faixas_Clientes'!$G$5:$G$10)</x:f>
        <x:v>55000</x:v>
      </x:c>
      <x:c r="I31" s="32" t="n">
        <x:f>LOOKUP(B31,'02_Faixas_Clientes'!$B$5:$B$10,'02_Faixas_Clientes'!$H$5:$H$10)</x:f>
        <x:v>42000</x:v>
      </x:c>
      <x:c r="J31" s="32" t="n">
        <x:f>SUM(F31:I31)</x:f>
        <x:v>247000</x:v>
      </x:c>
      <x:c r="K31" s="62" t="n">
        <x:f>J31/D31</x:f>
        <x:v>0.13722222222222222</x:v>
      </x:c>
      <x:c r="L31" s="32" t="n">
        <x:f>D31*'01_Premissas'!$B$7</x:f>
        <x:v>1260000</x:v>
      </x:c>
      <x:c r="M31" s="32" t="n">
        <x:f>L31-J31</x:f>
        <x:v>1013000</x:v>
      </x:c>
      <x:c r="N31" t="str">
        <x:f>LOOKUP(B31,'02_Faixas_Clientes'!$B$5:$B$10,'02_Faixas_Clientes'!$A$5:$A$10)</x:f>
        <x:v>Escala avançada</x:v>
      </x:c>
    </x:row>
    <x:row r="32">
      <x:c r="A32" t="n">
        <x:v>28</x:v>
      </x:c>
      <x:c r="B32" s="42" t="n">
        <x:v>60</x:v>
      </x:c>
      <x:c r="C32" s="46" t="n">
        <x:f>'01_Premissas'!$B$6</x:f>
        <x:v>30000</x:v>
      </x:c>
      <x:c r="D32" s="32" t="n">
        <x:f>B32*C32</x:f>
        <x:v>1800000</x:v>
      </x:c>
      <x:c r="E32" s="32" t="n">
        <x:f>D32*12</x:f>
        <x:v>21600000</x:v>
      </x:c>
      <x:c r="F32" s="32" t="n">
        <x:f>LOOKUP(B32,'02_Faixas_Clientes'!$B$5:$B$10,'02_Faixas_Clientes'!$E$5:$E$10)</x:f>
        <x:v>80000</x:v>
      </x:c>
      <x:c r="G32" s="32" t="n">
        <x:f>LOOKUP(B32,'02_Faixas_Clientes'!$B$5:$B$10,'02_Faixas_Clientes'!$F$5:$F$10)</x:f>
        <x:v>70000</x:v>
      </x:c>
      <x:c r="H32" s="32" t="n">
        <x:f>LOOKUP(B32,'02_Faixas_Clientes'!$B$5:$B$10,'02_Faixas_Clientes'!$G$5:$G$10)</x:f>
        <x:v>55000</x:v>
      </x:c>
      <x:c r="I32" s="32" t="n">
        <x:f>LOOKUP(B32,'02_Faixas_Clientes'!$B$5:$B$10,'02_Faixas_Clientes'!$H$5:$H$10)</x:f>
        <x:v>42000</x:v>
      </x:c>
      <x:c r="J32" s="32" t="n">
        <x:f>SUM(F32:I32)</x:f>
        <x:v>247000</x:v>
      </x:c>
      <x:c r="K32" s="62" t="n">
        <x:f>J32/D32</x:f>
        <x:v>0.13722222222222222</x:v>
      </x:c>
      <x:c r="L32" s="32" t="n">
        <x:f>D32*'01_Premissas'!$B$7</x:f>
        <x:v>1260000</x:v>
      </x:c>
      <x:c r="M32" s="32" t="n">
        <x:f>L32-J32</x:f>
        <x:v>1013000</x:v>
      </x:c>
      <x:c r="N32" t="str">
        <x:f>LOOKUP(B32,'02_Faixas_Clientes'!$B$5:$B$10,'02_Faixas_Clientes'!$A$5:$A$10)</x:f>
        <x:v>Escala avançada</x:v>
      </x:c>
    </x:row>
    <x:row r="33">
      <x:c r="A33" t="n">
        <x:v>29</x:v>
      </x:c>
      <x:c r="B33" s="42" t="n">
        <x:v>60</x:v>
      </x:c>
      <x:c r="C33" s="46" t="n">
        <x:f>'01_Premissas'!$B$6</x:f>
        <x:v>30000</x:v>
      </x:c>
      <x:c r="D33" s="32" t="n">
        <x:f>B33*C33</x:f>
        <x:v>1800000</x:v>
      </x:c>
      <x:c r="E33" s="32" t="n">
        <x:f>D33*12</x:f>
        <x:v>21600000</x:v>
      </x:c>
      <x:c r="F33" s="32" t="n">
        <x:f>LOOKUP(B33,'02_Faixas_Clientes'!$B$5:$B$10,'02_Faixas_Clientes'!$E$5:$E$10)</x:f>
        <x:v>80000</x:v>
      </x:c>
      <x:c r="G33" s="32" t="n">
        <x:f>LOOKUP(B33,'02_Faixas_Clientes'!$B$5:$B$10,'02_Faixas_Clientes'!$F$5:$F$10)</x:f>
        <x:v>70000</x:v>
      </x:c>
      <x:c r="H33" s="32" t="n">
        <x:f>LOOKUP(B33,'02_Faixas_Clientes'!$B$5:$B$10,'02_Faixas_Clientes'!$G$5:$G$10)</x:f>
        <x:v>55000</x:v>
      </x:c>
      <x:c r="I33" s="32" t="n">
        <x:f>LOOKUP(B33,'02_Faixas_Clientes'!$B$5:$B$10,'02_Faixas_Clientes'!$H$5:$H$10)</x:f>
        <x:v>42000</x:v>
      </x:c>
      <x:c r="J33" s="32" t="n">
        <x:f>SUM(F33:I33)</x:f>
        <x:v>247000</x:v>
      </x:c>
      <x:c r="K33" s="62" t="n">
        <x:f>J33/D33</x:f>
        <x:v>0.13722222222222222</x:v>
      </x:c>
      <x:c r="L33" s="32" t="n">
        <x:f>D33*'01_Premissas'!$B$7</x:f>
        <x:v>1260000</x:v>
      </x:c>
      <x:c r="M33" s="32" t="n">
        <x:f>L33-J33</x:f>
        <x:v>1013000</x:v>
      </x:c>
      <x:c r="N33" t="str">
        <x:f>LOOKUP(B33,'02_Faixas_Clientes'!$B$5:$B$10,'02_Faixas_Clientes'!$A$5:$A$10)</x:f>
        <x:v>Escala avançada</x:v>
      </x:c>
    </x:row>
    <x:row r="34">
      <x:c r="A34" t="n">
        <x:v>30</x:v>
      </x:c>
      <x:c r="B34" s="42" t="n">
        <x:v>60</x:v>
      </x:c>
      <x:c r="C34" s="46" t="n">
        <x:f>'01_Premissas'!$B$6</x:f>
        <x:v>30000</x:v>
      </x:c>
      <x:c r="D34" s="32" t="n">
        <x:f>B34*C34</x:f>
        <x:v>1800000</x:v>
      </x:c>
      <x:c r="E34" s="32" t="n">
        <x:f>D34*12</x:f>
        <x:v>21600000</x:v>
      </x:c>
      <x:c r="F34" s="32" t="n">
        <x:f>LOOKUP(B34,'02_Faixas_Clientes'!$B$5:$B$10,'02_Faixas_Clientes'!$E$5:$E$10)</x:f>
        <x:v>80000</x:v>
      </x:c>
      <x:c r="G34" s="32" t="n">
        <x:f>LOOKUP(B34,'02_Faixas_Clientes'!$B$5:$B$10,'02_Faixas_Clientes'!$F$5:$F$10)</x:f>
        <x:v>70000</x:v>
      </x:c>
      <x:c r="H34" s="32" t="n">
        <x:f>LOOKUP(B34,'02_Faixas_Clientes'!$B$5:$B$10,'02_Faixas_Clientes'!$G$5:$G$10)</x:f>
        <x:v>55000</x:v>
      </x:c>
      <x:c r="I34" s="32" t="n">
        <x:f>LOOKUP(B34,'02_Faixas_Clientes'!$B$5:$B$10,'02_Faixas_Clientes'!$H$5:$H$10)</x:f>
        <x:v>42000</x:v>
      </x:c>
      <x:c r="J34" s="32" t="n">
        <x:f>SUM(F34:I34)</x:f>
        <x:v>247000</x:v>
      </x:c>
      <x:c r="K34" s="62" t="n">
        <x:f>J34/D34</x:f>
        <x:v>0.13722222222222222</x:v>
      </x:c>
      <x:c r="L34" s="32" t="n">
        <x:f>D34*'01_Premissas'!$B$7</x:f>
        <x:v>1260000</x:v>
      </x:c>
      <x:c r="M34" s="32" t="n">
        <x:f>L34-J34</x:f>
        <x:v>1013000</x:v>
      </x:c>
      <x:c r="N34" t="str">
        <x:f>LOOKUP(B34,'02_Faixas_Clientes'!$B$5:$B$10,'02_Faixas_Clientes'!$A$5:$A$10)</x:f>
        <x:v>Escala avançada</x:v>
      </x:c>
    </x:row>
    <x:row r="35">
      <x:c r="A35" t="n">
        <x:v>31</x:v>
      </x:c>
      <x:c r="B35" s="42" t="n">
        <x:v>60</x:v>
      </x:c>
      <x:c r="C35" s="46" t="n">
        <x:f>'01_Premissas'!$B$6</x:f>
        <x:v>30000</x:v>
      </x:c>
      <x:c r="D35" s="32" t="n">
        <x:f>B35*C35</x:f>
        <x:v>1800000</x:v>
      </x:c>
      <x:c r="E35" s="32" t="n">
        <x:f>D35*12</x:f>
        <x:v>21600000</x:v>
      </x:c>
      <x:c r="F35" s="32" t="n">
        <x:f>LOOKUP(B35,'02_Faixas_Clientes'!$B$5:$B$10,'02_Faixas_Clientes'!$E$5:$E$10)</x:f>
        <x:v>80000</x:v>
      </x:c>
      <x:c r="G35" s="32" t="n">
        <x:f>LOOKUP(B35,'02_Faixas_Clientes'!$B$5:$B$10,'02_Faixas_Clientes'!$F$5:$F$10)</x:f>
        <x:v>70000</x:v>
      </x:c>
      <x:c r="H35" s="32" t="n">
        <x:f>LOOKUP(B35,'02_Faixas_Clientes'!$B$5:$B$10,'02_Faixas_Clientes'!$G$5:$G$10)</x:f>
        <x:v>55000</x:v>
      </x:c>
      <x:c r="I35" s="32" t="n">
        <x:f>LOOKUP(B35,'02_Faixas_Clientes'!$B$5:$B$10,'02_Faixas_Clientes'!$H$5:$H$10)</x:f>
        <x:v>42000</x:v>
      </x:c>
      <x:c r="J35" s="32" t="n">
        <x:f>SUM(F35:I35)</x:f>
        <x:v>247000</x:v>
      </x:c>
      <x:c r="K35" s="62" t="n">
        <x:f>J35/D35</x:f>
        <x:v>0.13722222222222222</x:v>
      </x:c>
      <x:c r="L35" s="32" t="n">
        <x:f>D35*'01_Premissas'!$B$7</x:f>
        <x:v>1260000</x:v>
      </x:c>
      <x:c r="M35" s="32" t="n">
        <x:f>L35-J35</x:f>
        <x:v>1013000</x:v>
      </x:c>
      <x:c r="N35" t="str">
        <x:f>LOOKUP(B35,'02_Faixas_Clientes'!$B$5:$B$10,'02_Faixas_Clientes'!$A$5:$A$10)</x:f>
        <x:v>Escala avançada</x:v>
      </x:c>
    </x:row>
    <x:row r="36">
      <x:c r="A36" t="n">
        <x:v>32</x:v>
      </x:c>
      <x:c r="B36" s="42" t="n">
        <x:v>60</x:v>
      </x:c>
      <x:c r="C36" s="46" t="n">
        <x:f>'01_Premissas'!$B$6</x:f>
        <x:v>30000</x:v>
      </x:c>
      <x:c r="D36" s="32" t="n">
        <x:f>B36*C36</x:f>
        <x:v>1800000</x:v>
      </x:c>
      <x:c r="E36" s="32" t="n">
        <x:f>D36*12</x:f>
        <x:v>21600000</x:v>
      </x:c>
      <x:c r="F36" s="32" t="n">
        <x:f>LOOKUP(B36,'02_Faixas_Clientes'!$B$5:$B$10,'02_Faixas_Clientes'!$E$5:$E$10)</x:f>
        <x:v>80000</x:v>
      </x:c>
      <x:c r="G36" s="32" t="n">
        <x:f>LOOKUP(B36,'02_Faixas_Clientes'!$B$5:$B$10,'02_Faixas_Clientes'!$F$5:$F$10)</x:f>
        <x:v>70000</x:v>
      </x:c>
      <x:c r="H36" s="32" t="n">
        <x:f>LOOKUP(B36,'02_Faixas_Clientes'!$B$5:$B$10,'02_Faixas_Clientes'!$G$5:$G$10)</x:f>
        <x:v>55000</x:v>
      </x:c>
      <x:c r="I36" s="32" t="n">
        <x:f>LOOKUP(B36,'02_Faixas_Clientes'!$B$5:$B$10,'02_Faixas_Clientes'!$H$5:$H$10)</x:f>
        <x:v>42000</x:v>
      </x:c>
      <x:c r="J36" s="32" t="n">
        <x:f>SUM(F36:I36)</x:f>
        <x:v>247000</x:v>
      </x:c>
      <x:c r="K36" s="62" t="n">
        <x:f>J36/D36</x:f>
        <x:v>0.13722222222222222</x:v>
      </x:c>
      <x:c r="L36" s="32" t="n">
        <x:f>D36*'01_Premissas'!$B$7</x:f>
        <x:v>1260000</x:v>
      </x:c>
      <x:c r="M36" s="32" t="n">
        <x:f>L36-J36</x:f>
        <x:v>1013000</x:v>
      </x:c>
      <x:c r="N36" t="str">
        <x:f>LOOKUP(B36,'02_Faixas_Clientes'!$B$5:$B$10,'02_Faixas_Clientes'!$A$5:$A$10)</x:f>
        <x:v>Escala avançada</x:v>
      </x:c>
    </x:row>
    <x:row r="37">
      <x:c r="A37" t="n">
        <x:v>33</x:v>
      </x:c>
      <x:c r="B37" s="42" t="n">
        <x:v>60</x:v>
      </x:c>
      <x:c r="C37" s="46" t="n">
        <x:f>'01_Premissas'!$B$6</x:f>
        <x:v>30000</x:v>
      </x:c>
      <x:c r="D37" s="32" t="n">
        <x:f>B37*C37</x:f>
        <x:v>1800000</x:v>
      </x:c>
      <x:c r="E37" s="32" t="n">
        <x:f>D37*12</x:f>
        <x:v>21600000</x:v>
      </x:c>
      <x:c r="F37" s="32" t="n">
        <x:f>LOOKUP(B37,'02_Faixas_Clientes'!$B$5:$B$10,'02_Faixas_Clientes'!$E$5:$E$10)</x:f>
        <x:v>80000</x:v>
      </x:c>
      <x:c r="G37" s="32" t="n">
        <x:f>LOOKUP(B37,'02_Faixas_Clientes'!$B$5:$B$10,'02_Faixas_Clientes'!$F$5:$F$10)</x:f>
        <x:v>70000</x:v>
      </x:c>
      <x:c r="H37" s="32" t="n">
        <x:f>LOOKUP(B37,'02_Faixas_Clientes'!$B$5:$B$10,'02_Faixas_Clientes'!$G$5:$G$10)</x:f>
        <x:v>55000</x:v>
      </x:c>
      <x:c r="I37" s="32" t="n">
        <x:f>LOOKUP(B37,'02_Faixas_Clientes'!$B$5:$B$10,'02_Faixas_Clientes'!$H$5:$H$10)</x:f>
        <x:v>42000</x:v>
      </x:c>
      <x:c r="J37" s="32" t="n">
        <x:f>SUM(F37:I37)</x:f>
        <x:v>247000</x:v>
      </x:c>
      <x:c r="K37" s="62" t="n">
        <x:f>J37/D37</x:f>
        <x:v>0.13722222222222222</x:v>
      </x:c>
      <x:c r="L37" s="32" t="n">
        <x:f>D37*'01_Premissas'!$B$7</x:f>
        <x:v>1260000</x:v>
      </x:c>
      <x:c r="M37" s="32" t="n">
        <x:f>L37-J37</x:f>
        <x:v>1013000</x:v>
      </x:c>
      <x:c r="N37" t="str">
        <x:f>LOOKUP(B37,'02_Faixas_Clientes'!$B$5:$B$10,'02_Faixas_Clientes'!$A$5:$A$10)</x:f>
        <x:v>Escala avançada</x:v>
      </x:c>
    </x:row>
    <x:row r="38">
      <x:c r="A38" t="n">
        <x:v>34</x:v>
      </x:c>
      <x:c r="B38" s="42" t="n">
        <x:v>60</x:v>
      </x:c>
      <x:c r="C38" s="46" t="n">
        <x:f>'01_Premissas'!$B$6</x:f>
        <x:v>30000</x:v>
      </x:c>
      <x:c r="D38" s="32" t="n">
        <x:f>B38*C38</x:f>
        <x:v>1800000</x:v>
      </x:c>
      <x:c r="E38" s="32" t="n">
        <x:f>D38*12</x:f>
        <x:v>21600000</x:v>
      </x:c>
      <x:c r="F38" s="32" t="n">
        <x:f>LOOKUP(B38,'02_Faixas_Clientes'!$B$5:$B$10,'02_Faixas_Clientes'!$E$5:$E$10)</x:f>
        <x:v>80000</x:v>
      </x:c>
      <x:c r="G38" s="32" t="n">
        <x:f>LOOKUP(B38,'02_Faixas_Clientes'!$B$5:$B$10,'02_Faixas_Clientes'!$F$5:$F$10)</x:f>
        <x:v>70000</x:v>
      </x:c>
      <x:c r="H38" s="32" t="n">
        <x:f>LOOKUP(B38,'02_Faixas_Clientes'!$B$5:$B$10,'02_Faixas_Clientes'!$G$5:$G$10)</x:f>
        <x:v>55000</x:v>
      </x:c>
      <x:c r="I38" s="32" t="n">
        <x:f>LOOKUP(B38,'02_Faixas_Clientes'!$B$5:$B$10,'02_Faixas_Clientes'!$H$5:$H$10)</x:f>
        <x:v>42000</x:v>
      </x:c>
      <x:c r="J38" s="32" t="n">
        <x:f>SUM(F38:I38)</x:f>
        <x:v>247000</x:v>
      </x:c>
      <x:c r="K38" s="62" t="n">
        <x:f>J38/D38</x:f>
        <x:v>0.13722222222222222</x:v>
      </x:c>
      <x:c r="L38" s="32" t="n">
        <x:f>D38*'01_Premissas'!$B$7</x:f>
        <x:v>1260000</x:v>
      </x:c>
      <x:c r="M38" s="32" t="n">
        <x:f>L38-J38</x:f>
        <x:v>1013000</x:v>
      </x:c>
      <x:c r="N38" t="str">
        <x:f>LOOKUP(B38,'02_Faixas_Clientes'!$B$5:$B$10,'02_Faixas_Clientes'!$A$5:$A$10)</x:f>
        <x:v>Escala avançada</x:v>
      </x:c>
    </x:row>
    <x:row r="39">
      <x:c r="A39" t="n">
        <x:v>35</x:v>
      </x:c>
      <x:c r="B39" s="42" t="n">
        <x:v>60</x:v>
      </x:c>
      <x:c r="C39" s="46" t="n">
        <x:f>'01_Premissas'!$B$6</x:f>
        <x:v>30000</x:v>
      </x:c>
      <x:c r="D39" s="32" t="n">
        <x:f>B39*C39</x:f>
        <x:v>1800000</x:v>
      </x:c>
      <x:c r="E39" s="32" t="n">
        <x:f>D39*12</x:f>
        <x:v>21600000</x:v>
      </x:c>
      <x:c r="F39" s="32" t="n">
        <x:f>LOOKUP(B39,'02_Faixas_Clientes'!$B$5:$B$10,'02_Faixas_Clientes'!$E$5:$E$10)</x:f>
        <x:v>80000</x:v>
      </x:c>
      <x:c r="G39" s="32" t="n">
        <x:f>LOOKUP(B39,'02_Faixas_Clientes'!$B$5:$B$10,'02_Faixas_Clientes'!$F$5:$F$10)</x:f>
        <x:v>70000</x:v>
      </x:c>
      <x:c r="H39" s="32" t="n">
        <x:f>LOOKUP(B39,'02_Faixas_Clientes'!$B$5:$B$10,'02_Faixas_Clientes'!$G$5:$G$10)</x:f>
        <x:v>55000</x:v>
      </x:c>
      <x:c r="I39" s="32" t="n">
        <x:f>LOOKUP(B39,'02_Faixas_Clientes'!$B$5:$B$10,'02_Faixas_Clientes'!$H$5:$H$10)</x:f>
        <x:v>42000</x:v>
      </x:c>
      <x:c r="J39" s="32" t="n">
        <x:f>SUM(F39:I39)</x:f>
        <x:v>247000</x:v>
      </x:c>
      <x:c r="K39" s="62" t="n">
        <x:f>J39/D39</x:f>
        <x:v>0.13722222222222222</x:v>
      </x:c>
      <x:c r="L39" s="32" t="n">
        <x:f>D39*'01_Premissas'!$B$7</x:f>
        <x:v>1260000</x:v>
      </x:c>
      <x:c r="M39" s="32" t="n">
        <x:f>L39-J39</x:f>
        <x:v>1013000</x:v>
      </x:c>
      <x:c r="N39" t="str">
        <x:f>LOOKUP(B39,'02_Faixas_Clientes'!$B$5:$B$10,'02_Faixas_Clientes'!$A$5:$A$10)</x:f>
        <x:v>Escala avançada</x:v>
      </x:c>
    </x:row>
    <x:row r="40">
      <x:c r="A40" t="n">
        <x:v>36</x:v>
      </x:c>
      <x:c r="B40" s="42" t="n">
        <x:v>60</x:v>
      </x:c>
      <x:c r="C40" s="46" t="n">
        <x:f>'01_Premissas'!$B$6</x:f>
        <x:v>30000</x:v>
      </x:c>
      <x:c r="D40" s="32" t="n">
        <x:f>B40*C40</x:f>
        <x:v>1800000</x:v>
      </x:c>
      <x:c r="E40" s="32" t="n">
        <x:f>D40*12</x:f>
        <x:v>21600000</x:v>
      </x:c>
      <x:c r="F40" s="32" t="n">
        <x:f>LOOKUP(B40,'02_Faixas_Clientes'!$B$5:$B$10,'02_Faixas_Clientes'!$E$5:$E$10)</x:f>
        <x:v>80000</x:v>
      </x:c>
      <x:c r="G40" s="32" t="n">
        <x:f>LOOKUP(B40,'02_Faixas_Clientes'!$B$5:$B$10,'02_Faixas_Clientes'!$F$5:$F$10)</x:f>
        <x:v>70000</x:v>
      </x:c>
      <x:c r="H40" s="32" t="n">
        <x:f>LOOKUP(B40,'02_Faixas_Clientes'!$B$5:$B$10,'02_Faixas_Clientes'!$G$5:$G$10)</x:f>
        <x:v>55000</x:v>
      </x:c>
      <x:c r="I40" s="32" t="n">
        <x:f>LOOKUP(B40,'02_Faixas_Clientes'!$B$5:$B$10,'02_Faixas_Clientes'!$H$5:$H$10)</x:f>
        <x:v>42000</x:v>
      </x:c>
      <x:c r="J40" s="32" t="n">
        <x:f>SUM(F40:I40)</x:f>
        <x:v>247000</x:v>
      </x:c>
      <x:c r="K40" s="62" t="n">
        <x:f>J40/D40</x:f>
        <x:v>0.13722222222222222</x:v>
      </x:c>
      <x:c r="L40" s="32" t="n">
        <x:f>D40*'01_Premissas'!$B$7</x:f>
        <x:v>1260000</x:v>
      </x:c>
      <x:c r="M40" s="32" t="n">
        <x:f>L40-J40</x:f>
        <x:v>1013000</x:v>
      </x:c>
      <x:c r="N40" t="str">
        <x:f>LOOKUP(B40,'02_Faixas_Clientes'!$B$5:$B$10,'02_Faixas_Clientes'!$A$5:$A$10)</x:f>
        <x:v>Escala avançada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5" hidden="0" customWidth="1"/>
    <x:col min="4" max="4" width="24" hidden="0" customWidth="1"/>
    <x:col min="5" max="5" width="22" hidden="0" customWidth="1"/>
    <x:col min="6" max="6" width="15" hidden="0" customWidth="1"/>
    <x:col min="7" max="7" width="25" hidden="0" customWidth="1"/>
    <x:col min="8" max="8" width="42" hidden="0" customWidth="1"/>
  </x:cols>
  <x:sheetData>
    <x:row r="1" ht="28" customHeight="1">
      <x:c r="A1" s="3" t="str">
        <x:v>Política sugerida de remuneração pós-MVP</x:v>
      </x:c>
      <x:c r="B1" s="3"/>
      <x:c r="C1" s="3"/>
      <x:c r="D1" s="3"/>
      <x:c r="E1" s="3"/>
      <x:c r="F1" s="3"/>
      <x:c r="G1" s="3"/>
      <x:c r="H1" s="3"/>
    </x:row>
    <x:row r="4">
      <x:c r="A4" s="18" t="str">
        <x:v>Regra</x:v>
      </x:c>
      <x:c r="B4" s="18" t="str">
        <x:v>Como funciona</x:v>
      </x:c>
      <x:c r="C4" s="18" t="str">
        <x:v>Indicador</x:v>
      </x:c>
      <x:c r="D4" s="18" t="str">
        <x:v>Limite / gatilho</x:v>
      </x:c>
      <x:c r="E4" s="18" t="str">
        <x:v>Responsável</x:v>
      </x:c>
      <x:c r="F4" s="18" t="str">
        <x:v>Periodicidade</x:v>
      </x:c>
      <x:c r="G4" s="18" t="str">
        <x:v>Se não cumprir</x:v>
      </x:c>
      <x:c r="H4" s="18" t="str">
        <x:v>Objetivo</x:v>
      </x:c>
    </x:row>
    <x:row r="5">
      <x:c r="A5" s="36" t="str">
        <x:v>Clientes não bastam</x:v>
      </x:c>
      <x:c r="B5" s="36" t="str">
        <x:v>Faixa só sobe com receita recorrente real e diversificada.</x:v>
      </x:c>
      <x:c r="C5" s="36" t="str">
        <x:v>Clientes + MRR</x:v>
      </x:c>
      <x:c r="D5" s="36" t="str">
        <x:v>Faixa correspondente</x:v>
      </x:c>
      <x:c r="E5" s="36" t="str">
        <x:v>CEO + Board</x:v>
      </x:c>
      <x:c r="F5" s="36" t="str">
        <x:v>Trimestral</x:v>
      </x:c>
      <x:c r="G5" s="36" t="str">
        <x:v>Mantém faixa</x:v>
      </x:c>
      <x:c r="H5" s="36" t="str">
        <x:v>Evitar salário alto sem receita sustentável.</x:v>
      </x:c>
    </x:row>
    <x:row r="6">
      <x:c r="A6" s="36" t="str">
        <x:v>Trava de folha</x:v>
      </x:c>
      <x:c r="B6" s="36" t="str">
        <x:v>Folha fixa dos sócios respeita percentual do MRR.</x:v>
      </x:c>
      <x:c r="C6" s="36" t="str">
        <x:v>Folha/MRR</x:v>
      </x:c>
      <x:c r="D6" s="66" t="n">
        <x:f>'01_Premissas'!B9</x:f>
        <x:v>0.28</x:v>
      </x:c>
      <x:c r="E6" s="36" t="str">
        <x:v>Board</x:v>
      </x:c>
      <x:c r="F6" s="36" t="str">
        <x:v>Mensal</x:v>
      </x:c>
      <x:c r="G6" s="36" t="str">
        <x:v>Congela reajuste</x:v>
      </x:c>
      <x:c r="H6" s="36" t="str">
        <x:v>Proteger reinvestimento.</x:v>
      </x:c>
    </x:row>
    <x:row r="7">
      <x:c r="A7" s="36" t="str">
        <x:v>Margem</x:v>
      </x:c>
      <x:c r="B7" s="36" t="str">
        <x:v>Manter margem bruta mínima antes de elevar fixos.</x:v>
      </x:c>
      <x:c r="C7" s="36" t="str">
        <x:v>Margem bruta</x:v>
      </x:c>
      <x:c r="D7" s="66" t="n">
        <x:f>'01_Premissas'!B7</x:f>
        <x:v>0.7</x:v>
      </x:c>
      <x:c r="E7" s="36" t="str">
        <x:v>COO + Financeiro</x:v>
      </x:c>
      <x:c r="F7" s="36" t="str">
        <x:v>Mensal</x:v>
      </x:c>
      <x:c r="G7" s="36" t="str">
        <x:v>Congela reajuste</x:v>
      </x:c>
      <x:c r="H7" s="36" t="str">
        <x:v>Garantir qualidade da receita.</x:v>
      </x:c>
    </x:row>
    <x:row r="8">
      <x:c r="A8" s="36" t="str">
        <x:v>Runway</x:v>
      </x:c>
      <x:c r="B8" s="36" t="str">
        <x:v>Depois do reajuste, manter caixa mínimo.</x:v>
      </x:c>
      <x:c r="C8" s="36" t="str">
        <x:v>Runway</x:v>
      </x:c>
      <x:c r="D8" s="72" t="n">
        <x:f>'01_Premissas'!B8</x:f>
        <x:v>12</x:v>
      </x:c>
      <x:c r="E8" s="36" t="str">
        <x:v>CEO + Board</x:v>
      </x:c>
      <x:c r="F8" s="36" t="str">
        <x:v>Trimestral</x:v>
      </x:c>
      <x:c r="G8" s="36" t="str">
        <x:v>Adia reajuste</x:v>
      </x:c>
      <x:c r="H8" s="36" t="str">
        <x:v>Não trocar crescimento por remuneração.</x:v>
      </x:c>
    </x:row>
    <x:row r="9">
      <x:c r="A9" s="36" t="str">
        <x:v>Bônus variável</x:v>
      </x:c>
      <x:c r="B9" s="36" t="str">
        <x:v>Bônus depende de metas e não é automático.</x:v>
      </x:c>
      <x:c r="C9" s="36" t="str">
        <x:v>Receita, retenção, margem, produto</x:v>
      </x:c>
      <x:c r="D9" s="36" t="str">
        <x:v>C-level/Heads conforme premissas</x:v>
      </x:c>
      <x:c r="E9" s="36" t="str">
        <x:v>Board</x:v>
      </x:c>
      <x:c r="F9" s="36" t="str">
        <x:v>Anual</x:v>
      </x:c>
      <x:c r="G9" s="36" t="str">
        <x:v>Reduz ou zera</x:v>
      </x:c>
      <x:c r="H9" s="36" t="str">
        <x:v>Alinhar remuneração a valor.</x:v>
      </x:c>
    </x:row>
    <x:row r="10">
      <x:c r="A10" s="36" t="str">
        <x:v>Crédito histórico</x:v>
      </x:c>
      <x:c r="B10" s="36" t="str">
        <x:v>Trabalho diferido dos fundadores fica separado do salário corrente.</x:v>
      </x:c>
      <x:c r="C10" s="36" t="str">
        <x:v>Crédito acumulado</x:v>
      </x:c>
      <x:c r="D10" s="36" t="str">
        <x:v>Acordo societário</x:v>
      </x:c>
      <x:c r="E10" s="36" t="str">
        <x:v>Sócios + jurídico/contábil</x:v>
      </x:c>
      <x:c r="F10" s="36" t="str">
        <x:v>Após rodada/caixa</x:v>
      </x:c>
      <x:c r="G10" s="36" t="str">
        <x:v>Não vira salário</x:v>
      </x:c>
      <x:c r="H10" s="36" t="str">
        <x:v>Reconhecer esforço pré-investimento.</x:v>
      </x:c>
    </x:row>
    <x:row r="11">
      <x:c r="A11" s="36" t="str">
        <x:v>Equity</x:v>
      </x:c>
      <x:c r="B11" s="36" t="str">
        <x:v>Salário, comissão e equity são decisões distintas.</x:v>
      </x:c>
      <x:c r="C11" s="36" t="str">
        <x:v>Vesting / cap table</x:v>
      </x:c>
      <x:c r="D11" s="36" t="str">
        <x:v>Formalização jurídica</x:v>
      </x:c>
      <x:c r="E11" s="36" t="str">
        <x:v>Sócios + Board</x:v>
      </x:c>
      <x:c r="F11" s="36" t="str">
        <x:v>Evento societário</x:v>
      </x:c>
      <x:c r="G11" s="36" t="str">
        <x:v>Sem concessão automática</x:v>
      </x:c>
      <x:c r="H11" s="36" t="str">
        <x:v>Evitar diluição precoce.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7" hidden="0" customWidth="1"/>
    <x:col min="8" max="8" width="14" hidden="0" customWidth="1"/>
    <x:col min="9" max="9" width="18" hidden="0" customWidth="1"/>
    <x:col min="10" max="10" width="18" hidden="0" customWidth="1"/>
  </x:cols>
  <x:sheetData>
    <x:row r="1" ht="28" customHeight="1">
      <x:c r="A1" s="3" t="str">
        <x:v>Resumo executivo | Remuneração conforme escala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8" t="str">
        <x:v>Faixas altas são possíveis quando a empresa tem receita e caixa para sustentá-las.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>
      <x:c r="A4" s="13" t="str">
        <x:v>Escada principal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5">
      <x:c r="A5" s="18" t="str">
        <x:v>Clientes</x:v>
      </x:c>
      <x:c r="B5" s="18" t="str">
        <x:v>MRR estimado</x:v>
      </x:c>
      <x:c r="C5" s="18" t="str">
        <x:v>Tamara</x:v>
      </x:c>
      <x:c r="D5" s="18" t="str">
        <x:v>Marcos</x:v>
      </x:c>
      <x:c r="E5" s="18" t="str">
        <x:v>Paulo</x:v>
      </x:c>
      <x:c r="F5" s="18" t="str">
        <x:v>Pedro</x:v>
      </x:c>
      <x:c r="G5" s="18" t="str">
        <x:v>Folha mensal</x:v>
      </x:c>
      <x:c r="H5" s="18" t="str">
        <x:v>Folha/MRR</x:v>
      </x:c>
      <x:c r="I5" s="18" t="str">
        <x:v>Margem bruta</x:v>
      </x:c>
      <x:c r="J5" s="18" t="str">
        <x:v>Folha/margem</x:v>
      </x:c>
    </x:row>
    <x:row r="6">
      <x:c r="A6" s="44" t="n">
        <x:f>'02_Faixas_Clientes'!B5</x:f>
        <x:v>3</x:v>
      </x:c>
      <x:c r="B6" s="46" t="n">
        <x:f>'02_Faixas_Clientes'!C5</x:f>
        <x:v>90000</x:v>
      </x:c>
      <x:c r="C6" s="46" t="n">
        <x:f>'02_Faixas_Clientes'!E5</x:f>
        <x:v>25000</x:v>
      </x:c>
      <x:c r="D6" s="46" t="n">
        <x:f>'02_Faixas_Clientes'!F5</x:f>
        <x:v>22000</x:v>
      </x:c>
      <x:c r="E6" s="46" t="n">
        <x:f>'02_Faixas_Clientes'!G5</x:f>
        <x:v>18000</x:v>
      </x:c>
      <x:c r="F6" s="46" t="n">
        <x:f>'02_Faixas_Clientes'!H5</x:f>
        <x:v>15000</x:v>
      </x:c>
      <x:c r="G6" s="32" t="n">
        <x:f>SUM(C6:F6)</x:f>
        <x:v>80000</x:v>
      </x:c>
      <x:c r="H6" s="62" t="n">
        <x:f>G6/B6</x:f>
        <x:v>0.8888888888888888</x:v>
      </x:c>
      <x:c r="I6" s="32" t="n">
        <x:f>B6*'01_Premissas'!B7</x:f>
        <x:v>62999.99999999999</x:v>
      </x:c>
      <x:c r="J6" s="62" t="n">
        <x:f>G6/I6</x:f>
        <x:v>1.26984126984127</x:v>
      </x:c>
    </x:row>
    <x:row r="7">
      <x:c r="A7" s="44" t="n">
        <x:f>'02_Faixas_Clientes'!B6</x:f>
        <x:v>6</x:v>
      </x:c>
      <x:c r="B7" s="46" t="n">
        <x:f>'02_Faixas_Clientes'!C6</x:f>
        <x:v>180000</x:v>
      </x:c>
      <x:c r="C7" s="46" t="n">
        <x:f>'02_Faixas_Clientes'!E6</x:f>
        <x:v>32000</x:v>
      </x:c>
      <x:c r="D7" s="46" t="n">
        <x:f>'02_Faixas_Clientes'!F6</x:f>
        <x:v>28000</x:v>
      </x:c>
      <x:c r="E7" s="46" t="n">
        <x:f>'02_Faixas_Clientes'!G6</x:f>
        <x:v>23000</x:v>
      </x:c>
      <x:c r="F7" s="46" t="n">
        <x:f>'02_Faixas_Clientes'!H6</x:f>
        <x:v>19000</x:v>
      </x:c>
      <x:c r="G7" s="32" t="n">
        <x:f>SUM(C7:F7)</x:f>
        <x:v>102000</x:v>
      </x:c>
      <x:c r="H7" s="62" t="n">
        <x:f>G7/B7</x:f>
        <x:v>0.5666666666666667</x:v>
      </x:c>
      <x:c r="I7" s="32" t="n">
        <x:f>B7*'01_Premissas'!B7</x:f>
        <x:v>125999.99999999999</x:v>
      </x:c>
      <x:c r="J7" s="62" t="n">
        <x:f>G7/I7</x:f>
        <x:v>0.8095238095238096</x:v>
      </x:c>
    </x:row>
    <x:row r="8">
      <x:c r="A8" s="44" t="n">
        <x:f>'02_Faixas_Clientes'!B7</x:f>
        <x:v>10</x:v>
      </x:c>
      <x:c r="B8" s="46" t="n">
        <x:f>'02_Faixas_Clientes'!C7</x:f>
        <x:v>300000</x:v>
      </x:c>
      <x:c r="C8" s="46" t="n">
        <x:f>'02_Faixas_Clientes'!E7</x:f>
        <x:v>40000</x:v>
      </x:c>
      <x:c r="D8" s="46" t="n">
        <x:f>'02_Faixas_Clientes'!F7</x:f>
        <x:v>35000</x:v>
      </x:c>
      <x:c r="E8" s="46" t="n">
        <x:f>'02_Faixas_Clientes'!G7</x:f>
        <x:v>28000</x:v>
      </x:c>
      <x:c r="F8" s="46" t="n">
        <x:f>'02_Faixas_Clientes'!H7</x:f>
        <x:v>23000</x:v>
      </x:c>
      <x:c r="G8" s="32" t="n">
        <x:f>SUM(C8:F8)</x:f>
        <x:v>126000</x:v>
      </x:c>
      <x:c r="H8" s="62" t="n">
        <x:f>G8/B8</x:f>
        <x:v>0.42</x:v>
      </x:c>
      <x:c r="I8" s="32" t="n">
        <x:f>B8*'01_Premissas'!B7</x:f>
        <x:v>210000</x:v>
      </x:c>
      <x:c r="J8" s="62" t="n">
        <x:f>G8/I8</x:f>
        <x:v>0.6</x:v>
      </x:c>
    </x:row>
    <x:row r="9">
      <x:c r="A9" s="44" t="n">
        <x:f>'02_Faixas_Clientes'!B8</x:f>
        <x:v>20</x:v>
      </x:c>
      <x:c r="B9" s="46" t="n">
        <x:f>'02_Faixas_Clientes'!C8</x:f>
        <x:v>600000</x:v>
      </x:c>
      <x:c r="C9" s="46" t="n">
        <x:f>'02_Faixas_Clientes'!E8</x:f>
        <x:v>50000</x:v>
      </x:c>
      <x:c r="D9" s="46" t="n">
        <x:f>'02_Faixas_Clientes'!F8</x:f>
        <x:v>45000</x:v>
      </x:c>
      <x:c r="E9" s="46" t="n">
        <x:f>'02_Faixas_Clientes'!G8</x:f>
        <x:v>35000</x:v>
      </x:c>
      <x:c r="F9" s="46" t="n">
        <x:f>'02_Faixas_Clientes'!H8</x:f>
        <x:v>28000</x:v>
      </x:c>
      <x:c r="G9" s="32" t="n">
        <x:f>SUM(C9:F9)</x:f>
        <x:v>158000</x:v>
      </x:c>
      <x:c r="H9" s="62" t="n">
        <x:f>G9/B9</x:f>
        <x:v>0.2633333333333333</x:v>
      </x:c>
      <x:c r="I9" s="32" t="n">
        <x:f>B9*'01_Premissas'!B7</x:f>
        <x:v>420000</x:v>
      </x:c>
      <x:c r="J9" s="62" t="n">
        <x:f>G9/I9</x:f>
        <x:v>0.3761904761904762</x:v>
      </x:c>
    </x:row>
    <x:row r="10">
      <x:c r="A10" s="44" t="n">
        <x:f>'02_Faixas_Clientes'!B9</x:f>
        <x:v>35</x:v>
      </x:c>
      <x:c r="B10" s="46" t="n">
        <x:f>'02_Faixas_Clientes'!C9</x:f>
        <x:v>1050000</x:v>
      </x:c>
      <x:c r="C10" s="46" t="n">
        <x:f>'02_Faixas_Clientes'!E9</x:f>
        <x:v>65000</x:v>
      </x:c>
      <x:c r="D10" s="46" t="n">
        <x:f>'02_Faixas_Clientes'!F9</x:f>
        <x:v>58000</x:v>
      </x:c>
      <x:c r="E10" s="46" t="n">
        <x:f>'02_Faixas_Clientes'!G9</x:f>
        <x:v>45000</x:v>
      </x:c>
      <x:c r="F10" s="46" t="n">
        <x:f>'02_Faixas_Clientes'!H9</x:f>
        <x:v>35000</x:v>
      </x:c>
      <x:c r="G10" s="32" t="n">
        <x:f>SUM(C10:F10)</x:f>
        <x:v>203000</x:v>
      </x:c>
      <x:c r="H10" s="62" t="n">
        <x:f>G10/B10</x:f>
        <x:v>0.19333333333333333</x:v>
      </x:c>
      <x:c r="I10" s="32" t="n">
        <x:f>B10*'01_Premissas'!B7</x:f>
        <x:v>735000</x:v>
      </x:c>
      <x:c r="J10" s="62" t="n">
        <x:f>G10/I10</x:f>
        <x:v>0.2761904761904762</x:v>
      </x:c>
    </x:row>
    <x:row r="11">
      <x:c r="A11" s="44" t="n">
        <x:f>'02_Faixas_Clientes'!B10</x:f>
        <x:v>60</x:v>
      </x:c>
      <x:c r="B11" s="46" t="n">
        <x:f>'02_Faixas_Clientes'!C10</x:f>
        <x:v>1800000</x:v>
      </x:c>
      <x:c r="C11" s="46" t="n">
        <x:f>'02_Faixas_Clientes'!E10</x:f>
        <x:v>80000</x:v>
      </x:c>
      <x:c r="D11" s="46" t="n">
        <x:f>'02_Faixas_Clientes'!F10</x:f>
        <x:v>70000</x:v>
      </x:c>
      <x:c r="E11" s="46" t="n">
        <x:f>'02_Faixas_Clientes'!G10</x:f>
        <x:v>55000</x:v>
      </x:c>
      <x:c r="F11" s="46" t="n">
        <x:f>'02_Faixas_Clientes'!H10</x:f>
        <x:v>42000</x:v>
      </x:c>
      <x:c r="G11" s="32" t="n">
        <x:f>SUM(C11:F11)</x:f>
        <x:v>247000</x:v>
      </x:c>
      <x:c r="H11" s="62" t="n">
        <x:f>G11/B11</x:f>
        <x:v>0.13722222222222222</x:v>
      </x:c>
      <x:c r="I11" s="32" t="n">
        <x:f>B11*'01_Premissas'!B7</x:f>
        <x:v>1260000</x:v>
      </x:c>
      <x:c r="J11" s="62" t="n">
        <x:f>G11/I11</x:f>
        <x:v>0.19603174603174603</x:v>
      </x:c>
    </x:row>
    <x:row r="14">
      <x:c r="A14" s="13" t="str">
        <x:v>Leitura recomendada</x:v>
      </x:c>
      <x:c r="B14" s="13"/>
      <x:c r="C14" s="13"/>
      <x:c r="D14" s="13"/>
      <x:c r="E14" s="13"/>
      <x:c r="F14" s="13"/>
      <x:c r="G14" s="13"/>
      <x:c r="H14" s="13"/>
      <x:c r="I14" s="13"/>
      <x:c r="J14" s="13"/>
    </x:row>
    <x:row r="15">
      <x:c r="A15" s="76" t="str">
        <x:v>O número de clientes define a faixa possível; MRR, margem, runway e governança definem se o reajuste é liberado. Isso permite planejar salários altos para os sócios sem transformar receita inicial ou investimento em retirada excessiva. Créditos históricos de trabalho dos fundadores permanecem separados do salário corrente.</x:v>
      </x:c>
      <x:c r="B15" s="76"/>
      <x:c r="C15" s="76"/>
      <x:c r="D15" s="76"/>
      <x:c r="E15" s="76"/>
      <x:c r="F15" s="76"/>
      <x:c r="G15" s="76"/>
      <x:c r="H15" s="76"/>
      <x:c r="I15" s="76"/>
      <x:c r="J15" s="76"/>
    </x:row>
    <x:row r="16">
      <x:c r="A16" s="76"/>
      <x:c r="B16" s="76"/>
      <x:c r="C16" s="76"/>
      <x:c r="D16" s="76"/>
      <x:c r="E16" s="76"/>
      <x:c r="F16" s="76"/>
      <x:c r="G16" s="76"/>
      <x:c r="H16" s="76"/>
      <x:c r="I16" s="76"/>
      <x:c r="J16" s="76"/>
    </x:row>
    <x:row r="17">
      <x:c r="A17" s="76"/>
      <x:c r="B17" s="76"/>
      <x:c r="C17" s="76"/>
      <x:c r="D17" s="76"/>
      <x:c r="E17" s="76"/>
      <x:c r="F17" s="76"/>
      <x:c r="G17" s="76"/>
      <x:c r="H17" s="76"/>
      <x:c r="I17" s="76"/>
      <x:c r="J17" s="76"/>
    </x:row>
    <x:row r="18">
      <x:c r="A18" s="76"/>
      <x:c r="B18" s="76"/>
      <x:c r="C18" s="76"/>
      <x:c r="D18" s="76"/>
      <x:c r="E18" s="76"/>
      <x:c r="F18" s="76"/>
      <x:c r="G18" s="76"/>
      <x:c r="H18" s="76"/>
      <x:c r="I18" s="76"/>
      <x:c r="J18" s="76"/>
    </x:row>
  </x:sheetData>
  <x:mergeCells>
    <x:mergeCell ref="A1:J1"/>
    <x:mergeCell ref="A2:J2"/>
    <x:mergeCell ref="A4:J4"/>
    <x:mergeCell ref="A14:J14"/>
    <x:mergeCell ref="A15:J1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0" hidden="0" customWidth="1"/>
    <x:col min="5" max="5" width="17" hidden="0" customWidth="1"/>
    <x:col min="6" max="6" width="20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45" hidden="0" customWidth="1"/>
    <x:col min="12" max="12" width="24" hidden="0" customWidth="1"/>
  </x:cols>
  <x:sheetData>
    <x:row r="1" ht="28" customHeight="1">
      <x:c r="A1" s="79" t="str">
        <x:v>HUB | Custos absorvidos durante os MVPs e previsão de pagamento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</x:row>
    <x:row r="2" ht="38" customHeight="1">
      <x:c r="A2" s="82" t="str">
        <x:v>Memória econômica dos valores absorvidos/diferidos pelo time durante os MVPs. O cronograma abaixo transforma esse passivo econômico em uma previsão de pagamento sem pressionar o caixa da HUB. Valores podem conter sobreposição entre MVPs; por isso há um fator de reconhecimento editável por projeto.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</x:row>
    <x:row r="4">
      <x:c r="A4" s="85" t="str">
        <x:v>MVP / Case</x:v>
      </x:c>
      <x:c r="B4" s="85" t="str">
        <x:v>Custo econômico total</x:v>
      </x:c>
      <x:c r="C4" s="85" t="str">
        <x:v>Caixa pago no MVP</x:v>
      </x:c>
      <x:c r="D4" s="85" t="str">
        <x:v>Absorvido / diferido bruto</x:v>
      </x:c>
      <x:c r="E4" s="85" t="str">
        <x:v>Fator reconhecimento</x:v>
      </x:c>
      <x:c r="F4" s="85" t="str">
        <x:v>Valor reconhecido p/ pagamento</x:v>
      </x:c>
      <x:c r="G4" s="85" t="str">
        <x:v>Início pagamento</x:v>
      </x:c>
      <x:c r="H4" s="85" t="str">
        <x:v>Meses pagamento</x:v>
      </x:c>
      <x:c r="I4" s="85" t="str">
        <x:v>Parcela mensal</x:v>
      </x:c>
      <x:c r="J4" s="85" t="str">
        <x:v>Status</x:v>
      </x:c>
      <x:c r="K4" s="85" t="str">
        <x:v>Observação</x:v>
      </x:c>
      <x:c r="L4" s="85" t="str">
        <x:v>Fonte do valor</x:v>
      </x:c>
    </x:row>
    <x:row r="5">
      <x:c r="A5" s="36" t="str">
        <x:v>Monks — Estratégia &amp; Dados</x:v>
      </x:c>
      <x:c r="B5" s="37" t="n">
        <x:f>C5+D5</x:f>
        <x:v>131400</x:v>
      </x:c>
      <x:c r="C5" s="37">
        <x:f>B5-D5</x:f>
      </x:c>
      <x:c r="D5" s="53" t="n">
        <x:v>131400</x:v>
      </x:c>
      <x:c r="E5" s="93" t="n">
        <x:v>0.55</x:v>
      </x:c>
      <x:c r="F5" s="37" t="n">
        <x:f>D5*E5</x:f>
        <x:v>72270</x:v>
      </x:c>
      <x:c r="G5" s="94" t="str">
        <x:v>2027-01-01</x:v>
      </x:c>
      <x:c r="H5" s="95" t="n">
        <x:v>24</x:v>
      </x:c>
      <x:c r="I5" s="37" t="n">
        <x:f>F5/H5</x:f>
        <x:v>3011.25</x:v>
      </x:c>
      <x:c r="J5" s="36" t="str">
        <x:v>Planejado</x:v>
      </x:c>
      <x:c r="K5" s="36" t="str">
        <x:v>Há forte reutilização de CORE; fator evita contar 100% de horas repetidas.</x:v>
      </x:c>
      <x:c r="L5" s="36" t="str">
        <x:v>Modelo MVP Monks</x:v>
      </x:c>
    </x:row>
    <x:row r="6">
      <x:c r="A6" s="36" t="str">
        <x:v>Sebrae / GINGA — Fornecedores</x:v>
      </x:c>
      <x:c r="B6" s="37" t="n">
        <x:v>241100</x:v>
      </x:c>
      <x:c r="C6" s="37" t="n">
        <x:v>30800</x:v>
      </x:c>
      <x:c r="D6" s="53" t="n">
        <x:v>210300</x:v>
      </x:c>
      <x:c r="E6" s="93" t="n">
        <x:v>0.45</x:v>
      </x:c>
      <x:c r="F6" s="37" t="n">
        <x:f>D6*E6</x:f>
        <x:v>94635</x:v>
      </x:c>
      <x:c r="G6" s="94" t="str">
        <x:v>2027-01-01</x:v>
      </x:c>
      <x:c r="H6" s="95" t="n">
        <x:v>30</x:v>
      </x:c>
      <x:c r="I6" s="37" t="n">
        <x:f>F6/H6</x:f>
        <x:v>3154.5</x:v>
      </x:c>
      <x:c r="J6" s="36" t="str">
        <x:v>Planejado</x:v>
      </x:c>
      <x:c r="K6" s="36" t="str">
        <x:v>Matching, perfis, login e dashboards reaproveitáveis.</x:v>
      </x:c>
      <x:c r="L6" s="36" t="str">
        <x:v>Modelo MVP Sebrae/GINGA</x:v>
      </x:c>
    </x:row>
    <x:row r="7">
      <x:c r="A7" s="36" t="str">
        <x:v>Firjan — Talentos &amp; RH</x:v>
      </x:c>
      <x:c r="B7" s="37" t="n">
        <x:v>276580</x:v>
      </x:c>
      <x:c r="C7" s="37" t="n">
        <x:v>41280</x:v>
      </x:c>
      <x:c r="D7" s="53" t="n">
        <x:v>235300</x:v>
      </x:c>
      <x:c r="E7" s="93" t="n">
        <x:v>0.45</x:v>
      </x:c>
      <x:c r="F7" s="37" t="n">
        <x:f>D7*E7</x:f>
        <x:v>105885</x:v>
      </x:c>
      <x:c r="G7" s="94" t="str">
        <x:v>2027-04-01</x:v>
      </x:c>
      <x:c r="H7" s="95" t="n">
        <x:v>30</x:v>
      </x:c>
      <x:c r="I7" s="37" t="n">
        <x:f>F7/H7</x:f>
        <x:v>3529.5</x:v>
      </x:c>
      <x:c r="J7" s="36" t="str">
        <x:v>Planejado</x:v>
      </x:c>
      <x:c r="K7" s="36" t="str">
        <x:v>Parte do CORE e engine de matching é compartilhada.</x:v>
      </x:c>
      <x:c r="L7" s="36" t="str">
        <x:v>Modelo MVP Firjan</x:v>
      </x:c>
    </x:row>
    <x:row r="8">
      <x:c r="A8" s="36" t="str">
        <x:v>Mackenzie — Acadêmico</x:v>
      </x:c>
      <x:c r="B8" s="37" t="n">
        <x:v>216500</x:v>
      </x:c>
      <x:c r="C8" s="37" t="n">
        <x:v>27500</x:v>
      </x:c>
      <x:c r="D8" s="53" t="n">
        <x:v>189000</x:v>
      </x:c>
      <x:c r="E8" s="93" t="n">
        <x:v>0.4</x:v>
      </x:c>
      <x:c r="F8" s="37" t="n">
        <x:f>D8*E8</x:f>
        <x:v>75600</x:v>
      </x:c>
      <x:c r="G8" s="94" t="str">
        <x:v>2027-07-01</x:v>
      </x:c>
      <x:c r="H8" s="95" t="n">
        <x:v>30</x:v>
      </x:c>
      <x:c r="I8" s="37" t="n">
        <x:f>F8/H8</x:f>
        <x:v>2520</x:v>
      </x:c>
      <x:c r="J8" s="36" t="str">
        <x:v>Planejado</x:v>
      </x:c>
      <x:c r="K8" s="36" t="str">
        <x:v>Maior reaproveitamento de identidade, oportunidades e matching.</x:v>
      </x:c>
      <x:c r="L8" s="36" t="str">
        <x:v>Modelo MVP Mackenzie</x:v>
      </x:c>
    </x:row>
    <x:row r="9">
      <x:c r="A9" s="36" t="str">
        <x:v>Bblend — Meu Time + E&amp;D</x:v>
      </x:c>
      <x:c r="B9" s="37" t="n">
        <x:v>228880</x:v>
      </x:c>
      <x:c r="C9" s="37" t="n">
        <x:v>24780</x:v>
      </x:c>
      <x:c r="D9" s="53" t="n">
        <x:v>204100</x:v>
      </x:c>
      <x:c r="E9" s="93" t="n">
        <x:v>0.45</x:v>
      </x:c>
      <x:c r="F9" s="37" t="n">
        <x:f>D9*E9</x:f>
        <x:v>91845</x:v>
      </x:c>
      <x:c r="G9" s="94" t="str">
        <x:v>2027-04-01</x:v>
      </x:c>
      <x:c r="H9" s="95" t="n">
        <x:v>30</x:v>
      </x:c>
      <x:c r="I9" s="37" t="n">
        <x:f>F9/H9</x:f>
        <x:v>3061.5</x:v>
      </x:c>
      <x:c r="J9" s="36" t="str">
        <x:v>Planejado</x:v>
      </x:c>
      <x:c r="K9" s="36" t="str">
        <x:v>Dados, perfis e inteligência compartilham componentes com Monks/CORE.</x:v>
      </x:c>
      <x:c r="L9" s="36" t="str">
        <x:v>Modelo MVP Bblend</x:v>
      </x:c>
    </x:row>
    <x:row r="10">
      <x:c r="A10" s="36" t="str">
        <x:v>Eventos — HUB Eventos</x:v>
      </x:c>
      <x:c r="B10" s="37" t="n">
        <x:v>341840</x:v>
      </x:c>
      <x:c r="C10" s="37" t="n">
        <x:v>40640</x:v>
      </x:c>
      <x:c r="D10" s="53" t="n">
        <x:v>301200</x:v>
      </x:c>
      <x:c r="E10" s="93" t="n">
        <x:v>0.4</x:v>
      </x:c>
      <x:c r="F10" s="37" t="n">
        <x:f>D10*E10</x:f>
        <x:v>120480</x:v>
      </x:c>
      <x:c r="G10" s="94" t="str">
        <x:v>2027-07-01</x:v>
      </x:c>
      <x:c r="H10" s="95" t="n">
        <x:v>36</x:v>
      </x:c>
      <x:c r="I10" s="37" t="n">
        <x:f>F10/H10</x:f>
        <x:v>3346.6666666666665</x:v>
      </x:c>
      <x:c r="J10" s="36" t="str">
        <x:v>Planejado</x:v>
      </x:c>
      <x:c r="K10" s="36" t="str">
        <x:v>Vertical ampla, mas usa cadastro, matching, dashboards e dados já construídos.</x:v>
      </x:c>
      <x:c r="L10" s="36" t="str">
        <x:v>Modelo MVP Eventos</x:v>
      </x:c>
    </x:row>
    <x:row r="12">
      <x:c r="A12" s="97" t="str">
        <x:v>Resumo do passivo econômico reconhecido</x:v>
      </x:c>
      <x:c r="B12" s="97"/>
      <x:c r="C12" s="97"/>
      <x:c r="D12" s="97"/>
      <x:c r="E12" s="97"/>
      <x:c r="F12" s="97"/>
      <x:c r="G12" s="97"/>
      <x:c r="H12" s="97"/>
      <x:c r="I12" s="97"/>
      <x:c r="J12" s="97"/>
      <x:c r="K12" s="97"/>
      <x:c r="L12" s="97"/>
    </x:row>
    <x:row r="13">
      <x:c r="A13" s="83" t="str">
        <x:v>Indicador</x:v>
      </x:c>
      <x:c r="B13" s="83" t="str">
        <x:v>Valor</x:v>
      </x:c>
      <x:c r="C13" s="83" t="str">
        <x:v>Leitura</x:v>
      </x:c>
      <x:c r="D13" s="83" t="str"/>
      <x:c r="E13" s="83" t="str"/>
      <x:c r="F13" s="83" t="str"/>
    </x:row>
    <x:row r="14">
      <x:c r="A14" t="str">
        <x:v>Absorvido/diferido bruto</x:v>
      </x:c>
      <x:c r="B14" s="32" t="n">
        <x:f>SUM(D5:D10)</x:f>
        <x:v>1271300</x:v>
      </x:c>
      <x:c r="C14" t="str">
        <x:v>Soma histórica dos MVPs antes de eliminar sobreposição.</x:v>
      </x:c>
      <x:c r="D14" t="str"/>
      <x:c r="E14" t="str"/>
      <x:c r="F14" t="str"/>
    </x:row>
    <x:row r="15">
      <x:c r="A15" t="str">
        <x:v>Reconhecido para pagamento</x:v>
      </x:c>
      <x:c r="B15" s="32" t="n">
        <x:f>SUM(F5:F10)</x:f>
        <x:v>560715</x:v>
      </x:c>
      <x:c r="C15" t="str">
        <x:v>Valor após fator de reconhecimento por MVP.</x:v>
      </x:c>
      <x:c r="D15" t="str"/>
      <x:c r="E15" t="str"/>
      <x:c r="F15" t="str"/>
    </x:row>
    <x:row r="16">
      <x:c r="A16" t="str">
        <x:v>Redução por reutilização/overlap</x:v>
      </x:c>
      <x:c r="B16" s="32" t="n">
        <x:f>B14-B15</x:f>
        <x:v>710585</x:v>
      </x:c>
      <x:c r="C16" t="str">
        <x:v>Diferença que não deve ser cobrada duas vezes da companhia.</x:v>
      </x:c>
      <x:c r="D16" t="str"/>
      <x:c r="E16" t="str"/>
      <x:c r="F16" t="str"/>
    </x:row>
    <x:row r="17">
      <x:c r="A17" t="str">
        <x:v>Parcela mensal inicial teórica</x:v>
      </x:c>
      <x:c r="B17" s="32" t="n">
        <x:f>SUM(I5:I10)</x:f>
        <x:v>18623.416666666668</x:v>
      </x:c>
      <x:c r="C17" t="str">
        <x:v>Soma das parcelas se todos os cronogramas estivessem ativos.</x:v>
      </x:c>
      <x:c r="D17" t="str"/>
      <x:c r="E17" t="str"/>
      <x:c r="F17" t="str"/>
    </x:row>
    <x:row r="19">
      <x:c r="A19" s="97" t="str">
        <x:v>Regra de pagamento sugerida</x:v>
      </x:c>
      <x:c r="B19" s="97"/>
      <x:c r="C19" s="97"/>
      <x:c r="D19" s="97"/>
      <x:c r="E19" s="97"/>
      <x:c r="F19" s="97"/>
      <x:c r="G19" s="97"/>
      <x:c r="H19" s="97"/>
      <x:c r="I19" s="97"/>
      <x:c r="J19" s="97"/>
      <x:c r="K19" s="97"/>
      <x:c r="L19" s="97"/>
    </x:row>
    <x:row r="20">
      <x:c r="A20" s="84" t="str">
        <x:v>Regra</x:v>
      </x:c>
      <x:c r="B20" s="84" t="str">
        <x:v>Proposta</x:v>
      </x:c>
      <x:c r="C20" s="84" t="str"/>
      <x:c r="D20" s="84" t="str"/>
      <x:c r="E20" s="84" t="str"/>
      <x:c r="F20" s="84" t="str"/>
      <x:c r="G20" s="84" t="str"/>
      <x:c r="H20" s="84" t="str"/>
      <x:c r="I20" s="84" t="str"/>
      <x:c r="J20" s="84" t="str"/>
      <x:c r="K20" s="84" t="str"/>
      <x:c r="L20" s="84" t="str"/>
    </x:row>
    <x:row r="21">
      <x:c r="A21" s="36" t="str">
        <x:v>Prioridade 1</x:v>
      </x:c>
      <x:c r="B21" s="36" t="str">
        <x:v>Primeiro garantir salários correntes, impostos, operação e runway mínimo definido na aba 01_Premissas.</x:v>
      </x:c>
      <x:c r="C21" s="36" t="str"/>
      <x:c r="D21" s="36" t="str"/>
      <x:c r="E21" s="36" t="str"/>
      <x:c r="F21" s="36" t="str"/>
      <x:c r="G21" s="36" t="str"/>
      <x:c r="H21" s="36" t="str"/>
      <x:c r="I21" s="36" t="str"/>
      <x:c r="J21" s="36" t="str"/>
      <x:c r="K21" s="36" t="str"/>
      <x:c r="L21" s="36" t="str"/>
    </x:row>
    <x:row r="22">
      <x:c r="A22" s="36" t="str">
        <x:v>Prioridade 2</x:v>
      </x:c>
      <x:c r="B22" s="36" t="str">
        <x:v>Só iniciar reembolso histórico quando a HUB atingir pelo menos 10 clientes pagantes OU uma rodada/investimento com caixa suficiente.</x:v>
      </x:c>
      <x:c r="C22" s="36" t="str"/>
      <x:c r="D22" s="36" t="str"/>
      <x:c r="E22" s="36" t="str"/>
      <x:c r="F22" s="36" t="str"/>
      <x:c r="G22" s="36" t="str"/>
      <x:c r="H22" s="36" t="str"/>
      <x:c r="I22" s="36" t="str"/>
      <x:c r="J22" s="36" t="str"/>
      <x:c r="K22" s="36" t="str"/>
      <x:c r="L22" s="36" t="str"/>
    </x:row>
    <x:row r="23">
      <x:c r="A23" s="36" t="str">
        <x:v>Limite mensal</x:v>
      </x:c>
      <x:c r="B23" s="36" t="str">
        <x:v>Pagamento histórico sugerido limitado a 8% do MRR, salvo decisão societária/board após rodada.</x:v>
      </x:c>
      <x:c r="C23" s="36" t="str"/>
      <x:c r="D23" s="36" t="str"/>
      <x:c r="E23" s="36" t="str"/>
      <x:c r="F23" s="36" t="str"/>
      <x:c r="G23" s="36" t="str"/>
      <x:c r="H23" s="36" t="str"/>
      <x:c r="I23" s="36" t="str"/>
      <x:c r="J23" s="36" t="str"/>
      <x:c r="K23" s="36" t="str"/>
      <x:c r="L23" s="36" t="str"/>
    </x:row>
    <x:row r="24">
      <x:c r="A24" s="36" t="str">
        <x:v>Rodada de investimento</x:v>
      </x:c>
      <x:c r="B24" s="36" t="str">
        <x:v>Pode haver pagamento extraordinário de parte do saldo histórico, desde que previsto no uso dos recursos e formalizado societária/contabilmente.</x:v>
      </x:c>
      <x:c r="C24" s="36" t="str"/>
      <x:c r="D24" s="36" t="str"/>
      <x:c r="E24" s="36" t="str"/>
      <x:c r="F24" s="36" t="str"/>
      <x:c r="G24" s="36" t="str"/>
      <x:c r="H24" s="36" t="str"/>
      <x:c r="I24" s="36" t="str"/>
      <x:c r="J24" s="36" t="str"/>
      <x:c r="K24" s="36" t="str"/>
      <x:c r="L24" s="36" t="str"/>
    </x:row>
    <x:row r="25">
      <x:c r="A25" s="36" t="str">
        <x:v>Natureza</x:v>
      </x:c>
      <x:c r="B25" s="36" t="str">
        <x:v>Esta aba registra memória econômica e previsão. Não transforma automaticamente horas históricas em dívida legal da empresa.</x:v>
      </x:c>
      <x:c r="C25" s="36" t="str"/>
      <x:c r="D25" s="36" t="str"/>
      <x:c r="E25" s="36" t="str"/>
      <x:c r="F25" s="36" t="str"/>
      <x:c r="G25" s="36" t="str"/>
      <x:c r="H25" s="36" t="str"/>
      <x:c r="I25" s="36" t="str"/>
      <x:c r="J25" s="36" t="str"/>
      <x:c r="K25" s="36" t="str"/>
      <x:c r="L25" s="36" t="str"/>
    </x:row>
    <x:row r="27">
      <x:c r="A27" s="97" t="str">
        <x:v>Cronograma indicativo de pagamento — 36 meses</x:v>
      </x:c>
      <x:c r="B27" s="97"/>
      <x:c r="C27" s="97"/>
      <x:c r="D27" s="97"/>
      <x:c r="E27" s="97"/>
      <x:c r="F27" s="97"/>
      <x:c r="G27" s="97"/>
      <x:c r="H27" s="97"/>
      <x:c r="I27" s="97"/>
      <x:c r="J27" s="97"/>
      <x:c r="K27" s="97"/>
      <x:c r="L27" s="97"/>
    </x:row>
    <x:row r="28">
      <x:c r="A28" s="85" t="str">
        <x:v>Mês</x:v>
      </x:c>
      <x:c r="B28" s="85" t="str">
        <x:v>Monks</x:v>
      </x:c>
      <x:c r="C28" s="85" t="str">
        <x:v>Sebrae/GINGA</x:v>
      </x:c>
      <x:c r="D28" s="85" t="str">
        <x:v>Firjan</x:v>
      </x:c>
      <x:c r="E28" s="85" t="str">
        <x:v>Mackenzie</x:v>
      </x:c>
      <x:c r="F28" s="85" t="str">
        <x:v>Bblend</x:v>
      </x:c>
      <x:c r="G28" s="85" t="str">
        <x:v>Eventos</x:v>
      </x:c>
      <x:c r="H28" s="85" t="str">
        <x:v>Total previsto</x:v>
      </x:c>
      <x:c r="I28" s="85" t="str">
        <x:v>Limite 8% MRR</x:v>
      </x:c>
      <x:c r="J28" s="85" t="str">
        <x:v>Pagamento recomendado</x:v>
      </x:c>
    </x:row>
    <x:row r="29">
      <x:c r="A29" s="98" t="str">
        <x:v>2027-01-01</x:v>
      </x:c>
      <x:c r="B29" s="32" t="n">
        <x:f>IF(AND(DATEVALUE(A29)&gt;=DATEVALUE(G5),DATEVALUE(A29)&lt;EDATE(DATEVALUE(G5),H5)),I5,0)</x:f>
        <x:v>3011.25</x:v>
      </x:c>
      <x:c r="C29" s="32" t="n">
        <x:f>IF(AND(DATEVALUE(A29)&gt;=DATEVALUE(G6),DATEVALUE(A29)&lt;EDATE(DATEVALUE(G6),H6)),I6,0)</x:f>
        <x:v>3154.5</x:v>
      </x:c>
      <x:c r="D29" s="32" t="n">
        <x:f>IF(AND(DATEVALUE(A29)&gt;=DATEVALUE(G7),DATEVALUE(A29)&lt;EDATE(DATEVALUE(G7),H7)),I7,0)</x:f>
        <x:v>0</x:v>
      </x:c>
      <x:c r="E29" s="32" t="n">
        <x:f>IF(AND(DATEVALUE(A29)&gt;=DATEVALUE(G8),DATEVALUE(A29)&lt;EDATE(DATEVALUE(G8),H8)),I8,0)</x:f>
        <x:v>0</x:v>
      </x:c>
      <x:c r="F29" s="32" t="n">
        <x:f>IF(AND(DATEVALUE(A29)&gt;=DATEVALUE(G9),DATEVALUE(A29)&lt;EDATE(DATEVALUE(G9),H9)),I9,0)</x:f>
        <x:v>0</x:v>
      </x:c>
      <x:c r="G29" s="32" t="n">
        <x:f>IF(AND(DATEVALUE(A29)&gt;=DATEVALUE(G10),DATEVALUE(A29)&lt;EDATE(DATEVALUE(G10),H10)),I10,0)</x:f>
        <x:v>0</x:v>
      </x:c>
      <x:c r="H29" s="32" t="n">
        <x:f>SUM(B29:G29)</x:f>
        <x:v>6165.75</x:v>
      </x:c>
      <x:c r="I29" s="32" t="n">
        <x:f>'04_Cenario_36m'!D5*8%</x:f>
        <x:v>7200</x:v>
      </x:c>
      <x:c r="J29" s="32" t="n">
        <x:f>MIN(H29,I29)</x:f>
        <x:v>6165.75</x:v>
      </x:c>
    </x:row>
    <x:row r="30">
      <x:c r="A30" s="98" t="str">
        <x:v>2027-02-01</x:v>
      </x:c>
      <x:c r="B30" s="32" t="n">
        <x:f>IF(AND(DATEVALUE(A30)&gt;=DATEVALUE(G5),DATEVALUE(A30)&lt;EDATE(DATEVALUE(G5),H5)),I5,0)</x:f>
        <x:v>3011.25</x:v>
      </x:c>
      <x:c r="C30" s="32" t="n">
        <x:f>IF(AND(DATEVALUE(A30)&gt;=DATEVALUE(G6),DATEVALUE(A30)&lt;EDATE(DATEVALUE(G6),H6)),I6,0)</x:f>
        <x:v>3154.5</x:v>
      </x:c>
      <x:c r="D30" s="32" t="n">
        <x:f>IF(AND(DATEVALUE(A30)&gt;=DATEVALUE(G7),DATEVALUE(A30)&lt;EDATE(DATEVALUE(G7),H7)),I7,0)</x:f>
        <x:v>0</x:v>
      </x:c>
      <x:c r="E30" s="32" t="n">
        <x:f>IF(AND(DATEVALUE(A30)&gt;=DATEVALUE(G8),DATEVALUE(A30)&lt;EDATE(DATEVALUE(G8),H8)),I8,0)</x:f>
        <x:v>0</x:v>
      </x:c>
      <x:c r="F30" s="32" t="n">
        <x:f>IF(AND(DATEVALUE(A30)&gt;=DATEVALUE(G9),DATEVALUE(A30)&lt;EDATE(DATEVALUE(G9),H9)),I9,0)</x:f>
        <x:v>0</x:v>
      </x:c>
      <x:c r="G30" s="32" t="n">
        <x:f>IF(AND(DATEVALUE(A30)&gt;=DATEVALUE(G10),DATEVALUE(A30)&lt;EDATE(DATEVALUE(G10),H10)),I10,0)</x:f>
        <x:v>0</x:v>
      </x:c>
      <x:c r="H30" s="32" t="n">
        <x:f>SUM(B30:G30)</x:f>
        <x:v>6165.75</x:v>
      </x:c>
      <x:c r="I30" s="32" t="n">
        <x:f>'04_Cenario_36m'!D6*8%</x:f>
        <x:v>7200</x:v>
      </x:c>
      <x:c r="J30" s="32" t="n">
        <x:f>MIN(H30,I30)</x:f>
        <x:v>6165.75</x:v>
      </x:c>
    </x:row>
    <x:row r="31">
      <x:c r="A31" s="98" t="str">
        <x:v>2027-03-01</x:v>
      </x:c>
      <x:c r="B31" s="32" t="n">
        <x:f>IF(AND(DATEVALUE(A31)&gt;=DATEVALUE(G5),DATEVALUE(A31)&lt;EDATE(DATEVALUE(G5),H5)),I5,0)</x:f>
        <x:v>3011.25</x:v>
      </x:c>
      <x:c r="C31" s="32" t="n">
        <x:f>IF(AND(DATEVALUE(A31)&gt;=DATEVALUE(G6),DATEVALUE(A31)&lt;EDATE(DATEVALUE(G6),H6)),I6,0)</x:f>
        <x:v>3154.5</x:v>
      </x:c>
      <x:c r="D31" s="32" t="n">
        <x:f>IF(AND(DATEVALUE(A31)&gt;=DATEVALUE(G7),DATEVALUE(A31)&lt;EDATE(DATEVALUE(G7),H7)),I7,0)</x:f>
        <x:v>0</x:v>
      </x:c>
      <x:c r="E31" s="32" t="n">
        <x:f>IF(AND(DATEVALUE(A31)&gt;=DATEVALUE(G8),DATEVALUE(A31)&lt;EDATE(DATEVALUE(G8),H8)),I8,0)</x:f>
        <x:v>0</x:v>
      </x:c>
      <x:c r="F31" s="32" t="n">
        <x:f>IF(AND(DATEVALUE(A31)&gt;=DATEVALUE(G9),DATEVALUE(A31)&lt;EDATE(DATEVALUE(G9),H9)),I9,0)</x:f>
        <x:v>0</x:v>
      </x:c>
      <x:c r="G31" s="32" t="n">
        <x:f>IF(AND(DATEVALUE(A31)&gt;=DATEVALUE(G10),DATEVALUE(A31)&lt;EDATE(DATEVALUE(G10),H10)),I10,0)</x:f>
        <x:v>0</x:v>
      </x:c>
      <x:c r="H31" s="32" t="n">
        <x:f>SUM(B31:G31)</x:f>
        <x:v>6165.75</x:v>
      </x:c>
      <x:c r="I31" s="32" t="n">
        <x:f>'04_Cenario_36m'!D7*8%</x:f>
        <x:v>7200</x:v>
      </x:c>
      <x:c r="J31" s="32" t="n">
        <x:f>MIN(H31,I31)</x:f>
        <x:v>6165.75</x:v>
      </x:c>
    </x:row>
    <x:row r="32">
      <x:c r="A32" s="98" t="str">
        <x:v>2027-04-01</x:v>
      </x:c>
      <x:c r="B32" s="32" t="n">
        <x:f>IF(AND(DATEVALUE(A32)&gt;=DATEVALUE(G5),DATEVALUE(A32)&lt;EDATE(DATEVALUE(G5),H5)),I5,0)</x:f>
        <x:v>3011.25</x:v>
      </x:c>
      <x:c r="C32" s="32" t="n">
        <x:f>IF(AND(DATEVALUE(A32)&gt;=DATEVALUE(G6),DATEVALUE(A32)&lt;EDATE(DATEVALUE(G6),H6)),I6,0)</x:f>
        <x:v>3154.5</x:v>
      </x:c>
      <x:c r="D32" s="32" t="n">
        <x:f>IF(AND(DATEVALUE(A32)&gt;=DATEVALUE(G7),DATEVALUE(A32)&lt;EDATE(DATEVALUE(G7),H7)),I7,0)</x:f>
        <x:v>3529.5</x:v>
      </x:c>
      <x:c r="E32" s="32" t="n">
        <x:f>IF(AND(DATEVALUE(A32)&gt;=DATEVALUE(G8),DATEVALUE(A32)&lt;EDATE(DATEVALUE(G8),H8)),I8,0)</x:f>
        <x:v>0</x:v>
      </x:c>
      <x:c r="F32" s="32" t="n">
        <x:f>IF(AND(DATEVALUE(A32)&gt;=DATEVALUE(G9),DATEVALUE(A32)&lt;EDATE(DATEVALUE(G9),H9)),I9,0)</x:f>
        <x:v>3061.5</x:v>
      </x:c>
      <x:c r="G32" s="32" t="n">
        <x:f>IF(AND(DATEVALUE(A32)&gt;=DATEVALUE(G10),DATEVALUE(A32)&lt;EDATE(DATEVALUE(G10),H10)),I10,0)</x:f>
        <x:v>0</x:v>
      </x:c>
      <x:c r="H32" s="32" t="n">
        <x:f>SUM(B32:G32)</x:f>
        <x:v>12756.75</x:v>
      </x:c>
      <x:c r="I32" s="32" t="n">
        <x:f>'04_Cenario_36m'!D8*8%</x:f>
        <x:v>14400</x:v>
      </x:c>
      <x:c r="J32" s="32" t="n">
        <x:f>MIN(H32,I32)</x:f>
        <x:v>12756.75</x:v>
      </x:c>
    </x:row>
    <x:row r="33">
      <x:c r="A33" s="98" t="str">
        <x:v>2027-05-01</x:v>
      </x:c>
      <x:c r="B33" s="32" t="n">
        <x:f>IF(AND(DATEVALUE(A33)&gt;=DATEVALUE(G5),DATEVALUE(A33)&lt;EDATE(DATEVALUE(G5),H5)),I5,0)</x:f>
        <x:v>3011.25</x:v>
      </x:c>
      <x:c r="C33" s="32" t="n">
        <x:f>IF(AND(DATEVALUE(A33)&gt;=DATEVALUE(G6),DATEVALUE(A33)&lt;EDATE(DATEVALUE(G6),H6)),I6,0)</x:f>
        <x:v>3154.5</x:v>
      </x:c>
      <x:c r="D33" s="32" t="n">
        <x:f>IF(AND(DATEVALUE(A33)&gt;=DATEVALUE(G7),DATEVALUE(A33)&lt;EDATE(DATEVALUE(G7),H7)),I7,0)</x:f>
        <x:v>3529.5</x:v>
      </x:c>
      <x:c r="E33" s="32" t="n">
        <x:f>IF(AND(DATEVALUE(A33)&gt;=DATEVALUE(G8),DATEVALUE(A33)&lt;EDATE(DATEVALUE(G8),H8)),I8,0)</x:f>
        <x:v>0</x:v>
      </x:c>
      <x:c r="F33" s="32" t="n">
        <x:f>IF(AND(DATEVALUE(A33)&gt;=DATEVALUE(G9),DATEVALUE(A33)&lt;EDATE(DATEVALUE(G9),H9)),I9,0)</x:f>
        <x:v>3061.5</x:v>
      </x:c>
      <x:c r="G33" s="32" t="n">
        <x:f>IF(AND(DATEVALUE(A33)&gt;=DATEVALUE(G10),DATEVALUE(A33)&lt;EDATE(DATEVALUE(G10),H10)),I10,0)</x:f>
        <x:v>0</x:v>
      </x:c>
      <x:c r="H33" s="32" t="n">
        <x:f>SUM(B33:G33)</x:f>
        <x:v>12756.75</x:v>
      </x:c>
      <x:c r="I33" s="32" t="n">
        <x:f>'04_Cenario_36m'!D9*8%</x:f>
        <x:v>14400</x:v>
      </x:c>
      <x:c r="J33" s="32" t="n">
        <x:f>MIN(H33,I33)</x:f>
        <x:v>12756.75</x:v>
      </x:c>
    </x:row>
    <x:row r="34">
      <x:c r="A34" s="98" t="str">
        <x:v>2027-06-01</x:v>
      </x:c>
      <x:c r="B34" s="32" t="n">
        <x:f>IF(AND(DATEVALUE(A34)&gt;=DATEVALUE(G5),DATEVALUE(A34)&lt;EDATE(DATEVALUE(G5),H5)),I5,0)</x:f>
        <x:v>3011.25</x:v>
      </x:c>
      <x:c r="C34" s="32" t="n">
        <x:f>IF(AND(DATEVALUE(A34)&gt;=DATEVALUE(G6),DATEVALUE(A34)&lt;EDATE(DATEVALUE(G6),H6)),I6,0)</x:f>
        <x:v>3154.5</x:v>
      </x:c>
      <x:c r="D34" s="32" t="n">
        <x:f>IF(AND(DATEVALUE(A34)&gt;=DATEVALUE(G7),DATEVALUE(A34)&lt;EDATE(DATEVALUE(G7),H7)),I7,0)</x:f>
        <x:v>3529.5</x:v>
      </x:c>
      <x:c r="E34" s="32" t="n">
        <x:f>IF(AND(DATEVALUE(A34)&gt;=DATEVALUE(G8),DATEVALUE(A34)&lt;EDATE(DATEVALUE(G8),H8)),I8,0)</x:f>
        <x:v>0</x:v>
      </x:c>
      <x:c r="F34" s="32" t="n">
        <x:f>IF(AND(DATEVALUE(A34)&gt;=DATEVALUE(G9),DATEVALUE(A34)&lt;EDATE(DATEVALUE(G9),H9)),I9,0)</x:f>
        <x:v>3061.5</x:v>
      </x:c>
      <x:c r="G34" s="32" t="n">
        <x:f>IF(AND(DATEVALUE(A34)&gt;=DATEVALUE(G10),DATEVALUE(A34)&lt;EDATE(DATEVALUE(G10),H10)),I10,0)</x:f>
        <x:v>0</x:v>
      </x:c>
      <x:c r="H34" s="32" t="n">
        <x:f>SUM(B34:G34)</x:f>
        <x:v>12756.75</x:v>
      </x:c>
      <x:c r="I34" s="32" t="n">
        <x:f>'04_Cenario_36m'!D10*8%</x:f>
        <x:v>14400</x:v>
      </x:c>
      <x:c r="J34" s="32" t="n">
        <x:f>MIN(H34,I34)</x:f>
        <x:v>12756.75</x:v>
      </x:c>
    </x:row>
    <x:row r="35">
      <x:c r="A35" s="98" t="str">
        <x:v>2027-07-01</x:v>
      </x:c>
      <x:c r="B35" s="32" t="n">
        <x:f>IF(AND(DATEVALUE(A35)&gt;=DATEVALUE(G5),DATEVALUE(A35)&lt;EDATE(DATEVALUE(G5),H5)),I5,0)</x:f>
        <x:v>3011.25</x:v>
      </x:c>
      <x:c r="C35" s="32" t="n">
        <x:f>IF(AND(DATEVALUE(A35)&gt;=DATEVALUE(G6),DATEVALUE(A35)&lt;EDATE(DATEVALUE(G6),H6)),I6,0)</x:f>
        <x:v>3154.5</x:v>
      </x:c>
      <x:c r="D35" s="32" t="n">
        <x:f>IF(AND(DATEVALUE(A35)&gt;=DATEVALUE(G7),DATEVALUE(A35)&lt;EDATE(DATEVALUE(G7),H7)),I7,0)</x:f>
        <x:v>3529.5</x:v>
      </x:c>
      <x:c r="E35" s="32" t="n">
        <x:f>IF(AND(DATEVALUE(A35)&gt;=DATEVALUE(G8),DATEVALUE(A35)&lt;EDATE(DATEVALUE(G8),H8)),I8,0)</x:f>
        <x:v>2520</x:v>
      </x:c>
      <x:c r="F35" s="32" t="n">
        <x:f>IF(AND(DATEVALUE(A35)&gt;=DATEVALUE(G9),DATEVALUE(A35)&lt;EDATE(DATEVALUE(G9),H9)),I9,0)</x:f>
        <x:v>3061.5</x:v>
      </x:c>
      <x:c r="G35" s="32" t="n">
        <x:f>IF(AND(DATEVALUE(A35)&gt;=DATEVALUE(G10),DATEVALUE(A35)&lt;EDATE(DATEVALUE(G10),H10)),I10,0)</x:f>
        <x:v>3346.6666666666665</x:v>
      </x:c>
      <x:c r="H35" s="32" t="n">
        <x:f>SUM(B35:G35)</x:f>
        <x:v>18623.416666666668</x:v>
      </x:c>
      <x:c r="I35" s="32" t="n">
        <x:f>'04_Cenario_36m'!D11*8%</x:f>
        <x:v>24000</x:v>
      </x:c>
      <x:c r="J35" s="32" t="n">
        <x:f>MIN(H35,I35)</x:f>
        <x:v>18623.416666666668</x:v>
      </x:c>
    </x:row>
    <x:row r="36">
      <x:c r="A36" s="98" t="str">
        <x:v>2027-08-01</x:v>
      </x:c>
      <x:c r="B36" s="32" t="n">
        <x:f>IF(AND(DATEVALUE(A36)&gt;=DATEVALUE(G5),DATEVALUE(A36)&lt;EDATE(DATEVALUE(G5),H5)),I5,0)</x:f>
        <x:v>3011.25</x:v>
      </x:c>
      <x:c r="C36" s="32" t="n">
        <x:f>IF(AND(DATEVALUE(A36)&gt;=DATEVALUE(G6),DATEVALUE(A36)&lt;EDATE(DATEVALUE(G6),H6)),I6,0)</x:f>
        <x:v>3154.5</x:v>
      </x:c>
      <x:c r="D36" s="32" t="n">
        <x:f>IF(AND(DATEVALUE(A36)&gt;=DATEVALUE(G7),DATEVALUE(A36)&lt;EDATE(DATEVALUE(G7),H7)),I7,0)</x:f>
        <x:v>3529.5</x:v>
      </x:c>
      <x:c r="E36" s="32" t="n">
        <x:f>IF(AND(DATEVALUE(A36)&gt;=DATEVALUE(G8),DATEVALUE(A36)&lt;EDATE(DATEVALUE(G8),H8)),I8,0)</x:f>
        <x:v>2520</x:v>
      </x:c>
      <x:c r="F36" s="32" t="n">
        <x:f>IF(AND(DATEVALUE(A36)&gt;=DATEVALUE(G9),DATEVALUE(A36)&lt;EDATE(DATEVALUE(G9),H9)),I9,0)</x:f>
        <x:v>3061.5</x:v>
      </x:c>
      <x:c r="G36" s="32" t="n">
        <x:f>IF(AND(DATEVALUE(A36)&gt;=DATEVALUE(G10),DATEVALUE(A36)&lt;EDATE(DATEVALUE(G10),H10)),I10,0)</x:f>
        <x:v>3346.6666666666665</x:v>
      </x:c>
      <x:c r="H36" s="32" t="n">
        <x:f>SUM(B36:G36)</x:f>
        <x:v>18623.416666666668</x:v>
      </x:c>
      <x:c r="I36" s="32" t="n">
        <x:f>'04_Cenario_36m'!D12*8%</x:f>
        <x:v>24000</x:v>
      </x:c>
      <x:c r="J36" s="32" t="n">
        <x:f>MIN(H36,I36)</x:f>
        <x:v>18623.416666666668</x:v>
      </x:c>
    </x:row>
    <x:row r="37">
      <x:c r="A37" s="98" t="str">
        <x:v>2027-09-01</x:v>
      </x:c>
      <x:c r="B37" s="32" t="n">
        <x:f>IF(AND(DATEVALUE(A37)&gt;=DATEVALUE(G5),DATEVALUE(A37)&lt;EDATE(DATEVALUE(G5),H5)),I5,0)</x:f>
        <x:v>3011.25</x:v>
      </x:c>
      <x:c r="C37" s="32" t="n">
        <x:f>IF(AND(DATEVALUE(A37)&gt;=DATEVALUE(G6),DATEVALUE(A37)&lt;EDATE(DATEVALUE(G6),H6)),I6,0)</x:f>
        <x:v>3154.5</x:v>
      </x:c>
      <x:c r="D37" s="32" t="n">
        <x:f>IF(AND(DATEVALUE(A37)&gt;=DATEVALUE(G7),DATEVALUE(A37)&lt;EDATE(DATEVALUE(G7),H7)),I7,0)</x:f>
        <x:v>3529.5</x:v>
      </x:c>
      <x:c r="E37" s="32" t="n">
        <x:f>IF(AND(DATEVALUE(A37)&gt;=DATEVALUE(G8),DATEVALUE(A37)&lt;EDATE(DATEVALUE(G8),H8)),I8,0)</x:f>
        <x:v>2520</x:v>
      </x:c>
      <x:c r="F37" s="32" t="n">
        <x:f>IF(AND(DATEVALUE(A37)&gt;=DATEVALUE(G9),DATEVALUE(A37)&lt;EDATE(DATEVALUE(G9),H9)),I9,0)</x:f>
        <x:v>3061.5</x:v>
      </x:c>
      <x:c r="G37" s="32" t="n">
        <x:f>IF(AND(DATEVALUE(A37)&gt;=DATEVALUE(G10),DATEVALUE(A37)&lt;EDATE(DATEVALUE(G10),H10)),I10,0)</x:f>
        <x:v>3346.6666666666665</x:v>
      </x:c>
      <x:c r="H37" s="32" t="n">
        <x:f>SUM(B37:G37)</x:f>
        <x:v>18623.416666666668</x:v>
      </x:c>
      <x:c r="I37" s="32" t="n">
        <x:f>'04_Cenario_36m'!D13*8%</x:f>
        <x:v>24000</x:v>
      </x:c>
      <x:c r="J37" s="32" t="n">
        <x:f>MIN(H37,I37)</x:f>
        <x:v>18623.416666666668</x:v>
      </x:c>
    </x:row>
    <x:row r="38">
      <x:c r="A38" s="98" t="str">
        <x:v>2027-10-01</x:v>
      </x:c>
      <x:c r="B38" s="32" t="n">
        <x:f>IF(AND(DATEVALUE(A38)&gt;=DATEVALUE(G5),DATEVALUE(A38)&lt;EDATE(DATEVALUE(G5),H5)),I5,0)</x:f>
        <x:v>3011.25</x:v>
      </x:c>
      <x:c r="C38" s="32" t="n">
        <x:f>IF(AND(DATEVALUE(A38)&gt;=DATEVALUE(G6),DATEVALUE(A38)&lt;EDATE(DATEVALUE(G6),H6)),I6,0)</x:f>
        <x:v>3154.5</x:v>
      </x:c>
      <x:c r="D38" s="32" t="n">
        <x:f>IF(AND(DATEVALUE(A38)&gt;=DATEVALUE(G7),DATEVALUE(A38)&lt;EDATE(DATEVALUE(G7),H7)),I7,0)</x:f>
        <x:v>3529.5</x:v>
      </x:c>
      <x:c r="E38" s="32" t="n">
        <x:f>IF(AND(DATEVALUE(A38)&gt;=DATEVALUE(G8),DATEVALUE(A38)&lt;EDATE(DATEVALUE(G8),H8)),I8,0)</x:f>
        <x:v>2520</x:v>
      </x:c>
      <x:c r="F38" s="32" t="n">
        <x:f>IF(AND(DATEVALUE(A38)&gt;=DATEVALUE(G9),DATEVALUE(A38)&lt;EDATE(DATEVALUE(G9),H9)),I9,0)</x:f>
        <x:v>3061.5</x:v>
      </x:c>
      <x:c r="G38" s="32" t="n">
        <x:f>IF(AND(DATEVALUE(A38)&gt;=DATEVALUE(G10),DATEVALUE(A38)&lt;EDATE(DATEVALUE(G10),H10)),I10,0)</x:f>
        <x:v>3346.6666666666665</x:v>
      </x:c>
      <x:c r="H38" s="32" t="n">
        <x:f>SUM(B38:G38)</x:f>
        <x:v>18623.416666666668</x:v>
      </x:c>
      <x:c r="I38" s="32" t="n">
        <x:f>'04_Cenario_36m'!D14*8%</x:f>
        <x:v>24000</x:v>
      </x:c>
      <x:c r="J38" s="32" t="n">
        <x:f>MIN(H38,I38)</x:f>
        <x:v>18623.416666666668</x:v>
      </x:c>
    </x:row>
    <x:row r="39">
      <x:c r="A39" s="98" t="str">
        <x:v>2027-11-01</x:v>
      </x:c>
      <x:c r="B39" s="32" t="n">
        <x:f>IF(AND(DATEVALUE(A39)&gt;=DATEVALUE(G5),DATEVALUE(A39)&lt;EDATE(DATEVALUE(G5),H5)),I5,0)</x:f>
        <x:v>3011.25</x:v>
      </x:c>
      <x:c r="C39" s="32" t="n">
        <x:f>IF(AND(DATEVALUE(A39)&gt;=DATEVALUE(G6),DATEVALUE(A39)&lt;EDATE(DATEVALUE(G6),H6)),I6,0)</x:f>
        <x:v>3154.5</x:v>
      </x:c>
      <x:c r="D39" s="32" t="n">
        <x:f>IF(AND(DATEVALUE(A39)&gt;=DATEVALUE(G7),DATEVALUE(A39)&lt;EDATE(DATEVALUE(G7),H7)),I7,0)</x:f>
        <x:v>3529.5</x:v>
      </x:c>
      <x:c r="E39" s="32" t="n">
        <x:f>IF(AND(DATEVALUE(A39)&gt;=DATEVALUE(G8),DATEVALUE(A39)&lt;EDATE(DATEVALUE(G8),H8)),I8,0)</x:f>
        <x:v>2520</x:v>
      </x:c>
      <x:c r="F39" s="32" t="n">
        <x:f>IF(AND(DATEVALUE(A39)&gt;=DATEVALUE(G9),DATEVALUE(A39)&lt;EDATE(DATEVALUE(G9),H9)),I9,0)</x:f>
        <x:v>3061.5</x:v>
      </x:c>
      <x:c r="G39" s="32" t="n">
        <x:f>IF(AND(DATEVALUE(A39)&gt;=DATEVALUE(G10),DATEVALUE(A39)&lt;EDATE(DATEVALUE(G10),H10)),I10,0)</x:f>
        <x:v>3346.6666666666665</x:v>
      </x:c>
      <x:c r="H39" s="32" t="n">
        <x:f>SUM(B39:G39)</x:f>
        <x:v>18623.416666666668</x:v>
      </x:c>
      <x:c r="I39" s="32" t="n">
        <x:f>'04_Cenario_36m'!D15*8%</x:f>
        <x:v>24000</x:v>
      </x:c>
      <x:c r="J39" s="32" t="n">
        <x:f>MIN(H39,I39)</x:f>
        <x:v>18623.416666666668</x:v>
      </x:c>
    </x:row>
    <x:row r="40">
      <x:c r="A40" s="98" t="str">
        <x:v>2027-12-01</x:v>
      </x:c>
      <x:c r="B40" s="32" t="n">
        <x:f>IF(AND(DATEVALUE(A40)&gt;=DATEVALUE(G5),DATEVALUE(A40)&lt;EDATE(DATEVALUE(G5),H5)),I5,0)</x:f>
        <x:v>3011.25</x:v>
      </x:c>
      <x:c r="C40" s="32" t="n">
        <x:f>IF(AND(DATEVALUE(A40)&gt;=DATEVALUE(G6),DATEVALUE(A40)&lt;EDATE(DATEVALUE(G6),H6)),I6,0)</x:f>
        <x:v>3154.5</x:v>
      </x:c>
      <x:c r="D40" s="32" t="n">
        <x:f>IF(AND(DATEVALUE(A40)&gt;=DATEVALUE(G7),DATEVALUE(A40)&lt;EDATE(DATEVALUE(G7),H7)),I7,0)</x:f>
        <x:v>3529.5</x:v>
      </x:c>
      <x:c r="E40" s="32" t="n">
        <x:f>IF(AND(DATEVALUE(A40)&gt;=DATEVALUE(G8),DATEVALUE(A40)&lt;EDATE(DATEVALUE(G8),H8)),I8,0)</x:f>
        <x:v>2520</x:v>
      </x:c>
      <x:c r="F40" s="32" t="n">
        <x:f>IF(AND(DATEVALUE(A40)&gt;=DATEVALUE(G9),DATEVALUE(A40)&lt;EDATE(DATEVALUE(G9),H9)),I9,0)</x:f>
        <x:v>3061.5</x:v>
      </x:c>
      <x:c r="G40" s="32" t="n">
        <x:f>IF(AND(DATEVALUE(A40)&gt;=DATEVALUE(G10),DATEVALUE(A40)&lt;EDATE(DATEVALUE(G10),H10)),I10,0)</x:f>
        <x:v>3346.6666666666665</x:v>
      </x:c>
      <x:c r="H40" s="32" t="n">
        <x:f>SUM(B40:G40)</x:f>
        <x:v>18623.416666666668</x:v>
      </x:c>
      <x:c r="I40" s="32" t="n">
        <x:f>'04_Cenario_36m'!D16*8%</x:f>
        <x:v>24000</x:v>
      </x:c>
      <x:c r="J40" s="32" t="n">
        <x:f>MIN(H40,I40)</x:f>
        <x:v>18623.416666666668</x:v>
      </x:c>
    </x:row>
    <x:row r="41">
      <x:c r="A41" s="98" t="str">
        <x:v>2028-01-01</x:v>
      </x:c>
      <x:c r="B41" s="32" t="n">
        <x:f>IF(AND(DATEVALUE(A41)&gt;=DATEVALUE(G5),DATEVALUE(A41)&lt;EDATE(DATEVALUE(G5),H5)),I5,0)</x:f>
        <x:v>3011.25</x:v>
      </x:c>
      <x:c r="C41" s="32" t="n">
        <x:f>IF(AND(DATEVALUE(A41)&gt;=DATEVALUE(G6),DATEVALUE(A41)&lt;EDATE(DATEVALUE(G6),H6)),I6,0)</x:f>
        <x:v>3154.5</x:v>
      </x:c>
      <x:c r="D41" s="32" t="n">
        <x:f>IF(AND(DATEVALUE(A41)&gt;=DATEVALUE(G7),DATEVALUE(A41)&lt;EDATE(DATEVALUE(G7),H7)),I7,0)</x:f>
        <x:v>3529.5</x:v>
      </x:c>
      <x:c r="E41" s="32" t="n">
        <x:f>IF(AND(DATEVALUE(A41)&gt;=DATEVALUE(G8),DATEVALUE(A41)&lt;EDATE(DATEVALUE(G8),H8)),I8,0)</x:f>
        <x:v>2520</x:v>
      </x:c>
      <x:c r="F41" s="32" t="n">
        <x:f>IF(AND(DATEVALUE(A41)&gt;=DATEVALUE(G9),DATEVALUE(A41)&lt;EDATE(DATEVALUE(G9),H9)),I9,0)</x:f>
        <x:v>3061.5</x:v>
      </x:c>
      <x:c r="G41" s="32" t="n">
        <x:f>IF(AND(DATEVALUE(A41)&gt;=DATEVALUE(G10),DATEVALUE(A41)&lt;EDATE(DATEVALUE(G10),H10)),I10,0)</x:f>
        <x:v>3346.6666666666665</x:v>
      </x:c>
      <x:c r="H41" s="32" t="n">
        <x:f>SUM(B41:G41)</x:f>
        <x:v>18623.416666666668</x:v>
      </x:c>
      <x:c r="I41" s="32" t="n">
        <x:f>'04_Cenario_36m'!D17*8%</x:f>
        <x:v>48000</x:v>
      </x:c>
      <x:c r="J41" s="32" t="n">
        <x:f>MIN(H41,I41)</x:f>
        <x:v>18623.416666666668</x:v>
      </x:c>
    </x:row>
    <x:row r="42">
      <x:c r="A42" s="98" t="str">
        <x:v>2028-02-01</x:v>
      </x:c>
      <x:c r="B42" s="32" t="n">
        <x:f>IF(AND(DATEVALUE(A42)&gt;=DATEVALUE(G5),DATEVALUE(A42)&lt;EDATE(DATEVALUE(G5),H5)),I5,0)</x:f>
        <x:v>3011.25</x:v>
      </x:c>
      <x:c r="C42" s="32" t="n">
        <x:f>IF(AND(DATEVALUE(A42)&gt;=DATEVALUE(G6),DATEVALUE(A42)&lt;EDATE(DATEVALUE(G6),H6)),I6,0)</x:f>
        <x:v>3154.5</x:v>
      </x:c>
      <x:c r="D42" s="32" t="n">
        <x:f>IF(AND(DATEVALUE(A42)&gt;=DATEVALUE(G7),DATEVALUE(A42)&lt;EDATE(DATEVALUE(G7),H7)),I7,0)</x:f>
        <x:v>3529.5</x:v>
      </x:c>
      <x:c r="E42" s="32" t="n">
        <x:f>IF(AND(DATEVALUE(A42)&gt;=DATEVALUE(G8),DATEVALUE(A42)&lt;EDATE(DATEVALUE(G8),H8)),I8,0)</x:f>
        <x:v>2520</x:v>
      </x:c>
      <x:c r="F42" s="32" t="n">
        <x:f>IF(AND(DATEVALUE(A42)&gt;=DATEVALUE(G9),DATEVALUE(A42)&lt;EDATE(DATEVALUE(G9),H9)),I9,0)</x:f>
        <x:v>3061.5</x:v>
      </x:c>
      <x:c r="G42" s="32" t="n">
        <x:f>IF(AND(DATEVALUE(A42)&gt;=DATEVALUE(G10),DATEVALUE(A42)&lt;EDATE(DATEVALUE(G10),H10)),I10,0)</x:f>
        <x:v>3346.6666666666665</x:v>
      </x:c>
      <x:c r="H42" s="32" t="n">
        <x:f>SUM(B42:G42)</x:f>
        <x:v>18623.416666666668</x:v>
      </x:c>
      <x:c r="I42" s="32" t="n">
        <x:f>'04_Cenario_36m'!D18*8%</x:f>
        <x:v>48000</x:v>
      </x:c>
      <x:c r="J42" s="32" t="n">
        <x:f>MIN(H42,I42)</x:f>
        <x:v>18623.416666666668</x:v>
      </x:c>
    </x:row>
    <x:row r="43">
      <x:c r="A43" s="98" t="str">
        <x:v>2028-03-01</x:v>
      </x:c>
      <x:c r="B43" s="32" t="n">
        <x:f>IF(AND(DATEVALUE(A43)&gt;=DATEVALUE(G5),DATEVALUE(A43)&lt;EDATE(DATEVALUE(G5),H5)),I5,0)</x:f>
        <x:v>3011.25</x:v>
      </x:c>
      <x:c r="C43" s="32" t="n">
        <x:f>IF(AND(DATEVALUE(A43)&gt;=DATEVALUE(G6),DATEVALUE(A43)&lt;EDATE(DATEVALUE(G6),H6)),I6,0)</x:f>
        <x:v>3154.5</x:v>
      </x:c>
      <x:c r="D43" s="32" t="n">
        <x:f>IF(AND(DATEVALUE(A43)&gt;=DATEVALUE(G7),DATEVALUE(A43)&lt;EDATE(DATEVALUE(G7),H7)),I7,0)</x:f>
        <x:v>3529.5</x:v>
      </x:c>
      <x:c r="E43" s="32" t="n">
        <x:f>IF(AND(DATEVALUE(A43)&gt;=DATEVALUE(G8),DATEVALUE(A43)&lt;EDATE(DATEVALUE(G8),H8)),I8,0)</x:f>
        <x:v>2520</x:v>
      </x:c>
      <x:c r="F43" s="32" t="n">
        <x:f>IF(AND(DATEVALUE(A43)&gt;=DATEVALUE(G9),DATEVALUE(A43)&lt;EDATE(DATEVALUE(G9),H9)),I9,0)</x:f>
        <x:v>3061.5</x:v>
      </x:c>
      <x:c r="G43" s="32" t="n">
        <x:f>IF(AND(DATEVALUE(A43)&gt;=DATEVALUE(G10),DATEVALUE(A43)&lt;EDATE(DATEVALUE(G10),H10)),I10,0)</x:f>
        <x:v>3346.6666666666665</x:v>
      </x:c>
      <x:c r="H43" s="32" t="n">
        <x:f>SUM(B43:G43)</x:f>
        <x:v>18623.416666666668</x:v>
      </x:c>
      <x:c r="I43" s="32" t="n">
        <x:f>'04_Cenario_36m'!D19*8%</x:f>
        <x:v>48000</x:v>
      </x:c>
      <x:c r="J43" s="32" t="n">
        <x:f>MIN(H43,I43)</x:f>
        <x:v>18623.416666666668</x:v>
      </x:c>
    </x:row>
    <x:row r="44">
      <x:c r="A44" s="98" t="str">
        <x:v>2028-04-01</x:v>
      </x:c>
      <x:c r="B44" s="32" t="n">
        <x:f>IF(AND(DATEVALUE(A44)&gt;=DATEVALUE(G5),DATEVALUE(A44)&lt;EDATE(DATEVALUE(G5),H5)),I5,0)</x:f>
        <x:v>3011.25</x:v>
      </x:c>
      <x:c r="C44" s="32" t="n">
        <x:f>IF(AND(DATEVALUE(A44)&gt;=DATEVALUE(G6),DATEVALUE(A44)&lt;EDATE(DATEVALUE(G6),H6)),I6,0)</x:f>
        <x:v>3154.5</x:v>
      </x:c>
      <x:c r="D44" s="32" t="n">
        <x:f>IF(AND(DATEVALUE(A44)&gt;=DATEVALUE(G7),DATEVALUE(A44)&lt;EDATE(DATEVALUE(G7),H7)),I7,0)</x:f>
        <x:v>3529.5</x:v>
      </x:c>
      <x:c r="E44" s="32" t="n">
        <x:f>IF(AND(DATEVALUE(A44)&gt;=DATEVALUE(G8),DATEVALUE(A44)&lt;EDATE(DATEVALUE(G8),H8)),I8,0)</x:f>
        <x:v>2520</x:v>
      </x:c>
      <x:c r="F44" s="32" t="n">
        <x:f>IF(AND(DATEVALUE(A44)&gt;=DATEVALUE(G9),DATEVALUE(A44)&lt;EDATE(DATEVALUE(G9),H9)),I9,0)</x:f>
        <x:v>3061.5</x:v>
      </x:c>
      <x:c r="G44" s="32" t="n">
        <x:f>IF(AND(DATEVALUE(A44)&gt;=DATEVALUE(G10),DATEVALUE(A44)&lt;EDATE(DATEVALUE(G10),H10)),I10,0)</x:f>
        <x:v>3346.6666666666665</x:v>
      </x:c>
      <x:c r="H44" s="32" t="n">
        <x:f>SUM(B44:G44)</x:f>
        <x:v>18623.416666666668</x:v>
      </x:c>
      <x:c r="I44" s="32" t="n">
        <x:f>'04_Cenario_36m'!D20*8%</x:f>
        <x:v>48000</x:v>
      </x:c>
      <x:c r="J44" s="32" t="n">
        <x:f>MIN(H44,I44)</x:f>
        <x:v>18623.416666666668</x:v>
      </x:c>
    </x:row>
    <x:row r="45">
      <x:c r="A45" s="98" t="str">
        <x:v>2028-05-01</x:v>
      </x:c>
      <x:c r="B45" s="32" t="n">
        <x:f>IF(AND(DATEVALUE(A45)&gt;=DATEVALUE(G5),DATEVALUE(A45)&lt;EDATE(DATEVALUE(G5),H5)),I5,0)</x:f>
        <x:v>3011.25</x:v>
      </x:c>
      <x:c r="C45" s="32" t="n">
        <x:f>IF(AND(DATEVALUE(A45)&gt;=DATEVALUE(G6),DATEVALUE(A45)&lt;EDATE(DATEVALUE(G6),H6)),I6,0)</x:f>
        <x:v>3154.5</x:v>
      </x:c>
      <x:c r="D45" s="32" t="n">
        <x:f>IF(AND(DATEVALUE(A45)&gt;=DATEVALUE(G7),DATEVALUE(A45)&lt;EDATE(DATEVALUE(G7),H7)),I7,0)</x:f>
        <x:v>3529.5</x:v>
      </x:c>
      <x:c r="E45" s="32" t="n">
        <x:f>IF(AND(DATEVALUE(A45)&gt;=DATEVALUE(G8),DATEVALUE(A45)&lt;EDATE(DATEVALUE(G8),H8)),I8,0)</x:f>
        <x:v>2520</x:v>
      </x:c>
      <x:c r="F45" s="32" t="n">
        <x:f>IF(AND(DATEVALUE(A45)&gt;=DATEVALUE(G9),DATEVALUE(A45)&lt;EDATE(DATEVALUE(G9),H9)),I9,0)</x:f>
        <x:v>3061.5</x:v>
      </x:c>
      <x:c r="G45" s="32" t="n">
        <x:f>IF(AND(DATEVALUE(A45)&gt;=DATEVALUE(G10),DATEVALUE(A45)&lt;EDATE(DATEVALUE(G10),H10)),I10,0)</x:f>
        <x:v>3346.6666666666665</x:v>
      </x:c>
      <x:c r="H45" s="32" t="n">
        <x:f>SUM(B45:G45)</x:f>
        <x:v>18623.416666666668</x:v>
      </x:c>
      <x:c r="I45" s="32" t="n">
        <x:f>'04_Cenario_36m'!D21*8%</x:f>
        <x:v>48000</x:v>
      </x:c>
      <x:c r="J45" s="32" t="n">
        <x:f>MIN(H45,I45)</x:f>
        <x:v>18623.416666666668</x:v>
      </x:c>
    </x:row>
    <x:row r="46">
      <x:c r="A46" s="98" t="str">
        <x:v>2028-06-01</x:v>
      </x:c>
      <x:c r="B46" s="32" t="n">
        <x:f>IF(AND(DATEVALUE(A46)&gt;=DATEVALUE(G5),DATEVALUE(A46)&lt;EDATE(DATEVALUE(G5),H5)),I5,0)</x:f>
        <x:v>3011.25</x:v>
      </x:c>
      <x:c r="C46" s="32" t="n">
        <x:f>IF(AND(DATEVALUE(A46)&gt;=DATEVALUE(G6),DATEVALUE(A46)&lt;EDATE(DATEVALUE(G6),H6)),I6,0)</x:f>
        <x:v>3154.5</x:v>
      </x:c>
      <x:c r="D46" s="32" t="n">
        <x:f>IF(AND(DATEVALUE(A46)&gt;=DATEVALUE(G7),DATEVALUE(A46)&lt;EDATE(DATEVALUE(G7),H7)),I7,0)</x:f>
        <x:v>3529.5</x:v>
      </x:c>
      <x:c r="E46" s="32" t="n">
        <x:f>IF(AND(DATEVALUE(A46)&gt;=DATEVALUE(G8),DATEVALUE(A46)&lt;EDATE(DATEVALUE(G8),H8)),I8,0)</x:f>
        <x:v>2520</x:v>
      </x:c>
      <x:c r="F46" s="32" t="n">
        <x:f>IF(AND(DATEVALUE(A46)&gt;=DATEVALUE(G9),DATEVALUE(A46)&lt;EDATE(DATEVALUE(G9),H9)),I9,0)</x:f>
        <x:v>3061.5</x:v>
      </x:c>
      <x:c r="G46" s="32" t="n">
        <x:f>IF(AND(DATEVALUE(A46)&gt;=DATEVALUE(G10),DATEVALUE(A46)&lt;EDATE(DATEVALUE(G10),H10)),I10,0)</x:f>
        <x:v>3346.6666666666665</x:v>
      </x:c>
      <x:c r="H46" s="32" t="n">
        <x:f>SUM(B46:G46)</x:f>
        <x:v>18623.416666666668</x:v>
      </x:c>
      <x:c r="I46" s="32" t="n">
        <x:f>'04_Cenario_36m'!D22*8%</x:f>
        <x:v>48000</x:v>
      </x:c>
      <x:c r="J46" s="32" t="n">
        <x:f>MIN(H46,I46)</x:f>
        <x:v>18623.416666666668</x:v>
      </x:c>
    </x:row>
    <x:row r="47">
      <x:c r="A47" s="98" t="str">
        <x:v>2028-07-01</x:v>
      </x:c>
      <x:c r="B47" s="32" t="n">
        <x:f>IF(AND(DATEVALUE(A47)&gt;=DATEVALUE(G5),DATEVALUE(A47)&lt;EDATE(DATEVALUE(G5),H5)),I5,0)</x:f>
        <x:v>3011.25</x:v>
      </x:c>
      <x:c r="C47" s="32" t="n">
        <x:f>IF(AND(DATEVALUE(A47)&gt;=DATEVALUE(G6),DATEVALUE(A47)&lt;EDATE(DATEVALUE(G6),H6)),I6,0)</x:f>
        <x:v>3154.5</x:v>
      </x:c>
      <x:c r="D47" s="32" t="n">
        <x:f>IF(AND(DATEVALUE(A47)&gt;=DATEVALUE(G7),DATEVALUE(A47)&lt;EDATE(DATEVALUE(G7),H7)),I7,0)</x:f>
        <x:v>3529.5</x:v>
      </x:c>
      <x:c r="E47" s="32" t="n">
        <x:f>IF(AND(DATEVALUE(A47)&gt;=DATEVALUE(G8),DATEVALUE(A47)&lt;EDATE(DATEVALUE(G8),H8)),I8,0)</x:f>
        <x:v>2520</x:v>
      </x:c>
      <x:c r="F47" s="32" t="n">
        <x:f>IF(AND(DATEVALUE(A47)&gt;=DATEVALUE(G9),DATEVALUE(A47)&lt;EDATE(DATEVALUE(G9),H9)),I9,0)</x:f>
        <x:v>3061.5</x:v>
      </x:c>
      <x:c r="G47" s="32" t="n">
        <x:f>IF(AND(DATEVALUE(A47)&gt;=DATEVALUE(G10),DATEVALUE(A47)&lt;EDATE(DATEVALUE(G10),H10)),I10,0)</x:f>
        <x:v>3346.6666666666665</x:v>
      </x:c>
      <x:c r="H47" s="32" t="n">
        <x:f>SUM(B47:G47)</x:f>
        <x:v>18623.416666666668</x:v>
      </x:c>
      <x:c r="I47" s="32" t="n">
        <x:f>'04_Cenario_36m'!D23*8%</x:f>
        <x:v>84000</x:v>
      </x:c>
      <x:c r="J47" s="32" t="n">
        <x:f>MIN(H47,I47)</x:f>
        <x:v>18623.416666666668</x:v>
      </x:c>
    </x:row>
    <x:row r="48">
      <x:c r="A48" s="98" t="str">
        <x:v>2028-08-01</x:v>
      </x:c>
      <x:c r="B48" s="32" t="n">
        <x:f>IF(AND(DATEVALUE(A48)&gt;=DATEVALUE(G5),DATEVALUE(A48)&lt;EDATE(DATEVALUE(G5),H5)),I5,0)</x:f>
        <x:v>3011.25</x:v>
      </x:c>
      <x:c r="C48" s="32" t="n">
        <x:f>IF(AND(DATEVALUE(A48)&gt;=DATEVALUE(G6),DATEVALUE(A48)&lt;EDATE(DATEVALUE(G6),H6)),I6,0)</x:f>
        <x:v>3154.5</x:v>
      </x:c>
      <x:c r="D48" s="32" t="n">
        <x:f>IF(AND(DATEVALUE(A48)&gt;=DATEVALUE(G7),DATEVALUE(A48)&lt;EDATE(DATEVALUE(G7),H7)),I7,0)</x:f>
        <x:v>3529.5</x:v>
      </x:c>
      <x:c r="E48" s="32" t="n">
        <x:f>IF(AND(DATEVALUE(A48)&gt;=DATEVALUE(G8),DATEVALUE(A48)&lt;EDATE(DATEVALUE(G8),H8)),I8,0)</x:f>
        <x:v>2520</x:v>
      </x:c>
      <x:c r="F48" s="32" t="n">
        <x:f>IF(AND(DATEVALUE(A48)&gt;=DATEVALUE(G9),DATEVALUE(A48)&lt;EDATE(DATEVALUE(G9),H9)),I9,0)</x:f>
        <x:v>3061.5</x:v>
      </x:c>
      <x:c r="G48" s="32" t="n">
        <x:f>IF(AND(DATEVALUE(A48)&gt;=DATEVALUE(G10),DATEVALUE(A48)&lt;EDATE(DATEVALUE(G10),H10)),I10,0)</x:f>
        <x:v>3346.6666666666665</x:v>
      </x:c>
      <x:c r="H48" s="32" t="n">
        <x:f>SUM(B48:G48)</x:f>
        <x:v>18623.416666666668</x:v>
      </x:c>
      <x:c r="I48" s="32" t="n">
        <x:f>'04_Cenario_36m'!D24*8%</x:f>
        <x:v>84000</x:v>
      </x:c>
      <x:c r="J48" s="32" t="n">
        <x:f>MIN(H48,I48)</x:f>
        <x:v>18623.416666666668</x:v>
      </x:c>
    </x:row>
    <x:row r="49">
      <x:c r="A49" s="98" t="str">
        <x:v>2028-09-01</x:v>
      </x:c>
      <x:c r="B49" s="32" t="n">
        <x:f>IF(AND(DATEVALUE(A49)&gt;=DATEVALUE(G5),DATEVALUE(A49)&lt;EDATE(DATEVALUE(G5),H5)),I5,0)</x:f>
        <x:v>3011.25</x:v>
      </x:c>
      <x:c r="C49" s="32" t="n">
        <x:f>IF(AND(DATEVALUE(A49)&gt;=DATEVALUE(G6),DATEVALUE(A49)&lt;EDATE(DATEVALUE(G6),H6)),I6,0)</x:f>
        <x:v>3154.5</x:v>
      </x:c>
      <x:c r="D49" s="32" t="n">
        <x:f>IF(AND(DATEVALUE(A49)&gt;=DATEVALUE(G7),DATEVALUE(A49)&lt;EDATE(DATEVALUE(G7),H7)),I7,0)</x:f>
        <x:v>3529.5</x:v>
      </x:c>
      <x:c r="E49" s="32" t="n">
        <x:f>IF(AND(DATEVALUE(A49)&gt;=DATEVALUE(G8),DATEVALUE(A49)&lt;EDATE(DATEVALUE(G8),H8)),I8,0)</x:f>
        <x:v>2520</x:v>
      </x:c>
      <x:c r="F49" s="32" t="n">
        <x:f>IF(AND(DATEVALUE(A49)&gt;=DATEVALUE(G9),DATEVALUE(A49)&lt;EDATE(DATEVALUE(G9),H9)),I9,0)</x:f>
        <x:v>3061.5</x:v>
      </x:c>
      <x:c r="G49" s="32" t="n">
        <x:f>IF(AND(DATEVALUE(A49)&gt;=DATEVALUE(G10),DATEVALUE(A49)&lt;EDATE(DATEVALUE(G10),H10)),I10,0)</x:f>
        <x:v>3346.6666666666665</x:v>
      </x:c>
      <x:c r="H49" s="32" t="n">
        <x:f>SUM(B49:G49)</x:f>
        <x:v>18623.416666666668</x:v>
      </x:c>
      <x:c r="I49" s="32" t="n">
        <x:f>'04_Cenario_36m'!D25*8%</x:f>
        <x:v>84000</x:v>
      </x:c>
      <x:c r="J49" s="32" t="n">
        <x:f>MIN(H49,I49)</x:f>
        <x:v>18623.416666666668</x:v>
      </x:c>
    </x:row>
    <x:row r="50">
      <x:c r="A50" s="98" t="str">
        <x:v>2028-10-01</x:v>
      </x:c>
      <x:c r="B50" s="32" t="n">
        <x:f>IF(AND(DATEVALUE(A50)&gt;=DATEVALUE(G5),DATEVALUE(A50)&lt;EDATE(DATEVALUE(G5),H5)),I5,0)</x:f>
        <x:v>3011.25</x:v>
      </x:c>
      <x:c r="C50" s="32" t="n">
        <x:f>IF(AND(DATEVALUE(A50)&gt;=DATEVALUE(G6),DATEVALUE(A50)&lt;EDATE(DATEVALUE(G6),H6)),I6,0)</x:f>
        <x:v>3154.5</x:v>
      </x:c>
      <x:c r="D50" s="32" t="n">
        <x:f>IF(AND(DATEVALUE(A50)&gt;=DATEVALUE(G7),DATEVALUE(A50)&lt;EDATE(DATEVALUE(G7),H7)),I7,0)</x:f>
        <x:v>3529.5</x:v>
      </x:c>
      <x:c r="E50" s="32" t="n">
        <x:f>IF(AND(DATEVALUE(A50)&gt;=DATEVALUE(G8),DATEVALUE(A50)&lt;EDATE(DATEVALUE(G8),H8)),I8,0)</x:f>
        <x:v>2520</x:v>
      </x:c>
      <x:c r="F50" s="32" t="n">
        <x:f>IF(AND(DATEVALUE(A50)&gt;=DATEVALUE(G9),DATEVALUE(A50)&lt;EDATE(DATEVALUE(G9),H9)),I9,0)</x:f>
        <x:v>3061.5</x:v>
      </x:c>
      <x:c r="G50" s="32" t="n">
        <x:f>IF(AND(DATEVALUE(A50)&gt;=DATEVALUE(G10),DATEVALUE(A50)&lt;EDATE(DATEVALUE(G10),H10)),I10,0)</x:f>
        <x:v>3346.6666666666665</x:v>
      </x:c>
      <x:c r="H50" s="32" t="n">
        <x:f>SUM(B50:G50)</x:f>
        <x:v>18623.416666666668</x:v>
      </x:c>
      <x:c r="I50" s="32" t="n">
        <x:f>'04_Cenario_36m'!D26*8%</x:f>
        <x:v>84000</x:v>
      </x:c>
      <x:c r="J50" s="32" t="n">
        <x:f>MIN(H50,I50)</x:f>
        <x:v>18623.416666666668</x:v>
      </x:c>
    </x:row>
    <x:row r="51">
      <x:c r="A51" s="98" t="str">
        <x:v>2028-11-01</x:v>
      </x:c>
      <x:c r="B51" s="32" t="n">
        <x:f>IF(AND(DATEVALUE(A51)&gt;=DATEVALUE(G5),DATEVALUE(A51)&lt;EDATE(DATEVALUE(G5),H5)),I5,0)</x:f>
        <x:v>3011.25</x:v>
      </x:c>
      <x:c r="C51" s="32" t="n">
        <x:f>IF(AND(DATEVALUE(A51)&gt;=DATEVALUE(G6),DATEVALUE(A51)&lt;EDATE(DATEVALUE(G6),H6)),I6,0)</x:f>
        <x:v>3154.5</x:v>
      </x:c>
      <x:c r="D51" s="32" t="n">
        <x:f>IF(AND(DATEVALUE(A51)&gt;=DATEVALUE(G7),DATEVALUE(A51)&lt;EDATE(DATEVALUE(G7),H7)),I7,0)</x:f>
        <x:v>3529.5</x:v>
      </x:c>
      <x:c r="E51" s="32" t="n">
        <x:f>IF(AND(DATEVALUE(A51)&gt;=DATEVALUE(G8),DATEVALUE(A51)&lt;EDATE(DATEVALUE(G8),H8)),I8,0)</x:f>
        <x:v>2520</x:v>
      </x:c>
      <x:c r="F51" s="32" t="n">
        <x:f>IF(AND(DATEVALUE(A51)&gt;=DATEVALUE(G9),DATEVALUE(A51)&lt;EDATE(DATEVALUE(G9),H9)),I9,0)</x:f>
        <x:v>3061.5</x:v>
      </x:c>
      <x:c r="G51" s="32" t="n">
        <x:f>IF(AND(DATEVALUE(A51)&gt;=DATEVALUE(G10),DATEVALUE(A51)&lt;EDATE(DATEVALUE(G10),H10)),I10,0)</x:f>
        <x:v>3346.6666666666665</x:v>
      </x:c>
      <x:c r="H51" s="32" t="n">
        <x:f>SUM(B51:G51)</x:f>
        <x:v>18623.416666666668</x:v>
      </x:c>
      <x:c r="I51" s="32" t="n">
        <x:f>'04_Cenario_36m'!D27*8%</x:f>
        <x:v>84000</x:v>
      </x:c>
      <x:c r="J51" s="32" t="n">
        <x:f>MIN(H51,I51)</x:f>
        <x:v>18623.416666666668</x:v>
      </x:c>
    </x:row>
    <x:row r="52">
      <x:c r="A52" s="98" t="str">
        <x:v>2028-12-01</x:v>
      </x:c>
      <x:c r="B52" s="32" t="n">
        <x:f>IF(AND(DATEVALUE(A52)&gt;=DATEVALUE(G5),DATEVALUE(A52)&lt;EDATE(DATEVALUE(G5),H5)),I5,0)</x:f>
        <x:v>3011.25</x:v>
      </x:c>
      <x:c r="C52" s="32" t="n">
        <x:f>IF(AND(DATEVALUE(A52)&gt;=DATEVALUE(G6),DATEVALUE(A52)&lt;EDATE(DATEVALUE(G6),H6)),I6,0)</x:f>
        <x:v>3154.5</x:v>
      </x:c>
      <x:c r="D52" s="32" t="n">
        <x:f>IF(AND(DATEVALUE(A52)&gt;=DATEVALUE(G7),DATEVALUE(A52)&lt;EDATE(DATEVALUE(G7),H7)),I7,0)</x:f>
        <x:v>3529.5</x:v>
      </x:c>
      <x:c r="E52" s="32" t="n">
        <x:f>IF(AND(DATEVALUE(A52)&gt;=DATEVALUE(G8),DATEVALUE(A52)&lt;EDATE(DATEVALUE(G8),H8)),I8,0)</x:f>
        <x:v>2520</x:v>
      </x:c>
      <x:c r="F52" s="32" t="n">
        <x:f>IF(AND(DATEVALUE(A52)&gt;=DATEVALUE(G9),DATEVALUE(A52)&lt;EDATE(DATEVALUE(G9),H9)),I9,0)</x:f>
        <x:v>3061.5</x:v>
      </x:c>
      <x:c r="G52" s="32" t="n">
        <x:f>IF(AND(DATEVALUE(A52)&gt;=DATEVALUE(G10),DATEVALUE(A52)&lt;EDATE(DATEVALUE(G10),H10)),I10,0)</x:f>
        <x:v>3346.6666666666665</x:v>
      </x:c>
      <x:c r="H52" s="32" t="n">
        <x:f>SUM(B52:G52)</x:f>
        <x:v>18623.416666666668</x:v>
      </x:c>
      <x:c r="I52" s="32" t="n">
        <x:f>'04_Cenario_36m'!D28*8%</x:f>
        <x:v>84000</x:v>
      </x:c>
      <x:c r="J52" s="32" t="n">
        <x:f>MIN(H52,I52)</x:f>
        <x:v>18623.416666666668</x:v>
      </x:c>
    </x:row>
    <x:row r="53">
      <x:c r="A53" s="98" t="str">
        <x:v>2029-01-01</x:v>
      </x:c>
      <x:c r="B53" s="32" t="n">
        <x:f>IF(AND(DATEVALUE(A53)&gt;=DATEVALUE(G5),DATEVALUE(A53)&lt;EDATE(DATEVALUE(G5),H5)),I5,0)</x:f>
        <x:v>0</x:v>
      </x:c>
      <x:c r="C53" s="32" t="n">
        <x:f>IF(AND(DATEVALUE(A53)&gt;=DATEVALUE(G6),DATEVALUE(A53)&lt;EDATE(DATEVALUE(G6),H6)),I6,0)</x:f>
        <x:v>3154.5</x:v>
      </x:c>
      <x:c r="D53" s="32" t="n">
        <x:f>IF(AND(DATEVALUE(A53)&gt;=DATEVALUE(G7),DATEVALUE(A53)&lt;EDATE(DATEVALUE(G7),H7)),I7,0)</x:f>
        <x:v>3529.5</x:v>
      </x:c>
      <x:c r="E53" s="32" t="n">
        <x:f>IF(AND(DATEVALUE(A53)&gt;=DATEVALUE(G8),DATEVALUE(A53)&lt;EDATE(DATEVALUE(G8),H8)),I8,0)</x:f>
        <x:v>2520</x:v>
      </x:c>
      <x:c r="F53" s="32" t="n">
        <x:f>IF(AND(DATEVALUE(A53)&gt;=DATEVALUE(G9),DATEVALUE(A53)&lt;EDATE(DATEVALUE(G9),H9)),I9,0)</x:f>
        <x:v>3061.5</x:v>
      </x:c>
      <x:c r="G53" s="32" t="n">
        <x:f>IF(AND(DATEVALUE(A53)&gt;=DATEVALUE(G10),DATEVALUE(A53)&lt;EDATE(DATEVALUE(G10),H10)),I10,0)</x:f>
        <x:v>3346.6666666666665</x:v>
      </x:c>
      <x:c r="H53" s="32" t="n">
        <x:f>SUM(B53:G53)</x:f>
        <x:v>15612.166666666666</x:v>
      </x:c>
      <x:c r="I53" s="32" t="n">
        <x:f>'04_Cenario_36m'!D29*8%</x:f>
        <x:v>144000</x:v>
      </x:c>
      <x:c r="J53" s="32" t="n">
        <x:f>MIN(H53,I53)</x:f>
        <x:v>15612.166666666666</x:v>
      </x:c>
    </x:row>
    <x:row r="54">
      <x:c r="A54" s="98" t="str">
        <x:v>2029-02-01</x:v>
      </x:c>
      <x:c r="B54" s="32" t="n">
        <x:f>IF(AND(DATEVALUE(A54)&gt;=DATEVALUE(G5),DATEVALUE(A54)&lt;EDATE(DATEVALUE(G5),H5)),I5,0)</x:f>
        <x:v>0</x:v>
      </x:c>
      <x:c r="C54" s="32" t="n">
        <x:f>IF(AND(DATEVALUE(A54)&gt;=DATEVALUE(G6),DATEVALUE(A54)&lt;EDATE(DATEVALUE(G6),H6)),I6,0)</x:f>
        <x:v>3154.5</x:v>
      </x:c>
      <x:c r="D54" s="32" t="n">
        <x:f>IF(AND(DATEVALUE(A54)&gt;=DATEVALUE(G7),DATEVALUE(A54)&lt;EDATE(DATEVALUE(G7),H7)),I7,0)</x:f>
        <x:v>3529.5</x:v>
      </x:c>
      <x:c r="E54" s="32" t="n">
        <x:f>IF(AND(DATEVALUE(A54)&gt;=DATEVALUE(G8),DATEVALUE(A54)&lt;EDATE(DATEVALUE(G8),H8)),I8,0)</x:f>
        <x:v>2520</x:v>
      </x:c>
      <x:c r="F54" s="32" t="n">
        <x:f>IF(AND(DATEVALUE(A54)&gt;=DATEVALUE(G9),DATEVALUE(A54)&lt;EDATE(DATEVALUE(G9),H9)),I9,0)</x:f>
        <x:v>3061.5</x:v>
      </x:c>
      <x:c r="G54" s="32" t="n">
        <x:f>IF(AND(DATEVALUE(A54)&gt;=DATEVALUE(G10),DATEVALUE(A54)&lt;EDATE(DATEVALUE(G10),H10)),I10,0)</x:f>
        <x:v>3346.6666666666665</x:v>
      </x:c>
      <x:c r="H54" s="32" t="n">
        <x:f>SUM(B54:G54)</x:f>
        <x:v>15612.166666666666</x:v>
      </x:c>
      <x:c r="I54" s="32" t="n">
        <x:f>'04_Cenario_36m'!D30*8%</x:f>
        <x:v>144000</x:v>
      </x:c>
      <x:c r="J54" s="32" t="n">
        <x:f>MIN(H54,I54)</x:f>
        <x:v>15612.166666666666</x:v>
      </x:c>
    </x:row>
    <x:row r="55">
      <x:c r="A55" s="98" t="str">
        <x:v>2029-03-01</x:v>
      </x:c>
      <x:c r="B55" s="32" t="n">
        <x:f>IF(AND(DATEVALUE(A55)&gt;=DATEVALUE(G5),DATEVALUE(A55)&lt;EDATE(DATEVALUE(G5),H5)),I5,0)</x:f>
        <x:v>0</x:v>
      </x:c>
      <x:c r="C55" s="32" t="n">
        <x:f>IF(AND(DATEVALUE(A55)&gt;=DATEVALUE(G6),DATEVALUE(A55)&lt;EDATE(DATEVALUE(G6),H6)),I6,0)</x:f>
        <x:v>3154.5</x:v>
      </x:c>
      <x:c r="D55" s="32" t="n">
        <x:f>IF(AND(DATEVALUE(A55)&gt;=DATEVALUE(G7),DATEVALUE(A55)&lt;EDATE(DATEVALUE(G7),H7)),I7,0)</x:f>
        <x:v>3529.5</x:v>
      </x:c>
      <x:c r="E55" s="32" t="n">
        <x:f>IF(AND(DATEVALUE(A55)&gt;=DATEVALUE(G8),DATEVALUE(A55)&lt;EDATE(DATEVALUE(G8),H8)),I8,0)</x:f>
        <x:v>2520</x:v>
      </x:c>
      <x:c r="F55" s="32" t="n">
        <x:f>IF(AND(DATEVALUE(A55)&gt;=DATEVALUE(G9),DATEVALUE(A55)&lt;EDATE(DATEVALUE(G9),H9)),I9,0)</x:f>
        <x:v>3061.5</x:v>
      </x:c>
      <x:c r="G55" s="32" t="n">
        <x:f>IF(AND(DATEVALUE(A55)&gt;=DATEVALUE(G10),DATEVALUE(A55)&lt;EDATE(DATEVALUE(G10),H10)),I10,0)</x:f>
        <x:v>3346.6666666666665</x:v>
      </x:c>
      <x:c r="H55" s="32" t="n">
        <x:f>SUM(B55:G55)</x:f>
        <x:v>15612.166666666666</x:v>
      </x:c>
      <x:c r="I55" s="32" t="n">
        <x:f>'04_Cenario_36m'!D31*8%</x:f>
        <x:v>144000</x:v>
      </x:c>
      <x:c r="J55" s="32" t="n">
        <x:f>MIN(H55,I55)</x:f>
        <x:v>15612.166666666666</x:v>
      </x:c>
    </x:row>
    <x:row r="56">
      <x:c r="A56" s="98" t="str">
        <x:v>2029-04-01</x:v>
      </x:c>
      <x:c r="B56" s="32" t="n">
        <x:f>IF(AND(DATEVALUE(A56)&gt;=DATEVALUE(G5),DATEVALUE(A56)&lt;EDATE(DATEVALUE(G5),H5)),I5,0)</x:f>
        <x:v>0</x:v>
      </x:c>
      <x:c r="C56" s="32" t="n">
        <x:f>IF(AND(DATEVALUE(A56)&gt;=DATEVALUE(G6),DATEVALUE(A56)&lt;EDATE(DATEVALUE(G6),H6)),I6,0)</x:f>
        <x:v>3154.5</x:v>
      </x:c>
      <x:c r="D56" s="32" t="n">
        <x:f>IF(AND(DATEVALUE(A56)&gt;=DATEVALUE(G7),DATEVALUE(A56)&lt;EDATE(DATEVALUE(G7),H7)),I7,0)</x:f>
        <x:v>3529.5</x:v>
      </x:c>
      <x:c r="E56" s="32" t="n">
        <x:f>IF(AND(DATEVALUE(A56)&gt;=DATEVALUE(G8),DATEVALUE(A56)&lt;EDATE(DATEVALUE(G8),H8)),I8,0)</x:f>
        <x:v>2520</x:v>
      </x:c>
      <x:c r="F56" s="32" t="n">
        <x:f>IF(AND(DATEVALUE(A56)&gt;=DATEVALUE(G9),DATEVALUE(A56)&lt;EDATE(DATEVALUE(G9),H9)),I9,0)</x:f>
        <x:v>3061.5</x:v>
      </x:c>
      <x:c r="G56" s="32" t="n">
        <x:f>IF(AND(DATEVALUE(A56)&gt;=DATEVALUE(G10),DATEVALUE(A56)&lt;EDATE(DATEVALUE(G10),H10)),I10,0)</x:f>
        <x:v>3346.6666666666665</x:v>
      </x:c>
      <x:c r="H56" s="32" t="n">
        <x:f>SUM(B56:G56)</x:f>
        <x:v>15612.166666666666</x:v>
      </x:c>
      <x:c r="I56" s="32" t="n">
        <x:f>'04_Cenario_36m'!D32*8%</x:f>
        <x:v>144000</x:v>
      </x:c>
      <x:c r="J56" s="32" t="n">
        <x:f>MIN(H56,I56)</x:f>
        <x:v>15612.166666666666</x:v>
      </x:c>
    </x:row>
    <x:row r="57">
      <x:c r="A57" s="98" t="str">
        <x:v>2029-05-01</x:v>
      </x:c>
      <x:c r="B57" s="32" t="n">
        <x:f>IF(AND(DATEVALUE(A57)&gt;=DATEVALUE(G5),DATEVALUE(A57)&lt;EDATE(DATEVALUE(G5),H5)),I5,0)</x:f>
        <x:v>0</x:v>
      </x:c>
      <x:c r="C57" s="32" t="n">
        <x:f>IF(AND(DATEVALUE(A57)&gt;=DATEVALUE(G6),DATEVALUE(A57)&lt;EDATE(DATEVALUE(G6),H6)),I6,0)</x:f>
        <x:v>3154.5</x:v>
      </x:c>
      <x:c r="D57" s="32" t="n">
        <x:f>IF(AND(DATEVALUE(A57)&gt;=DATEVALUE(G7),DATEVALUE(A57)&lt;EDATE(DATEVALUE(G7),H7)),I7,0)</x:f>
        <x:v>3529.5</x:v>
      </x:c>
      <x:c r="E57" s="32" t="n">
        <x:f>IF(AND(DATEVALUE(A57)&gt;=DATEVALUE(G8),DATEVALUE(A57)&lt;EDATE(DATEVALUE(G8),H8)),I8,0)</x:f>
        <x:v>2520</x:v>
      </x:c>
      <x:c r="F57" s="32" t="n">
        <x:f>IF(AND(DATEVALUE(A57)&gt;=DATEVALUE(G9),DATEVALUE(A57)&lt;EDATE(DATEVALUE(G9),H9)),I9,0)</x:f>
        <x:v>3061.5</x:v>
      </x:c>
      <x:c r="G57" s="32" t="n">
        <x:f>IF(AND(DATEVALUE(A57)&gt;=DATEVALUE(G10),DATEVALUE(A57)&lt;EDATE(DATEVALUE(G10),H10)),I10,0)</x:f>
        <x:v>3346.6666666666665</x:v>
      </x:c>
      <x:c r="H57" s="32" t="n">
        <x:f>SUM(B57:G57)</x:f>
        <x:v>15612.166666666666</x:v>
      </x:c>
      <x:c r="I57" s="32" t="n">
        <x:f>'04_Cenario_36m'!D33*8%</x:f>
        <x:v>144000</x:v>
      </x:c>
      <x:c r="J57" s="32" t="n">
        <x:f>MIN(H57,I57)</x:f>
        <x:v>15612.166666666666</x:v>
      </x:c>
    </x:row>
    <x:row r="58">
      <x:c r="A58" s="98" t="str">
        <x:v>2029-06-01</x:v>
      </x:c>
      <x:c r="B58" s="32" t="n">
        <x:f>IF(AND(DATEVALUE(A58)&gt;=DATEVALUE(G5),DATEVALUE(A58)&lt;EDATE(DATEVALUE(G5),H5)),I5,0)</x:f>
        <x:v>0</x:v>
      </x:c>
      <x:c r="C58" s="32" t="n">
        <x:f>IF(AND(DATEVALUE(A58)&gt;=DATEVALUE(G6),DATEVALUE(A58)&lt;EDATE(DATEVALUE(G6),H6)),I6,0)</x:f>
        <x:v>3154.5</x:v>
      </x:c>
      <x:c r="D58" s="32" t="n">
        <x:f>IF(AND(DATEVALUE(A58)&gt;=DATEVALUE(G7),DATEVALUE(A58)&lt;EDATE(DATEVALUE(G7),H7)),I7,0)</x:f>
        <x:v>3529.5</x:v>
      </x:c>
      <x:c r="E58" s="32" t="n">
        <x:f>IF(AND(DATEVALUE(A58)&gt;=DATEVALUE(G8),DATEVALUE(A58)&lt;EDATE(DATEVALUE(G8),H8)),I8,0)</x:f>
        <x:v>2520</x:v>
      </x:c>
      <x:c r="F58" s="32" t="n">
        <x:f>IF(AND(DATEVALUE(A58)&gt;=DATEVALUE(G9),DATEVALUE(A58)&lt;EDATE(DATEVALUE(G9),H9)),I9,0)</x:f>
        <x:v>3061.5</x:v>
      </x:c>
      <x:c r="G58" s="32" t="n">
        <x:f>IF(AND(DATEVALUE(A58)&gt;=DATEVALUE(G10),DATEVALUE(A58)&lt;EDATE(DATEVALUE(G10),H10)),I10,0)</x:f>
        <x:v>3346.6666666666665</x:v>
      </x:c>
      <x:c r="H58" s="32" t="n">
        <x:f>SUM(B58:G58)</x:f>
        <x:v>15612.166666666666</x:v>
      </x:c>
      <x:c r="I58" s="32" t="n">
        <x:f>'04_Cenario_36m'!D34*8%</x:f>
        <x:v>144000</x:v>
      </x:c>
      <x:c r="J58" s="32" t="n">
        <x:f>MIN(H58,I58)</x:f>
        <x:v>15612.166666666666</x:v>
      </x:c>
    </x:row>
    <x:row r="59">
      <x:c r="A59" s="98" t="str">
        <x:v>2029-07-01</x:v>
      </x:c>
      <x:c r="B59" s="32" t="n">
        <x:f>IF(AND(DATEVALUE(A59)&gt;=DATEVALUE(G5),DATEVALUE(A59)&lt;EDATE(DATEVALUE(G5),H5)),I5,0)</x:f>
        <x:v>0</x:v>
      </x:c>
      <x:c r="C59" s="32" t="n">
        <x:f>IF(AND(DATEVALUE(A59)&gt;=DATEVALUE(G6),DATEVALUE(A59)&lt;EDATE(DATEVALUE(G6),H6)),I6,0)</x:f>
        <x:v>0</x:v>
      </x:c>
      <x:c r="D59" s="32" t="n">
        <x:f>IF(AND(DATEVALUE(A59)&gt;=DATEVALUE(G7),DATEVALUE(A59)&lt;EDATE(DATEVALUE(G7),H7)),I7,0)</x:f>
        <x:v>3529.5</x:v>
      </x:c>
      <x:c r="E59" s="32" t="n">
        <x:f>IF(AND(DATEVALUE(A59)&gt;=DATEVALUE(G8),DATEVALUE(A59)&lt;EDATE(DATEVALUE(G8),H8)),I8,0)</x:f>
        <x:v>2520</x:v>
      </x:c>
      <x:c r="F59" s="32" t="n">
        <x:f>IF(AND(DATEVALUE(A59)&gt;=DATEVALUE(G9),DATEVALUE(A59)&lt;EDATE(DATEVALUE(G9),H9)),I9,0)</x:f>
        <x:v>3061.5</x:v>
      </x:c>
      <x:c r="G59" s="32" t="n">
        <x:f>IF(AND(DATEVALUE(A59)&gt;=DATEVALUE(G10),DATEVALUE(A59)&lt;EDATE(DATEVALUE(G10),H10)),I10,0)</x:f>
        <x:v>3346.6666666666665</x:v>
      </x:c>
      <x:c r="H59" s="32" t="n">
        <x:f>SUM(B59:G59)</x:f>
        <x:v>12457.666666666666</x:v>
      </x:c>
      <x:c r="I59" s="32" t="n">
        <x:f>'04_Cenario_36m'!D35*8%</x:f>
        <x:v>144000</x:v>
      </x:c>
      <x:c r="J59" s="32" t="n">
        <x:f>MIN(H59,I59)</x:f>
        <x:v>12457.666666666666</x:v>
      </x:c>
    </x:row>
    <x:row r="60">
      <x:c r="A60" s="98" t="str">
        <x:v>2029-08-01</x:v>
      </x:c>
      <x:c r="B60" s="32" t="n">
        <x:f>IF(AND(DATEVALUE(A60)&gt;=DATEVALUE(G5),DATEVALUE(A60)&lt;EDATE(DATEVALUE(G5),H5)),I5,0)</x:f>
        <x:v>0</x:v>
      </x:c>
      <x:c r="C60" s="32" t="n">
        <x:f>IF(AND(DATEVALUE(A60)&gt;=DATEVALUE(G6),DATEVALUE(A60)&lt;EDATE(DATEVALUE(G6),H6)),I6,0)</x:f>
        <x:v>0</x:v>
      </x:c>
      <x:c r="D60" s="32" t="n">
        <x:f>IF(AND(DATEVALUE(A60)&gt;=DATEVALUE(G7),DATEVALUE(A60)&lt;EDATE(DATEVALUE(G7),H7)),I7,0)</x:f>
        <x:v>3529.5</x:v>
      </x:c>
      <x:c r="E60" s="32" t="n">
        <x:f>IF(AND(DATEVALUE(A60)&gt;=DATEVALUE(G8),DATEVALUE(A60)&lt;EDATE(DATEVALUE(G8),H8)),I8,0)</x:f>
        <x:v>2520</x:v>
      </x:c>
      <x:c r="F60" s="32" t="n">
        <x:f>IF(AND(DATEVALUE(A60)&gt;=DATEVALUE(G9),DATEVALUE(A60)&lt;EDATE(DATEVALUE(G9),H9)),I9,0)</x:f>
        <x:v>3061.5</x:v>
      </x:c>
      <x:c r="G60" s="32" t="n">
        <x:f>IF(AND(DATEVALUE(A60)&gt;=DATEVALUE(G10),DATEVALUE(A60)&lt;EDATE(DATEVALUE(G10),H10)),I10,0)</x:f>
        <x:v>3346.6666666666665</x:v>
      </x:c>
      <x:c r="H60" s="32" t="n">
        <x:f>SUM(B60:G60)</x:f>
        <x:v>12457.666666666666</x:v>
      </x:c>
      <x:c r="I60" s="32" t="n">
        <x:f>'04_Cenario_36m'!D36*8%</x:f>
        <x:v>144000</x:v>
      </x:c>
      <x:c r="J60" s="32" t="n">
        <x:f>MIN(H60,I60)</x:f>
        <x:v>12457.666666666666</x:v>
      </x:c>
    </x:row>
    <x:row r="61">
      <x:c r="A61" s="98" t="str">
        <x:v>2029-09-01</x:v>
      </x:c>
      <x:c r="B61" s="32" t="n">
        <x:f>IF(AND(DATEVALUE(A61)&gt;=DATEVALUE(G5),DATEVALUE(A61)&lt;EDATE(DATEVALUE(G5),H5)),I5,0)</x:f>
        <x:v>0</x:v>
      </x:c>
      <x:c r="C61" s="32" t="n">
        <x:f>IF(AND(DATEVALUE(A61)&gt;=DATEVALUE(G6),DATEVALUE(A61)&lt;EDATE(DATEVALUE(G6),H6)),I6,0)</x:f>
        <x:v>0</x:v>
      </x:c>
      <x:c r="D61" s="32" t="n">
        <x:f>IF(AND(DATEVALUE(A61)&gt;=DATEVALUE(G7),DATEVALUE(A61)&lt;EDATE(DATEVALUE(G7),H7)),I7,0)</x:f>
        <x:v>3529.5</x:v>
      </x:c>
      <x:c r="E61" s="32" t="n">
        <x:f>IF(AND(DATEVALUE(A61)&gt;=DATEVALUE(G8),DATEVALUE(A61)&lt;EDATE(DATEVALUE(G8),H8)),I8,0)</x:f>
        <x:v>2520</x:v>
      </x:c>
      <x:c r="F61" s="32" t="n">
        <x:f>IF(AND(DATEVALUE(A61)&gt;=DATEVALUE(G9),DATEVALUE(A61)&lt;EDATE(DATEVALUE(G9),H9)),I9,0)</x:f>
        <x:v>3061.5</x:v>
      </x:c>
      <x:c r="G61" s="32" t="n">
        <x:f>IF(AND(DATEVALUE(A61)&gt;=DATEVALUE(G10),DATEVALUE(A61)&lt;EDATE(DATEVALUE(G10),H10)),I10,0)</x:f>
        <x:v>3346.6666666666665</x:v>
      </x:c>
      <x:c r="H61" s="32" t="n">
        <x:f>SUM(B61:G61)</x:f>
        <x:v>12457.666666666666</x:v>
      </x:c>
      <x:c r="I61" s="32" t="n">
        <x:f>'04_Cenario_36m'!D37*8%</x:f>
        <x:v>144000</x:v>
      </x:c>
      <x:c r="J61" s="32" t="n">
        <x:f>MIN(H61,I61)</x:f>
        <x:v>12457.666666666666</x:v>
      </x:c>
    </x:row>
    <x:row r="62">
      <x:c r="A62" s="98" t="str">
        <x:v>2029-10-01</x:v>
      </x:c>
      <x:c r="B62" s="32" t="n">
        <x:f>IF(AND(DATEVALUE(A62)&gt;=DATEVALUE(G5),DATEVALUE(A62)&lt;EDATE(DATEVALUE(G5),H5)),I5,0)</x:f>
        <x:v>0</x:v>
      </x:c>
      <x:c r="C62" s="32" t="n">
        <x:f>IF(AND(DATEVALUE(A62)&gt;=DATEVALUE(G6),DATEVALUE(A62)&lt;EDATE(DATEVALUE(G6),H6)),I6,0)</x:f>
        <x:v>0</x:v>
      </x:c>
      <x:c r="D62" s="32" t="n">
        <x:f>IF(AND(DATEVALUE(A62)&gt;=DATEVALUE(G7),DATEVALUE(A62)&lt;EDATE(DATEVALUE(G7),H7)),I7,0)</x:f>
        <x:v>0</x:v>
      </x:c>
      <x:c r="E62" s="32" t="n">
        <x:f>IF(AND(DATEVALUE(A62)&gt;=DATEVALUE(G8),DATEVALUE(A62)&lt;EDATE(DATEVALUE(G8),H8)),I8,0)</x:f>
        <x:v>2520</x:v>
      </x:c>
      <x:c r="F62" s="32" t="n">
        <x:f>IF(AND(DATEVALUE(A62)&gt;=DATEVALUE(G9),DATEVALUE(A62)&lt;EDATE(DATEVALUE(G9),H9)),I9,0)</x:f>
        <x:v>0</x:v>
      </x:c>
      <x:c r="G62" s="32" t="n">
        <x:f>IF(AND(DATEVALUE(A62)&gt;=DATEVALUE(G10),DATEVALUE(A62)&lt;EDATE(DATEVALUE(G10),H10)),I10,0)</x:f>
        <x:v>3346.6666666666665</x:v>
      </x:c>
      <x:c r="H62" s="32" t="n">
        <x:f>SUM(B62:G62)</x:f>
        <x:v>5866.666666666666</x:v>
      </x:c>
      <x:c r="I62" s="32" t="n">
        <x:f>'04_Cenario_36m'!D38*8%</x:f>
        <x:v>144000</x:v>
      </x:c>
      <x:c r="J62" s="32" t="n">
        <x:f>MIN(H62,I62)</x:f>
        <x:v>5866.666666666666</x:v>
      </x:c>
    </x:row>
    <x:row r="63">
      <x:c r="A63" s="98" t="str">
        <x:v>2029-11-01</x:v>
      </x:c>
      <x:c r="B63" s="32" t="n">
        <x:f>IF(AND(DATEVALUE(A63)&gt;=DATEVALUE(G5),DATEVALUE(A63)&lt;EDATE(DATEVALUE(G5),H5)),I5,0)</x:f>
        <x:v>0</x:v>
      </x:c>
      <x:c r="C63" s="32" t="n">
        <x:f>IF(AND(DATEVALUE(A63)&gt;=DATEVALUE(G6),DATEVALUE(A63)&lt;EDATE(DATEVALUE(G6),H6)),I6,0)</x:f>
        <x:v>0</x:v>
      </x:c>
      <x:c r="D63" s="32" t="n">
        <x:f>IF(AND(DATEVALUE(A63)&gt;=DATEVALUE(G7),DATEVALUE(A63)&lt;EDATE(DATEVALUE(G7),H7)),I7,0)</x:f>
        <x:v>0</x:v>
      </x:c>
      <x:c r="E63" s="32" t="n">
        <x:f>IF(AND(DATEVALUE(A63)&gt;=DATEVALUE(G8),DATEVALUE(A63)&lt;EDATE(DATEVALUE(G8),H8)),I8,0)</x:f>
        <x:v>2520</x:v>
      </x:c>
      <x:c r="F63" s="32" t="n">
        <x:f>IF(AND(DATEVALUE(A63)&gt;=DATEVALUE(G9),DATEVALUE(A63)&lt;EDATE(DATEVALUE(G9),H9)),I9,0)</x:f>
        <x:v>0</x:v>
      </x:c>
      <x:c r="G63" s="32" t="n">
        <x:f>IF(AND(DATEVALUE(A63)&gt;=DATEVALUE(G10),DATEVALUE(A63)&lt;EDATE(DATEVALUE(G10),H10)),I10,0)</x:f>
        <x:v>3346.6666666666665</x:v>
      </x:c>
      <x:c r="H63" s="32" t="n">
        <x:f>SUM(B63:G63)</x:f>
        <x:v>5866.666666666666</x:v>
      </x:c>
      <x:c r="I63" s="32" t="n">
        <x:f>'04_Cenario_36m'!D39*8%</x:f>
        <x:v>144000</x:v>
      </x:c>
      <x:c r="J63" s="32" t="n">
        <x:f>MIN(H63,I63)</x:f>
        <x:v>5866.666666666666</x:v>
      </x:c>
    </x:row>
    <x:row r="64">
      <x:c r="A64" s="98" t="str">
        <x:v>2029-12-01</x:v>
      </x:c>
      <x:c r="B64" s="32" t="n">
        <x:f>IF(AND(DATEVALUE(A64)&gt;=DATEVALUE(G5),DATEVALUE(A64)&lt;EDATE(DATEVALUE(G5),H5)),I5,0)</x:f>
        <x:v>0</x:v>
      </x:c>
      <x:c r="C64" s="32" t="n">
        <x:f>IF(AND(DATEVALUE(A64)&gt;=DATEVALUE(G6),DATEVALUE(A64)&lt;EDATE(DATEVALUE(G6),H6)),I6,0)</x:f>
        <x:v>0</x:v>
      </x:c>
      <x:c r="D64" s="32" t="n">
        <x:f>IF(AND(DATEVALUE(A64)&gt;=DATEVALUE(G7),DATEVALUE(A64)&lt;EDATE(DATEVALUE(G7),H7)),I7,0)</x:f>
        <x:v>0</x:v>
      </x:c>
      <x:c r="E64" s="32" t="n">
        <x:f>IF(AND(DATEVALUE(A64)&gt;=DATEVALUE(G8),DATEVALUE(A64)&lt;EDATE(DATEVALUE(G8),H8)),I8,0)</x:f>
        <x:v>2520</x:v>
      </x:c>
      <x:c r="F64" s="32" t="n">
        <x:f>IF(AND(DATEVALUE(A64)&gt;=DATEVALUE(G9),DATEVALUE(A64)&lt;EDATE(DATEVALUE(G9),H9)),I9,0)</x:f>
        <x:v>0</x:v>
      </x:c>
      <x:c r="G64" s="32" t="n">
        <x:f>IF(AND(DATEVALUE(A64)&gt;=DATEVALUE(G10),DATEVALUE(A64)&lt;EDATE(DATEVALUE(G10),H10)),I10,0)</x:f>
        <x:v>3346.6666666666665</x:v>
      </x:c>
      <x:c r="H64" s="32" t="n">
        <x:f>SUM(B64:G64)</x:f>
        <x:v>5866.666666666666</x:v>
      </x:c>
      <x:c r="I64" s="32" t="n">
        <x:f>'04_Cenario_36m'!D40*8%</x:f>
        <x:v>144000</x:v>
      </x:c>
      <x:c r="J64" s="32" t="n">
        <x:f>MIN(H64,I64)</x:f>
        <x:v>5866.666666666666</x:v>
      </x:c>
    </x:row>
  </x:sheetData>
  <x:mergeCells>
    <x:mergeCell ref="A1:L1"/>
    <x:mergeCell ref="A2:L2"/>
    <x:mergeCell ref="A12:L12"/>
    <x:mergeCell ref="A19:L19"/>
    <x:mergeCell ref="A27:L27"/>
  </x:mergeCells>
  <x:pageMargins left="0.7" right="0.7" top="0.75" bottom="0.75" header="0.3" footer="0.3"/>
</x:worksheet>
</file>