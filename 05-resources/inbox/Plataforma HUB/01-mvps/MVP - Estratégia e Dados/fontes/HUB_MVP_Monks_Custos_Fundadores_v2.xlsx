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bd50ea43f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MVP_Monks" sheetId="1" r:id="Rb17b69f0355a4b18"/>
    <x:sheet xmlns:r="http://schemas.openxmlformats.org/officeDocument/2006/relationships" name="02_Escopo_Enxuto" sheetId="2" r:id="Re447df33722f4a34"/>
    <x:sheet xmlns:r="http://schemas.openxmlformats.org/officeDocument/2006/relationships" name="03_Premissas_Mao_de_Obra" sheetId="3" r:id="R07550478e5484254"/>
    <x:sheet xmlns:r="http://schemas.openxmlformats.org/officeDocument/2006/relationships" name="04_Credito_Socio_Tecnologia" sheetId="4" r:id="Raebc372b35c944ba"/>
    <x:sheet xmlns:r="http://schemas.openxmlformats.org/officeDocument/2006/relationships" name="05_Custo_MVP_e_Caixa" sheetId="5" r:id="Rc0e3f80d383f453e"/>
    <x:sheet xmlns:r="http://schemas.openxmlformats.org/officeDocument/2006/relationships" name="06_Plano_Monks_Case" sheetId="6" r:id="R4f9e2287cd3147fc"/>
    <x:sheet xmlns:r="http://schemas.openxmlformats.org/officeDocument/2006/relationships" name="07_Resumo_Executivo" sheetId="7" r:id="Ref259f647b914970"/>
    <x:sheet xmlns:r="http://schemas.openxmlformats.org/officeDocument/2006/relationships" name="04A_Credito_Fundadores_HUB" sheetId="8" r:id="Rc105bf673762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;[Red](R$ #,##0);-"/>
    <x:numFmt numFmtId="201" formatCode="#,##0;[Red](#,##0);-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6374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63747"/>
      <x:name val="Carlito"/>
    </x:font>
    <x:font>
      <x:sz val="11"/>
      <x:color rgb="FF008000"/>
      <x:name val="Carlito"/>
    </x:font>
    <x:font>
      <x:b/>
      <x:sz val="16"/>
      <x:color rgb="FF063747"/>
      <x:name val="Carlito"/>
    </x:font>
    <x:font>
      <x:b/>
      <x:sz val="11"/>
      <x:color rgb="FF0000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  <x:fill>
      <x:patternFill patternType="solid">
        <x:fgColor rgb="FFFFF2CC"/>
      </x:patternFill>
    </x:fill>
    <x:fill>
      <x:patternFill patternType="solid">
        <x:fgColor rgb="FFEEF2EA"/>
      </x:patternFill>
    </x:fill>
    <x:fill>
      <x:patternFill patternType="solid">
        <x:fgColor rgb="FFFFF2CC"/>
      </x:patternFill>
    </x:fill>
    <x:fill>
      <x:patternFill patternType="solid">
        <x:fgColor rgb="FFEEF2EA"/>
      </x:patternFill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7" fillId="6" borderId="0" xfId="0" applyNumberFormat="1" applyFont="1" applyFill="1" applyBorder="1" applyAlignment="1">
      <x:alignment horizontal="center" vertical="center"/>
    </x:xf>
    <x:xf numFmtId="200" fontId="7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200" fontId="4" fillId="7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200" fontId="8" fillId="7" borderId="0" xfId="0" applyNumberFormat="1" applyFont="1" applyFill="1" applyBorder="1" applyAlignment="1">
      <x:alignment wrapText="1"/>
    </x:xf>
    <x:xf numFmtId="201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0" fontId="5" fillId="8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bfd9972e044a9" /><Relationship Type="http://schemas.openxmlformats.org/officeDocument/2006/relationships/theme" Target="/xl/theme/theme1.xml" Id="R5557577027bb46bb" /><Relationship Type="http://schemas.openxmlformats.org/officeDocument/2006/relationships/sharedStrings" Target="/xl/sharedStrings.xml" Id="R2f25b368c6ee4b58" /><Relationship Type="http://schemas.openxmlformats.org/officeDocument/2006/relationships/worksheet" Target="/xl/worksheets/sheet1.xml" Id="Rb17b69f0355a4b18" /><Relationship Type="http://schemas.openxmlformats.org/officeDocument/2006/relationships/worksheet" Target="/xl/worksheets/sheet2.xml" Id="Re447df33722f4a34" /><Relationship Type="http://schemas.openxmlformats.org/officeDocument/2006/relationships/worksheet" Target="/xl/worksheets/sheet3.xml" Id="R07550478e5484254" /><Relationship Type="http://schemas.openxmlformats.org/officeDocument/2006/relationships/worksheet" Target="/xl/worksheets/sheet4.xml" Id="Raebc372b35c944ba" /><Relationship Type="http://schemas.openxmlformats.org/officeDocument/2006/relationships/worksheet" Target="/xl/worksheets/sheet5.xml" Id="Rc0e3f80d383f453e" /><Relationship Type="http://schemas.openxmlformats.org/officeDocument/2006/relationships/worksheet" Target="/xl/worksheets/sheet6.xml" Id="R4f9e2287cd3147fc" /><Relationship Type="http://schemas.openxmlformats.org/officeDocument/2006/relationships/worksheet" Target="/xl/worksheets/sheet7.xml" Id="Ref259f647b914970" /><Relationship Type="http://schemas.openxmlformats.org/officeDocument/2006/relationships/worksheet" Target="/xl/worksheets/sheet8.xml" Id="Rc105bf67376246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40" hidden="0" customWidth="1"/>
    <x:col min="5" max="5" width="40" hidden="0" customWidth="1"/>
    <x:col min="6" max="6" width="18" hidden="0" customWidth="1"/>
    <x:col min="7" max="7" width="18" hidden="0" customWidth="1"/>
    <x:col min="8" max="8" width="35" hidden="0" customWidth="1"/>
  </x:cols>
  <x:sheetData>
    <x:row r="1">
      <x:c r="A1" s="3" t="str">
        <x:v>HUB — MVP MONKS | ESTRATÉGIA &amp; DADOS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8" t="str">
        <x:v>Objetivo: usar a realidade da Monks como laboratório e primeiro case da frente Estratégia &amp; Dados, sem cobrança nos primeiros meses, preservando a visão do custo real de construção e da mão de obra tecnológica.</x:v>
      </x:c>
      <x:c r="B3" s="8"/>
      <x:c r="C3" s="8"/>
      <x:c r="D3" s="8"/>
      <x:c r="E3" s="8"/>
      <x:c r="F3" s="8"/>
      <x:c r="G3" s="8"/>
      <x:c r="H3" s="8"/>
    </x:row>
    <x:row r="5">
      <x:c r="A5" s="13" t="str">
        <x:v>Etapa</x:v>
      </x:c>
      <x:c r="B5" s="13" t="str">
        <x:v>Quem faz</x:v>
      </x:c>
      <x:c r="C5" s="13" t="str">
        <x:v>Entrada</x:v>
      </x:c>
      <x:c r="D5" s="13" t="str">
        <x:v>O que a tecnologia faz</x:v>
      </x:c>
      <x:c r="E5" s="13" t="str">
        <x:v>O que a HUB faz</x:v>
      </x:c>
      <x:c r="F5" s="13" t="str">
        <x:v>Automação no MVP?</x:v>
      </x:c>
      <x:c r="G5" s="13" t="str">
        <x:v>Necessário agora?</x:v>
      </x:c>
      <x:c r="H5" s="13" t="str">
        <x:v>Evolução futura</x:v>
      </x:c>
    </x:row>
    <x:row r="6">
      <x:c r="A6" s="16" t="str">
        <x:v>1. Receber dados</x:v>
      </x:c>
      <x:c r="B6" s="16" t="str">
        <x:v>Monks + HUB</x:v>
      </x:c>
      <x:c r="C6" s="16" t="str">
        <x:v>Arquivos de pessoas + negócio</x:v>
      </x:c>
      <x:c r="D6" s="16" t="str">
        <x:v>Armazena base estruturada</x:v>
      </x:c>
      <x:c r="E6" s="16" t="str">
        <x:v>Define template e valida qualidade</x:v>
      </x:c>
      <x:c r="F6" s="16" t="str">
        <x:v>Não</x:v>
      </x:c>
      <x:c r="G6" s="16" t="str">
        <x:v>Sim</x:v>
      </x:c>
      <x:c r="H6" s="16" t="str">
        <x:v>API/integração automática</x:v>
      </x:c>
    </x:row>
    <x:row r="7">
      <x:c r="A7" s="16" t="str">
        <x:v>2. Subir / tratar</x:v>
      </x:c>
      <x:c r="B7" s="16" t="str">
        <x:v>HUB</x:v>
      </x:c>
      <x:c r="C7" s="16" t="str">
        <x:v>CSV/XLSX padronizado</x:v>
      </x:c>
      <x:c r="D7" s="16" t="str">
        <x:v>Importa e estrutura dados</x:v>
      </x:c>
      <x:c r="E7" s="16" t="str">
        <x:v>Corrige campos e padroniza</x:v>
      </x:c>
      <x:c r="F7" s="16" t="str">
        <x:v>Parcial</x:v>
      </x:c>
      <x:c r="G7" s="16" t="str">
        <x:v>Sim</x:v>
      </x:c>
      <x:c r="H7" s="16" t="str">
        <x:v>ETL self-service</x:v>
      </x:c>
    </x:row>
    <x:row r="8">
      <x:c r="A8" s="16" t="str">
        <x:v>3. Cruzar</x:v>
      </x:c>
      <x:c r="B8" s="16" t="str">
        <x:v>Plataforma</x:v>
      </x:c>
      <x:c r="C8" s="16" t="str">
        <x:v>Pessoas × negócio</x:v>
      </x:c>
      <x:c r="D8" s="16" t="str">
        <x:v>Calcula métricas, filtros e cruzamentos</x:v>
      </x:c>
      <x:c r="E8" s="16" t="str">
        <x:v>Define perguntas e regras</x:v>
      </x:c>
      <x:c r="F8" s="16" t="str">
        <x:v>Sim</x:v>
      </x:c>
      <x:c r="G8" s="16" t="str">
        <x:v>Sim</x:v>
      </x:c>
      <x:c r="H8" s="16" t="str">
        <x:v>Modelos preditivos</x:v>
      </x:c>
    </x:row>
    <x:row r="9">
      <x:c r="A9" s="16" t="str">
        <x:v>4. Visualizar</x:v>
      </x:c>
      <x:c r="B9" s="16" t="str">
        <x:v>Plataforma</x:v>
      </x:c>
      <x:c r="C9" s="16" t="str">
        <x:v>Indicadores processados</x:v>
      </x:c>
      <x:c r="D9" s="16" t="str">
        <x:v>Dashboards e recortes</x:v>
      </x:c>
      <x:c r="E9" s="16" t="str">
        <x:v>Interpreta contexto</x:v>
      </x:c>
      <x:c r="F9" s="16" t="str">
        <x:v>Sim</x:v>
      </x:c>
      <x:c r="G9" s="16" t="str">
        <x:v>Sim</x:v>
      </x:c>
      <x:c r="H9" s="16" t="str">
        <x:v>Dashboards customizáveis</x:v>
      </x:c>
    </x:row>
    <x:row r="10">
      <x:c r="A10" s="16" t="str">
        <x:v>5. Identificar sinais</x:v>
      </x:c>
      <x:c r="B10" s="16" t="str">
        <x:v>Plataforma + HUB</x:v>
      </x:c>
      <x:c r="C10" s="16" t="str">
        <x:v>Cruzamentos</x:v>
      </x:c>
      <x:c r="D10" s="16" t="str">
        <x:v>Destaca variações e relações</x:v>
      </x:c>
      <x:c r="E10" s="16" t="str">
        <x:v>Valida relevância</x:v>
      </x:c>
      <x:c r="F10" s="16" t="str">
        <x:v>Parcial</x:v>
      </x:c>
      <x:c r="G10" s="16" t="str">
        <x:v>Sim</x:v>
      </x:c>
      <x:c r="H10" s="16" t="str">
        <x:v>IA de insights</x:v>
      </x:c>
    </x:row>
    <x:row r="11">
      <x:c r="A11" s="16" t="str">
        <x:v>6. Recomendar</x:v>
      </x:c>
      <x:c r="B11" s="16" t="str">
        <x:v>HUB</x:v>
      </x:c>
      <x:c r="C11" s="16" t="str">
        <x:v>Sinais priorizados</x:v>
      </x:c>
      <x:c r="D11" s="16" t="str">
        <x:v>Registra recomendações</x:v>
      </x:c>
      <x:c r="E11" s="16" t="str">
        <x:v>Cria plano de ação</x:v>
      </x:c>
      <x:c r="F11" s="16" t="str">
        <x:v>Não</x:v>
      </x:c>
      <x:c r="G11" s="16" t="str">
        <x:v>Sim</x:v>
      </x:c>
      <x:c r="H11" s="16" t="str">
        <x:v>Motor de recomendações</x:v>
      </x:c>
    </x:row>
    <x:row r="12">
      <x:c r="A12" s="16" t="str">
        <x:v>7. Acompanhar</x:v>
      </x:c>
      <x:c r="B12" s="16" t="str">
        <x:v>HUB + Monks</x:v>
      </x:c>
      <x:c r="C12" s="16" t="str">
        <x:v>Plano de ação</x:v>
      </x:c>
      <x:c r="D12" s="16" t="str">
        <x:v>Histórico simples</x:v>
      </x:c>
      <x:c r="E12" s="16" t="str">
        <x:v>Revisão periódica</x:v>
      </x:c>
      <x:c r="F12" s="16" t="str">
        <x:v>Parcial</x:v>
      </x:c>
      <x:c r="G12" s="16" t="str">
        <x:v>Sim</x:v>
      </x:c>
      <x:c r="H12" s="16" t="str">
        <x:v>Workflow completo</x:v>
      </x:c>
    </x:row>
    <x:row r="13">
      <x:c r="A13" s="16" t="str">
        <x:v>8. Medir case</x:v>
      </x:c>
      <x:c r="B13" s="16" t="str">
        <x:v>HUB</x:v>
      </x:c>
      <x:c r="C13" s="16" t="str">
        <x:v>Antes/depois</x:v>
      </x:c>
      <x:c r="D13" s="16" t="str">
        <x:v>Consolida evolução</x:v>
      </x:c>
      <x:c r="E13" s="16" t="str">
        <x:v>Constrói narrativa de case</x:v>
      </x:c>
      <x:c r="F13" s="16" t="str">
        <x:v>Parcial</x:v>
      </x:c>
      <x:c r="G13" s="16" t="str">
        <x:v>Sim</x:v>
      </x:c>
      <x:c r="H13" s="16" t="str">
        <x:v>Benchmark entre clientes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6" hidden="0" customWidth="1"/>
    <x:col min="4" max="4" width="15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45" hidden="0" customWidth="1"/>
  </x:cols>
  <x:sheetData>
    <x:row r="1">
      <x:c r="A1" s="3" t="str">
        <x:v>ESCOPO ENXUTO — CONSTRUIR SÓ O QUE O CASE PRECISA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5">
      <x:c r="A5" s="13" t="str">
        <x:v>ID</x:v>
      </x:c>
      <x:c r="B5" s="13" t="str">
        <x:v>Tela/capacidade</x:v>
      </x:c>
      <x:c r="C5" s="13" t="str">
        <x:v>Tipo</x:v>
      </x:c>
      <x:c r="D5" s="13" t="str">
        <x:v>MVP Monks</x:v>
      </x:c>
      <x:c r="E5" s="13" t="str">
        <x:v>Complexidade</x:v>
      </x:c>
      <x:c r="F5" s="13" t="str">
        <x:v>Dados</x:v>
      </x:c>
      <x:c r="G5" s="13" t="str">
        <x:v>Front</x:v>
      </x:c>
      <x:c r="H5" s="13" t="str">
        <x:v>Back</x:v>
      </x:c>
      <x:c r="I5" s="13" t="str">
        <x:v>IA</x:v>
      </x:c>
      <x:c r="J5" s="13" t="str">
        <x:v>Observação</x:v>
      </x:c>
    </x:row>
    <x:row r="6">
      <x:c r="A6" s="16" t="n">
        <x:v>1</x:v>
      </x:c>
      <x:c r="B6" s="16" t="str">
        <x:v>Login simples / acesso</x:v>
      </x:c>
      <x:c r="C6" s="16" t="str">
        <x:v>Core</x:v>
      </x:c>
      <x:c r="D6" s="16" t="str">
        <x:v>Sim</x:v>
      </x:c>
      <x:c r="E6" s="16" t="str">
        <x:v>Baixa</x:v>
      </x:c>
      <x:c r="F6" s="16" t="str">
        <x:v>Baixo</x:v>
      </x:c>
      <x:c r="G6" s="16" t="str">
        <x:v>Baixo</x:v>
      </x:c>
      <x:c r="H6" s="16" t="str">
        <x:v>Baixo</x:v>
      </x:c>
      <x:c r="I6" s="16" t="str">
        <x:v>Não</x:v>
      </x:c>
      <x:c r="J6" s="16" t="str">
        <x:v>Sem SSO corporativo no MVP</x:v>
      </x:c>
    </x:row>
    <x:row r="7">
      <x:c r="A7" s="16" t="n">
        <x:v>2</x:v>
      </x:c>
      <x:c r="B7" s="16" t="str">
        <x:v>Upload administrativo de dados</x:v>
      </x:c>
      <x:c r="C7" s="16" t="str">
        <x:v>Backoffice</x:v>
      </x:c>
      <x:c r="D7" s="16" t="str">
        <x:v>Sim</x:v>
      </x:c>
      <x:c r="E7" s="16" t="str">
        <x:v>Média</x:v>
      </x:c>
      <x:c r="F7" s="16" t="str">
        <x:v>Alto</x:v>
      </x:c>
      <x:c r="G7" s="16" t="str">
        <x:v>Baixo</x:v>
      </x:c>
      <x:c r="H7" s="16" t="str">
        <x:v>Médio</x:v>
      </x:c>
      <x:c r="I7" s="16" t="str">
        <x:v>Não</x:v>
      </x:c>
      <x:c r="J7" s="16" t="str">
        <x:v>Equipe HUB sobe os arquivos</x:v>
      </x:c>
    </x:row>
    <x:row r="8">
      <x:c r="A8" s="16" t="n">
        <x:v>3</x:v>
      </x:c>
      <x:c r="B8" s="16" t="str">
        <x:v>Mapeamento de campos / qualidade</x:v>
      </x:c>
      <x:c r="C8" s="16" t="str">
        <x:v>Backoffice</x:v>
      </x:c>
      <x:c r="D8" s="16" t="str">
        <x:v>Sim</x:v>
      </x:c>
      <x:c r="E8" s="16" t="str">
        <x:v>Média</x:v>
      </x:c>
      <x:c r="F8" s="16" t="str">
        <x:v>Alto</x:v>
      </x:c>
      <x:c r="G8" s="16" t="str">
        <x:v>Baixo</x:v>
      </x:c>
      <x:c r="H8" s="16" t="str">
        <x:v>Médio</x:v>
      </x:c>
      <x:c r="I8" s="16" t="str">
        <x:v>Não</x:v>
      </x:c>
      <x:c r="J8" s="16" t="str">
        <x:v>Padronização assistida</x:v>
      </x:c>
    </x:row>
    <x:row r="9">
      <x:c r="A9" s="16" t="n">
        <x:v>4</x:v>
      </x:c>
      <x:c r="B9" s="16" t="str">
        <x:v>Visão executiva</x:v>
      </x:c>
      <x:c r="C9" s="16" t="str">
        <x:v>Produto</x:v>
      </x:c>
      <x:c r="D9" s="16" t="str">
        <x:v>Sim</x:v>
      </x:c>
      <x:c r="E9" s="16" t="str">
        <x:v>Alta</x:v>
      </x:c>
      <x:c r="F9" s="16" t="str">
        <x:v>Alto</x:v>
      </x:c>
      <x:c r="G9" s="16" t="str">
        <x:v>Alto</x:v>
      </x:c>
      <x:c r="H9" s="16" t="str">
        <x:v>Médio</x:v>
      </x:c>
      <x:c r="I9" s="16" t="str">
        <x:v>Não</x:v>
      </x:c>
      <x:c r="J9" s="16" t="str">
        <x:v>KPIs de pessoas + negócio</x:v>
      </x:c>
    </x:row>
    <x:row r="10">
      <x:c r="A10" s="16" t="n">
        <x:v>5</x:v>
      </x:c>
      <x:c r="B10" s="16" t="str">
        <x:v>Cruzamento de dados</x:v>
      </x:c>
      <x:c r="C10" s="16" t="str">
        <x:v>Produto</x:v>
      </x:c>
      <x:c r="D10" s="16" t="str">
        <x:v>Sim</x:v>
      </x:c>
      <x:c r="E10" s="16" t="str">
        <x:v>Alta</x:v>
      </x:c>
      <x:c r="F10" s="16" t="str">
        <x:v>Muito alto</x:v>
      </x:c>
      <x:c r="G10" s="16" t="str">
        <x:v>Alto</x:v>
      </x:c>
      <x:c r="H10" s="16" t="str">
        <x:v>Alto</x:v>
      </x:c>
      <x:c r="I10" s="16" t="str">
        <x:v>Opcional</x:v>
      </x:c>
      <x:c r="J10" s="16" t="str">
        <x:v>Filtros e relações</x:v>
      </x:c>
    </x:row>
    <x:row r="11">
      <x:c r="A11" s="16" t="n">
        <x:v>6</x:v>
      </x:c>
      <x:c r="B11" s="16" t="str">
        <x:v>Insights / sinais</x:v>
      </x:c>
      <x:c r="C11" s="16" t="str">
        <x:v>Produto</x:v>
      </x:c>
      <x:c r="D11" s="16" t="str">
        <x:v>Sim</x:v>
      </x:c>
      <x:c r="E11" s="16" t="str">
        <x:v>Alta</x:v>
      </x:c>
      <x:c r="F11" s="16" t="str">
        <x:v>Muito alto</x:v>
      </x:c>
      <x:c r="G11" s="16" t="str">
        <x:v>Médio</x:v>
      </x:c>
      <x:c r="H11" s="16" t="str">
        <x:v>Alto</x:v>
      </x:c>
      <x:c r="I11" s="16" t="str">
        <x:v>Leve</x:v>
      </x:c>
      <x:c r="J11" s="16" t="str">
        <x:v>Regras primeiro; IA depois</x:v>
      </x:c>
    </x:row>
    <x:row r="12">
      <x:c r="A12" s="16" t="n">
        <x:v>7</x:v>
      </x:c>
      <x:c r="B12" s="16" t="str">
        <x:v>Prioridades</x:v>
      </x:c>
      <x:c r="C12" s="16" t="str">
        <x:v>Produto</x:v>
      </x:c>
      <x:c r="D12" s="16" t="str">
        <x:v>Sim</x:v>
      </x:c>
      <x:c r="E12" s="16" t="str">
        <x:v>Média</x:v>
      </x:c>
      <x:c r="F12" s="16" t="str">
        <x:v>Médio</x:v>
      </x:c>
      <x:c r="G12" s="16" t="str">
        <x:v>Médio</x:v>
      </x:c>
      <x:c r="H12" s="16" t="str">
        <x:v>Médio</x:v>
      </x:c>
      <x:c r="I12" s="16" t="str">
        <x:v>Não</x:v>
      </x:c>
      <x:c r="J12" s="16" t="str">
        <x:v>Organiza achados</x:v>
      </x:c>
    </x:row>
    <x:row r="13">
      <x:c r="A13" s="16" t="n">
        <x:v>8</x:v>
      </x:c>
      <x:c r="B13" s="16" t="str">
        <x:v>Plano de ação</x:v>
      </x:c>
      <x:c r="C13" s="16" t="str">
        <x:v>Produto</x:v>
      </x:c>
      <x:c r="D13" s="16" t="str">
        <x:v>Sim</x:v>
      </x:c>
      <x:c r="E13" s="16" t="str">
        <x:v>Média</x:v>
      </x:c>
      <x:c r="F13" s="16" t="str">
        <x:v>Baixo</x:v>
      </x:c>
      <x:c r="G13" s="16" t="str">
        <x:v>Médio</x:v>
      </x:c>
      <x:c r="H13" s="16" t="str">
        <x:v>Médio</x:v>
      </x:c>
      <x:c r="I13" s="16" t="str">
        <x:v>Não</x:v>
      </x:c>
      <x:c r="J13" s="16" t="str">
        <x:v>HUB registra recomendações</x:v>
      </x:c>
    </x:row>
    <x:row r="14">
      <x:c r="A14" s="16" t="n">
        <x:v>9</x:v>
      </x:c>
      <x:c r="B14" s="16" t="str">
        <x:v>Acompanhamento / evolução</x:v>
      </x:c>
      <x:c r="C14" s="16" t="str">
        <x:v>Produto</x:v>
      </x:c>
      <x:c r="D14" s="16" t="str">
        <x:v>Sim</x:v>
      </x:c>
      <x:c r="E14" s="16" t="str">
        <x:v>Média</x:v>
      </x:c>
      <x:c r="F14" s="16" t="str">
        <x:v>Médio</x:v>
      </x:c>
      <x:c r="G14" s="16" t="str">
        <x:v>Médio</x:v>
      </x:c>
      <x:c r="H14" s="16" t="str">
        <x:v>Médio</x:v>
      </x:c>
      <x:c r="I14" s="16" t="str">
        <x:v>Não</x:v>
      </x:c>
      <x:c r="J14" s="16" t="str">
        <x:v>Antes/depois para o case</x:v>
      </x:c>
    </x:row>
    <x:row r="15">
      <x:c r="A15" s="16" t="n">
        <x:v>10</x:v>
      </x:c>
      <x:c r="B15" s="16" t="str">
        <x:v>Exportação / relatório</x:v>
      </x:c>
      <x:c r="C15" s="16" t="str">
        <x:v>Produto</x:v>
      </x:c>
      <x:c r="D15" s="16" t="str">
        <x:v>Sim</x:v>
      </x:c>
      <x:c r="E15" s="16" t="str">
        <x:v>Média</x:v>
      </x:c>
      <x:c r="F15" s="16" t="str">
        <x:v>Médio</x:v>
      </x:c>
      <x:c r="G15" s="16" t="str">
        <x:v>Médio</x:v>
      </x:c>
      <x:c r="H15" s="16" t="str">
        <x:v>Médio</x:v>
      </x:c>
      <x:c r="I15" s="16" t="str">
        <x:v>Não</x:v>
      </x:c>
      <x:c r="J15" s="16" t="str">
        <x:v>PDF/planilha em fase posterior se necessário</x:v>
      </x:c>
    </x:row>
  </x:sheetData>
  <x:mergeCells>
    <x:mergeCell ref="A1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22" hidden="0" customWidth="1"/>
    <x:col min="5" max="5" width="20" hidden="0" customWidth="1"/>
    <x:col min="6" max="6" width="55" hidden="0" customWidth="1"/>
  </x:cols>
  <x:sheetData>
    <x:row r="1">
      <x:c r="A1" s="34" t="str">
        <x:v>PREMISSAS — MÃO DE OBRA DO MVP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3">
      <x:c r="A3" s="8" t="str">
        <x:v>Valores em azul são editáveis. A linha do sócio de tecnologia existe para registrar economicamente o trabalho realizado agora e permitir o reembolso desse valor quando houver aporte, sem transformar o MVP gratuito em 'custo zero'.</x:v>
      </x:c>
      <x:c r="B3" s="8"/>
      <x:c r="C3" s="8"/>
      <x:c r="D3" s="8"/>
      <x:c r="E3" s="8"/>
      <x:c r="F3" s="8"/>
    </x:row>
    <x:row r="4">
      <x:c r="A4" s="16"/>
      <x:c r="B4" s="16"/>
      <x:c r="C4" s="16"/>
      <x:c r="D4" s="16"/>
      <x:c r="E4" s="16"/>
      <x:c r="F4" s="16"/>
    </x:row>
    <x:row r="5">
      <x:c r="A5" s="35" t="str">
        <x:v>Papel</x:v>
      </x:c>
      <x:c r="B5" s="35" t="str">
        <x:v>Rate referência (R$/h)</x:v>
      </x:c>
      <x:c r="C5" s="35" t="str">
        <x:v>Horas previstas</x:v>
      </x:c>
      <x:c r="D5" s="35" t="str">
        <x:v>Custo econômico (R$)</x:v>
      </x:c>
      <x:c r="E5" s="35" t="str">
        <x:v>Desembolso agora?</x:v>
      </x:c>
      <x:c r="F5" s="35" t="str">
        <x:v>Observação</x:v>
      </x:c>
    </x:row>
    <x:row r="6">
      <x:c r="A6" s="16" t="str">
        <x:v>Sócio de tecnologia</x:v>
      </x:c>
      <x:c r="B6" s="63" t="n">
        <x:v>180</x:v>
      </x:c>
      <x:c r="C6" s="64" t="n">
        <x:v>320</x:v>
      </x:c>
      <x:c r="D6" s="38" t="n">
        <x:f>B6*C6</x:f>
        <x:v>57600</x:v>
      </x:c>
      <x:c r="E6" s="16" t="str">
        <x:v>Não</x:v>
      </x:c>
      <x:c r="F6" s="16" t="str">
        <x:v>Construção técnica do MVP; valor a reconhecer/reembolsar após aporte</x:v>
      </x:c>
    </x:row>
    <x:row r="7">
      <x:c r="A7" s="16" t="str">
        <x:v>Tamara — estratégia e produto</x:v>
      </x:c>
      <x:c r="B7" s="63" t="n">
        <x:v>220</x:v>
      </x:c>
      <x:c r="C7" s="64" t="n">
        <x:v>180</x:v>
      </x:c>
      <x:c r="D7" s="38" t="n">
        <x:f>B7*C7</x:f>
        <x:v>39600</x:v>
      </x:c>
      <x:c r="E7" s="16" t="str">
        <x:v>Não</x:v>
      </x:c>
      <x:c r="F7" s="16" t="str">
        <x:v>Desenvolvimento do plano, estratégia e concepção da plataforma</x:v>
      </x:c>
    </x:row>
    <x:row r="8">
      <x:c r="A8" s="16" t="str">
        <x:v>Paulo Fábio — operação e estratégia</x:v>
      </x:c>
      <x:c r="B8" s="63" t="n">
        <x:v>160</x:v>
      </x:c>
      <x:c r="C8" s="64" t="n">
        <x:v>120</x:v>
      </x:c>
      <x:c r="D8" s="38" t="n">
        <x:f>B8*C8</x:f>
        <x:v>19200</x:v>
      </x:c>
      <x:c r="E8" s="16" t="str">
        <x:v>Não</x:v>
      </x:c>
      <x:c r="F8" s="16" t="str">
        <x:v>Operação, ajustes de estratégia e desenvolvimento dos planos de ação da equipe</x:v>
      </x:c>
    </x:row>
    <x:row r="9">
      <x:c r="A9" s="16" t="str">
        <x:v>Pedro — operação e comunicação</x:v>
      </x:c>
      <x:c r="B9" s="63" t="n">
        <x:v>150</x:v>
      </x:c>
      <x:c r="C9" s="64" t="n">
        <x:v>100</x:v>
      </x:c>
      <x:c r="D9" s="38" t="n">
        <x:f>B9*C9</x:f>
        <x:v>15000</x:v>
      </x:c>
      <x:c r="E9" s="16" t="str">
        <x:v>Não</x:v>
      </x:c>
      <x:c r="F9" s="16" t="str">
        <x:v>Operação + planejamento de comunicação</x:v>
      </x:c>
    </x:row>
    <x:row r="10">
      <x:c r="A10" s="16" t="str">
        <x:v>UX/UI enxuto</x:v>
      </x:c>
      <x:c r="B10" s="63" t="n">
        <x:v>140</x:v>
      </x:c>
      <x:c r="C10" s="64" t="n">
        <x:v>45</x:v>
      </x:c>
      <x:c r="D10" s="38" t="n">
        <x:f>B10*C10</x:f>
        <x:v>6300</x:v>
      </x:c>
      <x:c r="E10" s="16" t="str">
        <x:v>Sim/Não</x:v>
      </x:c>
      <x:c r="F10" s="16" t="str">
        <x:v>Pode ser interno ou freelancer</x:v>
      </x:c>
    </x:row>
    <x:row r="11">
      <x:c r="A11" s="16" t="str">
        <x:v>QA / testes</x:v>
      </x:c>
      <x:c r="B11" s="63" t="n">
        <x:v>120</x:v>
      </x:c>
      <x:c r="C11" s="64" t="n">
        <x:v>40</x:v>
      </x:c>
      <x:c r="D11" s="38" t="n">
        <x:f>B11*C11</x:f>
        <x:v>4800</x:v>
      </x:c>
      <x:c r="E11" s="16" t="str">
        <x:v>Sim/Não</x:v>
      </x:c>
      <x:c r="F11" s="16" t="str">
        <x:v>Pode ser absorvido parcialmente pelo sócio de tecnologia</x:v>
      </x:c>
    </x:row>
    <x:row r="12">
      <x:c r="A12" s="16" t="str">
        <x:v>Dados / BI adicional</x:v>
      </x:c>
      <x:c r="B12" s="63" t="n">
        <x:v>180</x:v>
      </x:c>
      <x:c r="C12" s="64" t="n">
        <x:v>60</x:v>
      </x:c>
      <x:c r="D12" s="38" t="n">
        <x:f>B12*C12</x:f>
        <x:v>10800</x:v>
      </x:c>
      <x:c r="E12" s="16" t="str">
        <x:v>Sim/Não</x:v>
      </x:c>
      <x:c r="F12" s="16" t="str">
        <x:v>Só se necessário além do sócio</x:v>
      </x:c>
    </x:row>
    <x:row r="13">
      <x:c r="A13" s="39" t="str">
        <x:v>Segurança / revisão pontual</x:v>
      </x:c>
      <x:c r="B13" s="67" t="n">
        <x:v>220</x:v>
      </x:c>
      <x:c r="C13" s="68" t="n">
        <x:v>16</x:v>
      </x:c>
      <x:c r="D13" s="40" t="n">
        <x:f>B13*C13</x:f>
        <x:v>3520</x:v>
      </x:c>
      <x:c r="E13" s="39" t="str">
        <x:v>Sim</x:v>
      </x:c>
      <x:c r="F13" s="39" t="str">
        <x:v>Revisão mínima antes de dados reais</x:v>
      </x:c>
    </x:row>
    <x:row r="14">
      <x:c r="A14" s="16"/>
      <x:c r="B14" s="16"/>
      <x:c r="C14" s="16"/>
      <x:c r="D14" s="16"/>
      <x:c r="E14" s="16"/>
      <x:c r="F14" s="16"/>
    </x:row>
    <x:row r="15">
      <x:c r="A15" s="70" t="str">
        <x:v>CUSTO ECONÔMICO TOTAL DE MÃO DE OBRA</x:v>
      </x:c>
      <x:c r="B15" s="70"/>
      <x:c r="C15" s="70"/>
      <x:c r="D15" s="71" t="n">
        <x:f>SUM(D6:D13)</x:f>
        <x:v>156820</x:v>
      </x:c>
      <x:c r="E15" s="70"/>
      <x:c r="F15" s="70"/>
    </x:row>
    <x:row r="16">
      <x:c r="A16" s="16"/>
      <x:c r="B16" s="16"/>
      <x:c r="C16" s="16"/>
      <x:c r="D16" s="16"/>
      <x:c r="E16" s="16"/>
      <x:c r="F16" s="16"/>
    </x:row>
  </x:sheetData>
  <x:mergeCells>
    <x:mergeCell ref="A1:F2"/>
    <x:mergeCell ref="A3:F3"/>
    <x:mergeCell ref="A13:C13"/>
    <x:mergeCell ref="A15:C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2" hidden="0" customWidth="1"/>
    <x:col min="7" max="7" width="20" hidden="0" customWidth="1"/>
    <x:col min="8" max="8" width="38" hidden="0" customWidth="1"/>
    <x:col min="9" max="9" width="18" hidden="0" customWidth="1"/>
  </x:cols>
  <x:sheetData>
    <x:row r="1">
      <x:c r="A1" s="3" t="str">
        <x:v>REGISTRO DE MÃO DE OBRA — SÓCIO DE TECNOLOGIA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8" t="str">
        <x:v>Use esta aba como memória econômica do trabalho. Ela não define, por si só, a natureza jurídica/contábil do reembolso; isso deve ser formalizado com contador/advogado e entre os sócios.</x:v>
      </x:c>
      <x:c r="B3" s="8"/>
      <x:c r="C3" s="8"/>
      <x:c r="D3" s="8"/>
      <x:c r="E3" s="8"/>
      <x:c r="F3" s="8"/>
      <x:c r="G3" s="8"/>
      <x:c r="H3" s="8"/>
      <x:c r="I3" s="8"/>
    </x:row>
    <x:row r="5">
      <x:c r="A5" s="13" t="str">
        <x:v>Mês</x:v>
      </x:c>
      <x:c r="B5" s="13" t="str">
        <x:v>Horas trabalhadas</x:v>
      </x:c>
      <x:c r="C5" s="13" t="str">
        <x:v>Rate (R$/h)</x:v>
      </x:c>
      <x:c r="D5" s="13" t="str">
        <x:v>Valor gerado (R$)</x:v>
      </x:c>
      <x:c r="E5" s="13" t="str">
        <x:v>Pago no mês (R$)</x:v>
      </x:c>
      <x:c r="F5" s="13" t="str">
        <x:v>Saldo a reconhecer (R$)</x:v>
      </x:c>
      <x:c r="G5" s="13" t="str">
        <x:v>Acumulado (R$)</x:v>
      </x:c>
      <x:c r="H5" s="13" t="str">
        <x:v>Entrega principal</x:v>
      </x:c>
      <x:c r="I5" s="13" t="str">
        <x:v>Status</x:v>
      </x:c>
    </x:row>
    <x:row r="6">
      <x:c r="A6" t="str">
        <x:v>Set/2026</x:v>
      </x:c>
      <x:c r="B6" s="20" t="n">
        <x:v>60</x:v>
      </x:c>
      <x:c r="C6" s="50" t="n">
        <x:f>'03_Premissas_Mao_de_Obra'!B6</x:f>
        <x:v>180</x:v>
      </x:c>
      <x:c r="D6" s="26" t="n">
        <x:f>B6*C6</x:f>
        <x:v>10800</x:v>
      </x:c>
      <x:c r="E6" s="22" t="n">
        <x:v>0</x:v>
      </x:c>
      <x:c r="F6" s="26" t="n">
        <x:f>D6-E6</x:f>
        <x:v>10800</x:v>
      </x:c>
      <x:c r="G6" s="26" t="n">
        <x:f>SUM($F$6:F6)</x:f>
        <x:v>10800</x:v>
      </x:c>
      <x:c r="H6" t="str">
        <x:v>Construção/evolução MVP</x:v>
      </x:c>
      <x:c r="I6" t="str">
        <x:v>A realizar</x:v>
      </x:c>
    </x:row>
    <x:row r="7">
      <x:c r="A7" t="str">
        <x:v>Out/2026</x:v>
      </x:c>
      <x:c r="B7" s="20" t="n">
        <x:v>60</x:v>
      </x:c>
      <x:c r="C7" s="50" t="n">
        <x:f>'03_Premissas_Mao_de_Obra'!B6</x:f>
        <x:v>180</x:v>
      </x:c>
      <x:c r="D7" s="26" t="n">
        <x:f>B7*C7</x:f>
        <x:v>10800</x:v>
      </x:c>
      <x:c r="E7" s="22" t="n">
        <x:v>0</x:v>
      </x:c>
      <x:c r="F7" s="26" t="n">
        <x:f>D7-E7</x:f>
        <x:v>10800</x:v>
      </x:c>
      <x:c r="G7" s="26" t="n">
        <x:f>SUM($F$6:F7)</x:f>
        <x:v>21600</x:v>
      </x:c>
      <x:c r="H7" t="str">
        <x:v>Construção/evolução MVP</x:v>
      </x:c>
      <x:c r="I7" t="str">
        <x:v>A realizar</x:v>
      </x:c>
    </x:row>
    <x:row r="8">
      <x:c r="A8" t="str">
        <x:v>Nov/2026</x:v>
      </x:c>
      <x:c r="B8" s="20" t="n">
        <x:v>60</x:v>
      </x:c>
      <x:c r="C8" s="50" t="n">
        <x:f>'03_Premissas_Mao_de_Obra'!B6</x:f>
        <x:v>180</x:v>
      </x:c>
      <x:c r="D8" s="26" t="n">
        <x:f>B8*C8</x:f>
        <x:v>10800</x:v>
      </x:c>
      <x:c r="E8" s="22" t="n">
        <x:v>0</x:v>
      </x:c>
      <x:c r="F8" s="26" t="n">
        <x:f>D8-E8</x:f>
        <x:v>10800</x:v>
      </x:c>
      <x:c r="G8" s="26" t="n">
        <x:f>SUM($F$6:F8)</x:f>
        <x:v>32400</x:v>
      </x:c>
      <x:c r="H8" t="str">
        <x:v>Construção/evolução MVP</x:v>
      </x:c>
      <x:c r="I8" t="str">
        <x:v>A realizar</x:v>
      </x:c>
    </x:row>
    <x:row r="9">
      <x:c r="A9" t="str">
        <x:v>Dez/2026</x:v>
      </x:c>
      <x:c r="B9" s="20" t="n">
        <x:v>60</x:v>
      </x:c>
      <x:c r="C9" s="50" t="n">
        <x:f>'03_Premissas_Mao_de_Obra'!B6</x:f>
        <x:v>180</x:v>
      </x:c>
      <x:c r="D9" s="26" t="n">
        <x:f>B9*C9</x:f>
        <x:v>10800</x:v>
      </x:c>
      <x:c r="E9" s="22" t="n">
        <x:v>0</x:v>
      </x:c>
      <x:c r="F9" s="26" t="n">
        <x:f>D9-E9</x:f>
        <x:v>10800</x:v>
      </x:c>
      <x:c r="G9" s="26" t="n">
        <x:f>SUM($F$6:F9)</x:f>
        <x:v>43200</x:v>
      </x:c>
      <x:c r="H9" t="str">
        <x:v>Construção/evolução MVP</x:v>
      </x:c>
      <x:c r="I9" t="str">
        <x:v>A realizar</x:v>
      </x:c>
    </x:row>
    <x:row r="10">
      <x:c r="A10" t="str">
        <x:v>Jan/2027</x:v>
      </x:c>
      <x:c r="B10" s="20" t="n">
        <x:v>40</x:v>
      </x:c>
      <x:c r="C10" s="50" t="n">
        <x:f>'03_Premissas_Mao_de_Obra'!B6</x:f>
        <x:v>180</x:v>
      </x:c>
      <x:c r="D10" s="26" t="n">
        <x:f>B10*C10</x:f>
        <x:v>7200</x:v>
      </x:c>
      <x:c r="E10" s="22" t="n">
        <x:v>0</x:v>
      </x:c>
      <x:c r="F10" s="26" t="n">
        <x:f>D10-E10</x:f>
        <x:v>7200</x:v>
      </x:c>
      <x:c r="G10" s="26" t="n">
        <x:f>SUM($F$6:F10)</x:f>
        <x:v>50400</x:v>
      </x:c>
      <x:c r="H10" t="str">
        <x:v>Construção/evolução MVP</x:v>
      </x:c>
      <x:c r="I10" t="str">
        <x:v>A realizar</x:v>
      </x:c>
    </x:row>
    <x:row r="11">
      <x:c r="A11" t="str">
        <x:v>Fev/2027</x:v>
      </x:c>
      <x:c r="B11" s="20" t="n">
        <x:v>40</x:v>
      </x:c>
      <x:c r="C11" s="50" t="n">
        <x:f>'03_Premissas_Mao_de_Obra'!B6</x:f>
        <x:v>180</x:v>
      </x:c>
      <x:c r="D11" s="26" t="n">
        <x:f>B11*C11</x:f>
        <x:v>7200</x:v>
      </x:c>
      <x:c r="E11" s="22" t="n">
        <x:v>0</x:v>
      </x:c>
      <x:c r="F11" s="26" t="n">
        <x:f>D11-E11</x:f>
        <x:v>7200</x:v>
      </x:c>
      <x:c r="G11" s="26" t="n">
        <x:f>SUM($F$6:F11)</x:f>
        <x:v>57600</x:v>
      </x:c>
      <x:c r="H11" t="str">
        <x:v>Construção/evolução MVP</x:v>
      </x:c>
      <x:c r="I11" t="str">
        <x:v>A realizar</x:v>
      </x:c>
    </x:row>
    <x:row r="13">
      <x:c r="A13" s="29" t="str">
        <x:v>SALDO TOTAL A REEMBOLSAR / RECONHECER</x:v>
      </x:c>
      <x:c r="B13" s="29"/>
      <x:c r="C13" s="29"/>
      <x:c r="D13" s="29"/>
      <x:c r="E13" s="29"/>
      <x:c r="F13" s="32" t="n">
        <x:f>SUM(F6:F11)</x:f>
        <x:v>57600</x:v>
      </x:c>
      <x:c r="G13" s="29"/>
      <x:c r="H13" s="29"/>
      <x:c r="I13" s="29"/>
    </x:row>
  </x:sheetData>
  <x:mergeCells>
    <x:mergeCell ref="A1:I2"/>
    <x:mergeCell ref="A3:I3"/>
    <x:mergeCell ref="A13:E13"/>
    <x:mergeCell ref="F13:G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5" hidden="0" customWidth="1"/>
    <x:col min="4" max="4" width="24" hidden="0" customWidth="1"/>
    <x:col min="5" max="5" width="12" hidden="0" customWidth="1"/>
    <x:col min="6" max="6" width="12" hidden="0" customWidth="1"/>
    <x:col min="7" max="7" width="22" hidden="0" customWidth="1"/>
    <x:col min="8" max="8" width="45" hidden="0" customWidth="1"/>
  </x:cols>
  <x:sheetData>
    <x:row r="1">
      <x:c r="A1" s="34" t="str">
        <x:v>CUSTO REAL DO MVP × DESEMBOLSO DE CAIXA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35" t="str">
        <x:v>Categoria</x:v>
      </x:c>
      <x:c r="B5" s="35" t="str">
        <x:v>Custo econômico (R$)</x:v>
      </x:c>
      <x:c r="C5" s="35" t="str">
        <x:v>Desembolso pré-aporte (R$)</x:v>
      </x:c>
      <x:c r="D5" s="35" t="str">
        <x:v>Diferido / fundador (R$)</x:v>
      </x:c>
      <x:c r="E5" s="35" t="str">
        <x:v>Mensal?</x:v>
      </x:c>
      <x:c r="F5" s="35" t="str">
        <x:v>Meses</x:v>
      </x:c>
      <x:c r="G5" s="35" t="str">
        <x:v>Total período (R$)</x:v>
      </x:c>
      <x:c r="H5" s="35" t="str">
        <x:v>Observação</x:v>
      </x:c>
    </x:row>
    <x:row r="6">
      <x:c r="A6" s="16" t="str">
        <x:v>Sócio tecnologia</x:v>
      </x:c>
      <x:c r="B6" s="38" t="n">
        <x:f>'03_Premissas_Mao_de_Obra'!D6</x:f>
        <x:v>57600</x:v>
      </x:c>
      <x:c r="C6" s="38" t="n">
        <x:v>0</x:v>
      </x:c>
      <x:c r="D6" s="38" t="n">
        <x:f>B6-C6</x:f>
        <x:v>57600</x:v>
      </x:c>
      <x:c r="E6" s="16" t="str">
        <x:v>Não</x:v>
      </x:c>
      <x:c r="F6" s="16" t="n">
        <x:v>1</x:v>
      </x:c>
      <x:c r="G6" s="38" t="n">
        <x:f>B6</x:f>
        <x:v>57600</x:v>
      </x:c>
      <x:c r="H6" s="16" t="str">
        <x:v>Construção técnica; diferido</x:v>
      </x:c>
    </x:row>
    <x:row r="7">
      <x:c r="A7" s="16" t="str">
        <x:v>Tamara — estratégia/produto</x:v>
      </x:c>
      <x:c r="B7" s="38" t="n">
        <x:f>'03_Premissas_Mao_de_Obra'!D7</x:f>
        <x:v>39600</x:v>
      </x:c>
      <x:c r="C7" s="38" t="n">
        <x:v>0</x:v>
      </x:c>
      <x:c r="D7" s="38" t="n">
        <x:f>B7-C7</x:f>
        <x:v>39600</x:v>
      </x:c>
      <x:c r="E7" s="16" t="str">
        <x:v>Não</x:v>
      </x:c>
      <x:c r="F7" s="16" t="n">
        <x:v>1</x:v>
      </x:c>
      <x:c r="G7" s="38" t="n">
        <x:f>B7</x:f>
        <x:v>39600</x:v>
      </x:c>
      <x:c r="H7" s="16" t="str">
        <x:v>Plano, estratégia e concepção</x:v>
      </x:c>
    </x:row>
    <x:row r="8">
      <x:c r="A8" s="16" t="str">
        <x:v>Paulo Fábio — operação/estratégia</x:v>
      </x:c>
      <x:c r="B8" s="38" t="n">
        <x:f>'03_Premissas_Mao_de_Obra'!D8</x:f>
        <x:v>19200</x:v>
      </x:c>
      <x:c r="C8" s="38" t="n">
        <x:v>0</x:v>
      </x:c>
      <x:c r="D8" s="38" t="n">
        <x:f>B8-C8</x:f>
        <x:v>19200</x:v>
      </x:c>
      <x:c r="E8" s="16" t="str">
        <x:v>Não</x:v>
      </x:c>
      <x:c r="F8" s="16" t="n">
        <x:v>1</x:v>
      </x:c>
      <x:c r="G8" s="38" t="n">
        <x:f>B8</x:f>
        <x:v>19200</x:v>
      </x:c>
      <x:c r="H8" s="16" t="str">
        <x:v>Operação, ajustes e planos de ação</x:v>
      </x:c>
    </x:row>
    <x:row r="9">
      <x:c r="A9" s="16" t="str">
        <x:v>Pedro — operação/comunicação</x:v>
      </x:c>
      <x:c r="B9" s="38" t="n">
        <x:f>'03_Premissas_Mao_de_Obra'!D9</x:f>
        <x:v>15000</x:v>
      </x:c>
      <x:c r="C9" s="38" t="n">
        <x:v>0</x:v>
      </x:c>
      <x:c r="D9" s="38" t="n">
        <x:f>B9-C9</x:f>
        <x:v>15000</x:v>
      </x:c>
      <x:c r="E9" s="16" t="str">
        <x:v>Não</x:v>
      </x:c>
      <x:c r="F9" s="16" t="n">
        <x:v>1</x:v>
      </x:c>
      <x:c r="G9" s="38" t="n">
        <x:f>B9</x:f>
        <x:v>15000</x:v>
      </x:c>
      <x:c r="H9" s="16" t="str">
        <x:v>Operação e planejamento de comunicação</x:v>
      </x:c>
    </x:row>
    <x:row r="10">
      <x:c r="A10" s="16" t="str">
        <x:v>UX/UI</x:v>
      </x:c>
      <x:c r="B10" s="38" t="n">
        <x:f>'03_Premissas_Mao_de_Obra'!D10</x:f>
        <x:v>6300</x:v>
      </x:c>
      <x:c r="C10" s="38" t="n">
        <x:v>0</x:v>
      </x:c>
      <x:c r="D10" s="38" t="n">
        <x:f>B10-C10</x:f>
        <x:v>6300</x:v>
      </x:c>
      <x:c r="E10" s="16" t="str">
        <x:v>Não</x:v>
      </x:c>
      <x:c r="F10" s="16" t="n">
        <x:v>1</x:v>
      </x:c>
      <x:c r="G10" s="38" t="n">
        <x:f>B10</x:f>
        <x:v>6300</x:v>
      </x:c>
      <x:c r="H10" s="16" t="str">
        <x:v>Enxuto</x:v>
      </x:c>
    </x:row>
    <x:row r="11">
      <x:c r="A11" s="16" t="str">
        <x:v>QA</x:v>
      </x:c>
      <x:c r="B11" s="38" t="n">
        <x:f>'03_Premissas_Mao_de_Obra'!D11</x:f>
        <x:v>4800</x:v>
      </x:c>
      <x:c r="C11" s="38" t="n">
        <x:v>0</x:v>
      </x:c>
      <x:c r="D11" s="38" t="n">
        <x:f>B11-C11</x:f>
        <x:v>4800</x:v>
      </x:c>
      <x:c r="E11" s="16" t="str">
        <x:v>Não</x:v>
      </x:c>
      <x:c r="F11" s="16" t="n">
        <x:v>1</x:v>
      </x:c>
      <x:c r="G11" s="38" t="n">
        <x:f>B11</x:f>
        <x:v>4800</x:v>
      </x:c>
      <x:c r="H11" s="16" t="str">
        <x:v>Pode ser interno</x:v>
      </x:c>
    </x:row>
    <x:row r="12">
      <x:c r="A12" s="16" t="str">
        <x:v>Dados/BI extra</x:v>
      </x:c>
      <x:c r="B12" s="36" t="n">
        <x:f>'03_Premissas_Mao_de_Obra'!D12</x:f>
        <x:v>10800</x:v>
      </x:c>
      <x:c r="C12" s="36" t="n">
        <x:v>0</x:v>
      </x:c>
      <x:c r="D12" s="38" t="n">
        <x:f>B12-C12</x:f>
        <x:v>10800</x:v>
      </x:c>
      <x:c r="E12" s="16" t="str">
        <x:v>Não</x:v>
      </x:c>
      <x:c r="F12" s="16" t="n">
        <x:v>1</x:v>
      </x:c>
      <x:c r="G12" s="38" t="n">
        <x:f>B12</x:f>
        <x:v>10800</x:v>
      </x:c>
      <x:c r="H12" s="16" t="str">
        <x:v>Só se necessário</x:v>
      </x:c>
    </x:row>
    <x:row r="13">
      <x:c r="A13" s="16" t="str">
        <x:v>Segurança pontual</x:v>
      </x:c>
      <x:c r="B13" s="36" t="n">
        <x:f>'03_Premissas_Mao_de_Obra'!D13</x:f>
        <x:v>3520</x:v>
      </x:c>
      <x:c r="C13" s="36" t="n">
        <x:f>B13</x:f>
        <x:v>3520</x:v>
      </x:c>
      <x:c r="D13" s="38" t="n">
        <x:v>0</x:v>
      </x:c>
      <x:c r="E13" s="16" t="str">
        <x:v>Não</x:v>
      </x:c>
      <x:c r="F13" s="16" t="n">
        <x:v>1</x:v>
      </x:c>
      <x:c r="G13" s="38" t="n">
        <x:f>B13</x:f>
        <x:v>3520</x:v>
      </x:c>
      <x:c r="H13" s="16" t="str">
        <x:v>Recomendado</x:v>
      </x:c>
    </x:row>
    <x:row r="14">
      <x:c r="A14" s="16" t="str">
        <x:v>Cloud / banco / storage</x:v>
      </x:c>
      <x:c r="B14" s="63" t="n">
        <x:v>1200</x:v>
      </x:c>
      <x:c r="C14" s="63" t="n">
        <x:v>1200</x:v>
      </x:c>
      <x:c r="D14" s="38" t="n">
        <x:v>0</x:v>
      </x:c>
      <x:c r="E14" s="16" t="str">
        <x:v>Sim</x:v>
      </x:c>
      <x:c r="F14" s="16" t="n">
        <x:v>6</x:v>
      </x:c>
      <x:c r="G14" s="38" t="n">
        <x:f>B14*F14</x:f>
        <x:v>7200</x:v>
      </x:c>
      <x:c r="H14" s="16" t="str">
        <x:v>MVP baixo volume</x:v>
      </x:c>
    </x:row>
    <x:row r="15">
      <x:c r="A15" s="16" t="str">
        <x:v>Ferramentas / monitoramento</x:v>
      </x:c>
      <x:c r="B15" s="63" t="n">
        <x:v>500</x:v>
      </x:c>
      <x:c r="C15" s="63" t="n">
        <x:v>500</x:v>
      </x:c>
      <x:c r="D15" s="38" t="n">
        <x:v>0</x:v>
      </x:c>
      <x:c r="E15" s="16" t="str">
        <x:v>Sim</x:v>
      </x:c>
      <x:c r="F15" s="16" t="n">
        <x:v>6</x:v>
      </x:c>
      <x:c r="G15" s="38" t="n">
        <x:f>B15*F15</x:f>
        <x:v>3000</x:v>
      </x:c>
      <x:c r="H15" s="16" t="str">
        <x:v>Logs e serviços</x:v>
      </x:c>
    </x:row>
    <x:row r="16">
      <x:c r="A16" s="39" t="str">
        <x:v>Reserva APIs/IA</x:v>
      </x:c>
      <x:c r="B16" s="67" t="n">
        <x:v>600</x:v>
      </x:c>
      <x:c r="C16" s="67" t="n">
        <x:v>600</x:v>
      </x:c>
      <x:c r="D16" s="40" t="n">
        <x:v>0</x:v>
      </x:c>
      <x:c r="E16" s="39" t="str">
        <x:v>Sim</x:v>
      </x:c>
      <x:c r="F16" s="39" t="n">
        <x:v>6</x:v>
      </x:c>
      <x:c r="G16" s="40" t="n">
        <x:f>B16*F16</x:f>
        <x:v>3600</x:v>
      </x:c>
      <x:c r="H16" s="39" t="str">
        <x:v>Uso controlado</x:v>
      </x:c>
    </x:row>
    <x:row r="17">
      <x:c r="A17" s="39"/>
      <x:c r="B17" s="39"/>
      <x:c r="C17" s="40"/>
      <x:c r="D17" s="40"/>
      <x:c r="E17" s="40"/>
      <x:c r="F17" s="40"/>
      <x:c r="G17" s="40"/>
      <x:c r="H17" s="39"/>
    </x:row>
    <x:row r="18">
      <x:c r="A18" s="70" t="str">
        <x:v>CUSTO ECONÔMICO DO MVP (6 MESES)</x:v>
      </x:c>
      <x:c r="B18" s="70"/>
      <x:c r="C18" s="70"/>
      <x:c r="D18" s="70"/>
      <x:c r="E18" s="70"/>
      <x:c r="F18" s="70"/>
      <x:c r="G18" s="70" t="n">
        <x:f>SUM(G6:G16)</x:f>
        <x:v>170620</x:v>
      </x:c>
      <x:c r="H18" s="70"/>
    </x:row>
    <x:row r="19">
      <x:c r="A19" s="70" t="str">
        <x:v>CAIXA NECESSÁRIO PRÉ-APORTE</x:v>
      </x:c>
      <x:c r="B19" s="70"/>
      <x:c r="C19" s="71" t="n">
        <x:f>SUM(C6:C13)+SUMPRODUCT(C14:C16,F14:F16)</x:f>
        <x:v>17320</x:v>
      </x:c>
      <x:c r="D19" s="71" t="str">
        <x:v>VALOR DIFERIDO / FUNDADORES</x:v>
      </x:c>
      <x:c r="E19" s="71"/>
      <x:c r="F19" s="71"/>
      <x:c r="G19" s="71" t="n">
        <x:f>SUM(D6:D16)</x:f>
        <x:v>153300</x:v>
      </x:c>
      <x:c r="H19" s="70"/>
    </x:row>
  </x:sheetData>
  <x:mergeCells>
    <x:mergeCell ref="A1:H2"/>
    <x:mergeCell ref="A16:F16"/>
    <x:mergeCell ref="A17:B17"/>
    <x:mergeCell ref="D17:F17"/>
    <x:mergeCell ref="A18:F18"/>
    <x:mergeCell ref="A19:B19"/>
    <x:mergeCell ref="D19:F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4" hidden="0" customWidth="1"/>
    <x:col min="5" max="5" width="35" hidden="0" customWidth="1"/>
    <x:col min="6" max="6" width="42" hidden="0" customWidth="1"/>
    <x:col min="7" max="7" width="30" hidden="0" customWidth="1"/>
    <x:col min="8" max="8" width="35" hidden="0" customWidth="1"/>
  </x:cols>
  <x:sheetData>
    <x:row r="1">
      <x:c r="A1" s="3" t="str">
        <x:v>MONKS COMO MVP E CASE — PLANO DE VALIDAÇÃO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3" t="str">
        <x:v>Fase</x:v>
      </x:c>
      <x:c r="B5" s="13" t="str">
        <x:v>Período</x:v>
      </x:c>
      <x:c r="C5" s="13" t="str">
        <x:v>Cobrança Monks</x:v>
      </x:c>
      <x:c r="D5" s="13" t="str">
        <x:v>Objetivo</x:v>
      </x:c>
      <x:c r="E5" s="13" t="str">
        <x:v>Produto</x:v>
      </x:c>
      <x:c r="F5" s="13" t="str">
        <x:v>Evidência para case</x:v>
      </x:c>
      <x:c r="G5" s="13" t="str">
        <x:v>Critério de saída</x:v>
      </x:c>
      <x:c r="H5" s="13" t="str">
        <x:v>Próximo passo</x:v>
      </x:c>
    </x:row>
    <x:row r="6">
      <x:c r="A6" s="16" t="str">
        <x:v>0. Preparação</x:v>
      </x:c>
      <x:c r="B6" s="16" t="str">
        <x:v>Set/2026</x:v>
      </x:c>
      <x:c r="C6" s="16" t="str">
        <x:v>R$ 0</x:v>
      </x:c>
      <x:c r="D6" s="16" t="str">
        <x:v>Definir dados, perguntas e baseline</x:v>
      </x:c>
      <x:c r="E6" s="16" t="str">
        <x:v>Template + arquitetura</x:v>
      </x:c>
      <x:c r="F6" s="16" t="str">
        <x:v>Mapa de dados e indicadores</x:v>
      </x:c>
      <x:c r="G6" s="16" t="str">
        <x:v>Dados utilizáveis</x:v>
      </x:c>
      <x:c r="H6" s="16" t="str">
        <x:v>Construir</x:v>
      </x:c>
    </x:row>
    <x:row r="7">
      <x:c r="A7" s="16" t="str">
        <x:v>1. MVP</x:v>
      </x:c>
      <x:c r="B7" s="16" t="str">
        <x:v>Out–Nov/2026</x:v>
      </x:c>
      <x:c r="C7" s="16" t="str">
        <x:v>R$ 0</x:v>
      </x:c>
      <x:c r="D7" s="16" t="str">
        <x:v>Colocar primeira versão em uso</x:v>
      </x:c>
      <x:c r="E7" s="16" t="str">
        <x:v>5–7 capacidades centrais</x:v>
      </x:c>
      <x:c r="F7" s="16" t="str">
        <x:v>Uso real + feedback</x:v>
      </x:c>
      <x:c r="G7" s="16" t="str">
        <x:v>Análises úteis e repetíveis</x:v>
      </x:c>
      <x:c r="H7" s="16" t="str">
        <x:v>Refinar</x:v>
      </x:c>
    </x:row>
    <x:row r="8">
      <x:c r="A8" s="16" t="str">
        <x:v>2. Case</x:v>
      </x:c>
      <x:c r="B8" s="16" t="str">
        <x:v>Dez/2026</x:v>
      </x:c>
      <x:c r="C8" s="16" t="str">
        <x:v>R$ 0</x:v>
      </x:c>
      <x:c r="D8" s="16" t="str">
        <x:v>Medir valor e documentar resultado</x:v>
      </x:c>
      <x:c r="E8" s="16" t="str">
        <x:v>Acompanhamento + antes/depois</x:v>
      </x:c>
      <x:c r="F8" s="16" t="str">
        <x:v>Indicadores, depoimento e narrativa</x:v>
      </x:c>
      <x:c r="G8" s="16" t="str">
        <x:v>Valor percebido validado</x:v>
      </x:c>
      <x:c r="H8" s="16" t="str">
        <x:v>Definir contrato 2027</x:v>
      </x:c>
    </x:row>
    <x:row r="9">
      <x:c r="A9" s="16" t="str">
        <x:v>3. Uso comercial</x:v>
      </x:c>
      <x:c r="B9" s="16" t="str">
        <x:v>2027</x:v>
      </x:c>
      <x:c r="C9" s="16" t="str">
        <x:v>A definir</x:v>
      </x:c>
      <x:c r="D9" s="16" t="str">
        <x:v>Monks vira cliente e referência</x:v>
      </x:c>
      <x:c r="E9" s="16" t="str">
        <x:v>Produto estabilizado</x:v>
      </x:c>
      <x:c r="F9" s="16" t="str">
        <x:v>Case autorizado</x:v>
      </x:c>
      <x:c r="G9" s="16" t="str">
        <x:v>Fee aprovado</x:v>
      </x:c>
      <x:c r="H9" s="16" t="str">
        <x:v>Escalar para novos clientes</x:v>
      </x:c>
    </x:row>
    <x:row r="12">
      <x:c r="A12" s="13" t="str">
        <x:v>O QUE PRECISAMOS PROVAR COM O MVP</x:v>
      </x:c>
      <x:c r="B12" s="13"/>
      <x:c r="C12" s="13"/>
      <x:c r="D12" s="13"/>
      <x:c r="E12" s="13"/>
      <x:c r="F12" s="13"/>
      <x:c r="G12" s="13"/>
      <x:c r="H12" s="13"/>
    </x:row>
    <x:row r="13">
      <x:c r="A13" t="str">
        <x:v>1</x:v>
      </x:c>
      <x:c r="B13" t="str">
        <x:v>Tempo para transformar dados brutos em leitura executiva</x:v>
      </x:c>
    </x:row>
    <x:row r="14">
      <x:c r="A14" t="str">
        <x:v>2</x:v>
      </x:c>
      <x:c r="B14" t="str">
        <x:v>Qualidade dos cruzamentos pessoas × negócio</x:v>
      </x:c>
    </x:row>
    <x:row r="15">
      <x:c r="A15" t="str">
        <x:v>3</x:v>
      </x:c>
      <x:c r="B15" t="str">
        <x:v>Quantidade de insights que geram decisão real</x:v>
      </x:c>
    </x:row>
    <x:row r="16">
      <x:c r="A16" t="str">
        <x:v>4</x:v>
      </x:c>
      <x:c r="B16" t="str">
        <x:v>Planos de ação adotados pela Monks</x:v>
      </x:c>
    </x:row>
    <x:row r="17">
      <x:c r="A17" t="str">
        <x:v>5</x:v>
      </x:c>
      <x:c r="B17" t="str">
        <x:v>Evolução dos indicadores após as ações</x:v>
      </x:c>
    </x:row>
    <x:row r="18">
      <x:c r="A18" t="str">
        <x:v>6</x:v>
      </x:c>
      <x:c r="B18" t="str">
        <x:v>Tempo poupado em análise manual</x:v>
      </x:c>
    </x:row>
    <x:row r="19">
      <x:c r="A19" t="str">
        <x:v>7</x:v>
      </x:c>
      <x:c r="B19" t="str">
        <x:v>Disposição da Monks em pagar pelo uso recorrente em 2027</x:v>
      </x:c>
    </x:row>
    <x:row r="20">
      <x:c r="A20" t="str">
        <x:v>8</x:v>
      </x:c>
      <x:c r="B20" t="str">
        <x:v>Autorização e qualidade do case para venda a outros clientes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42" hidden="0" customWidth="1"/>
    <x:col min="5" max="5" width="34" hidden="0" customWidth="1"/>
    <x:col min="6" max="6" width="30" hidden="0" customWidth="1"/>
  </x:cols>
  <x:sheetData>
    <x:row r="1">
      <x:c r="A1" s="3" t="str">
        <x:v>HUB — MVP MONKS | VISÃO ECONÔMICA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8" t="str">
        <x:v>O MVP não é gratuito economicamente: a Monks não paga durante a validação, mas o modelo registra o valor da tecnologia, o caixa realmente desembolsado e o trabalho do sócio a ser reconhecido após um aporte.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53" t="str">
        <x:v>CUSTO ECONÔMICO MVP</x:v>
      </x:c>
      <x:c r="B5" s="53"/>
      <x:c r="D5" s="53" t="str">
        <x:v>CAIXA PRÉ-APORTE</x:v>
      </x:c>
      <x:c r="E5" s="53"/>
      <x:c r="G5" s="53" t="str">
        <x:v>DIFERIDO / FUNDADORES</x:v>
      </x:c>
      <x:c r="H5" s="53"/>
      <x:c r="I5" s="53" t="str">
        <x:v>CRÉDITO SÓCIO TECH</x:v>
      </x:c>
      <x:c r="J5" s="53"/>
    </x:row>
    <x:row r="6">
      <x:c r="A6" s="58" t="n">
        <x:f>'05_Custo_MVP_e_Caixa'!G18</x:f>
        <x:v>170620</x:v>
      </x:c>
      <x:c r="B6" s="53"/>
      <x:c r="D6" s="58" t="n">
        <x:f>'05_Custo_MVP_e_Caixa'!C19</x:f>
        <x:v>17320</x:v>
      </x:c>
      <x:c r="E6" s="53"/>
      <x:c r="G6" s="58" t="n">
        <x:f>'05_Custo_MVP_e_Caixa'!G19</x:f>
        <x:v>153300</x:v>
      </x:c>
      <x:c r="H6" s="53"/>
      <x:c r="I6" s="58" t="n">
        <x:f>'04_Credito_Socio_Tecnologia'!F13</x:f>
        <x:v>57600</x:v>
      </x:c>
      <x:c r="J6" s="53"/>
    </x:row>
    <x:row r="7">
      <x:c r="A7" s="53"/>
      <x:c r="B7" s="53"/>
      <x:c r="D7" s="53"/>
      <x:c r="E7" s="53"/>
      <x:c r="G7" s="53"/>
      <x:c r="H7" s="53"/>
      <x:c r="I7" s="53"/>
      <x:c r="J7" s="53"/>
    </x:row>
    <x:row r="10">
      <x:c r="A10" s="13" t="str">
        <x:v>Decisão</x:v>
      </x:c>
      <x:c r="B10" s="13" t="str">
        <x:v>MVP</x:v>
      </x:c>
      <x:c r="C10" s="13" t="str">
        <x:v>Não construir agora</x:v>
      </x:c>
      <x:c r="D10" s="13" t="str">
        <x:v>Por quê</x:v>
      </x:c>
      <x:c r="E10" s="13" t="str">
        <x:v>Momento de evoluir</x:v>
      </x:c>
      <x:c r="F10" s="13" t="str">
        <x:v>Impacto</x:v>
      </x:c>
    </x:row>
    <x:row r="11">
      <x:c r="A11" s="16" t="str">
        <x:v>Entrada de dados</x:v>
      </x:c>
      <x:c r="B11" s="16" t="str">
        <x:v>Upload pela HUB</x:v>
      </x:c>
      <x:c r="C11" s="16" t="str">
        <x:v>Integrações automáticas</x:v>
      </x:c>
      <x:c r="D11" s="16" t="str">
        <x:v>Monks já tem os dados</x:v>
      </x:c>
      <x:c r="E11" s="16" t="str">
        <x:v>Após validar recorrência</x:v>
      </x:c>
      <x:c r="F11" s="16" t="str">
        <x:v>Reduz custo e prazo</x:v>
      </x:c>
    </x:row>
    <x:row r="12">
      <x:c r="A12" s="16" t="str">
        <x:v>Análise</x:v>
      </x:c>
      <x:c r="B12" s="16" t="str">
        <x:v>Regras + dashboards + HUB</x:v>
      </x:c>
      <x:c r="C12" s="16" t="str">
        <x:v>IA pesada</x:v>
      </x:c>
      <x:c r="D12" s="16" t="str">
        <x:v>Precisamos provar perguntas primeiro</x:v>
      </x:c>
      <x:c r="E12" s="16" t="str">
        <x:v>Quando houver padrão entre clientes</x:v>
      </x:c>
      <x:c r="F12" s="16" t="str">
        <x:v>Evita gastar antes de aprender</x:v>
      </x:c>
    </x:row>
    <x:row r="13">
      <x:c r="A13" s="16" t="str">
        <x:v>Plano de ação</x:v>
      </x:c>
      <x:c r="B13" s="16" t="str">
        <x:v>HUB assistido</x:v>
      </x:c>
      <x:c r="C13" s="16" t="str">
        <x:v>Motor autônomo</x:v>
      </x:c>
      <x:c r="D13" s="16" t="str">
        <x:v>Diferencial inicial é metodologia</x:v>
      </x:c>
      <x:c r="E13" s="16" t="str">
        <x:v>Após acumular cases</x:v>
      </x:c>
      <x:c r="F13" s="16" t="str">
        <x:v>Mantém qualidade</x:v>
      </x:c>
    </x:row>
    <x:row r="14">
      <x:c r="A14" s="16" t="str">
        <x:v>Usuários</x:v>
      </x:c>
      <x:c r="B14" s="16" t="str">
        <x:v>Poucos acessos</x:v>
      </x:c>
      <x:c r="C14" s="16" t="str">
        <x:v>RBAC/SSO complexo</x:v>
      </x:c>
      <x:c r="D14" s="16" t="str">
        <x:v>Case controlado</x:v>
      </x:c>
      <x:c r="E14" s="16" t="str">
        <x:v>Clientes enterprise seguintes</x:v>
      </x:c>
      <x:c r="F14" s="16" t="str">
        <x:v>Core enxuto</x:v>
      </x:c>
    </x:row>
    <x:row r="15">
      <x:c r="A15" s="16" t="str">
        <x:v>Relatórios</x:v>
      </x:c>
      <x:c r="B15" s="16" t="str">
        <x:v>Visão na plataforma</x:v>
      </x:c>
      <x:c r="C15" s="16" t="str">
        <x:v>Suite completa de exportação</x:v>
      </x:c>
      <x:c r="D15" s="16" t="str">
        <x:v>Não é central à validação</x:v>
      </x:c>
      <x:c r="E15" s="16" t="str">
        <x:v>Demanda comercial</x:v>
      </x:c>
      <x:c r="F15" s="16" t="str">
        <x:v>Prioriza valor</x:v>
      </x:c>
    </x:row>
    <x:row r="18">
      <x:c r="A18" s="78" t="str">
        <x:v>Fundador</x:v>
      </x:c>
      <x:c r="B18" s="78" t="str">
        <x:v>Papel</x:v>
      </x:c>
      <x:c r="C18" s="78" t="str">
        <x:v>Horas</x:v>
      </x:c>
      <x:c r="D18" s="78" t="str">
        <x:v>Rate R$/h</x:v>
      </x:c>
      <x:c r="E18" s="78" t="str">
        <x:v>Valor econômico</x:v>
      </x:c>
      <x:c r="F18" s="78" t="str">
        <x:v>Pagamento agora</x:v>
      </x:c>
    </x:row>
    <x:row r="19">
      <x:c r="A19" t="str">
        <x:f>'04A_Credito_Fundadores_HUB'!A6</x:f>
        <x:v>Tamara</x:v>
      </x:c>
      <x:c r="B19" t="str">
        <x:f>'04A_Credito_Fundadores_HUB'!B6</x:f>
        <x:v>Estratégia e produto</x:v>
      </x:c>
      <x:c r="C19" t="n">
        <x:f>'04A_Credito_Fundadores_HUB'!C6</x:f>
        <x:v>180</x:v>
      </x:c>
      <x:c r="D19" s="26" t="n">
        <x:f>'04A_Credito_Fundadores_HUB'!D6</x:f>
        <x:v>220</x:v>
      </x:c>
      <x:c r="E19" s="26" t="n">
        <x:f>'04A_Credito_Fundadores_HUB'!E6</x:f>
        <x:v>39600</x:v>
      </x:c>
      <x:c r="F19" s="26" t="n">
        <x:f>'04A_Credito_Fundadores_HUB'!F6</x:f>
        <x:v>0</x:v>
      </x:c>
    </x:row>
    <x:row r="20">
      <x:c r="A20" t="str">
        <x:f>'04A_Credito_Fundadores_HUB'!A7</x:f>
        <x:v>Paulo Fábio</x:v>
      </x:c>
      <x:c r="B20" t="str">
        <x:f>'04A_Credito_Fundadores_HUB'!B7</x:f>
        <x:v>Operação e estratégia</x:v>
      </x:c>
      <x:c r="C20" t="n">
        <x:f>'04A_Credito_Fundadores_HUB'!C7</x:f>
        <x:v>120</x:v>
      </x:c>
      <x:c r="D20" s="26" t="n">
        <x:f>'04A_Credito_Fundadores_HUB'!D7</x:f>
        <x:v>160</x:v>
      </x:c>
      <x:c r="E20" s="26" t="n">
        <x:f>'04A_Credito_Fundadores_HUB'!E7</x:f>
        <x:v>19200</x:v>
      </x:c>
      <x:c r="F20" s="26" t="n">
        <x:f>'04A_Credito_Fundadores_HUB'!F7</x:f>
        <x:v>0</x:v>
      </x:c>
    </x:row>
    <x:row r="21">
      <x:c r="A21" t="str">
        <x:f>'04A_Credito_Fundadores_HUB'!A8</x:f>
        <x:v>Pedro</x:v>
      </x:c>
      <x:c r="B21" t="str">
        <x:f>'04A_Credito_Fundadores_HUB'!B8</x:f>
        <x:v>Operação e comunicação</x:v>
      </x:c>
      <x:c r="C21" t="n">
        <x:f>'04A_Credito_Fundadores_HUB'!C8</x:f>
        <x:v>100</x:v>
      </x:c>
      <x:c r="D21" s="26" t="n">
        <x:f>'04A_Credito_Fundadores_HUB'!D8</x:f>
        <x:v>150</x:v>
      </x:c>
      <x:c r="E21" s="26" t="n">
        <x:f>'04A_Credito_Fundadores_HUB'!E8</x:f>
        <x:v>15000</x:v>
      </x:c>
      <x:c r="F21" s="26" t="n">
        <x:f>'04A_Credito_Fundadores_HUB'!F8</x:f>
        <x:v>0</x:v>
      </x:c>
    </x:row>
    <x:row r="22">
      <x:c r="A22" t="str">
        <x:f>'04A_Credito_Fundadores_HUB'!A9</x:f>
        <x:v>Sócio de tecnologia</x:v>
      </x:c>
      <x:c r="B22" t="str">
        <x:f>'04A_Credito_Fundadores_HUB'!B9</x:f>
        <x:v>Tecnologia</x:v>
      </x:c>
      <x:c r="C22" t="n">
        <x:f>'04A_Credito_Fundadores_HUB'!C9</x:f>
        <x:v>320</x:v>
      </x:c>
      <x:c r="D22" s="26" t="n">
        <x:f>'04A_Credito_Fundadores_HUB'!D9</x:f>
        <x:v>180</x:v>
      </x:c>
      <x:c r="E22" s="26" t="n">
        <x:f>'04A_Credito_Fundadores_HUB'!E9</x:f>
        <x:v>57600</x:v>
      </x:c>
      <x:c r="F22" s="26" t="n">
        <x:f>'04A_Credito_Fundadores_HUB'!F9</x:f>
        <x:v>0</x:v>
      </x:c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I5:J5"/>
    <x:mergeCell ref="I6:J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20" hidden="0" customWidth="1"/>
    <x:col min="8" max="8" width="20" hidden="0" customWidth="1"/>
    <x:col min="9" max="9" width="50" hidden="0" customWidth="1"/>
    <x:col min="10" max="10" width="28" hidden="0" customWidth="1"/>
  </x:cols>
  <x:sheetData>
    <x:row r="1">
      <x:c r="A1" s="84" t="str">
        <x:v>REGISTRO DE INVESTIMENTO DE TRABALHO — FUNDADORES DIVERSIDADE HUB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>
      <x:c r="A3" s="76" t="str">
        <x:v>Esta aba reconhece o custo econômico do trabalho dedicado ao MVP mesmo sem pagamento imediato. Valores/hora e horas são premissas editáveis e devem ser formalizados societária/contabilmente antes de qualquer reembolso futuro.</x:v>
      </x:c>
      <x:c r="B3" s="76"/>
      <x:c r="C3" s="76"/>
      <x:c r="D3" s="76"/>
      <x:c r="E3" s="76"/>
      <x:c r="F3" s="76"/>
      <x:c r="G3" s="76"/>
      <x:c r="H3" s="76"/>
      <x:c r="I3" s="76"/>
      <x:c r="J3" s="7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>
      <x:c r="A5" s="85" t="str">
        <x:v>Pessoa</x:v>
      </x:c>
      <x:c r="B5" s="85" t="str">
        <x:v>Papel</x:v>
      </x:c>
      <x:c r="C5" s="85" t="str">
        <x:v>Horas previstas</x:v>
      </x:c>
      <x:c r="D5" s="85" t="str">
        <x:v>Rate R$/h</x:v>
      </x:c>
      <x:c r="E5" s="85" t="str">
        <x:v>Valor econômico</x:v>
      </x:c>
      <x:c r="F5" s="85" t="str">
        <x:v>Pago agora</x:v>
      </x:c>
      <x:c r="G5" s="85" t="str">
        <x:v>Saldo diferido</x:v>
      </x:c>
      <x:c r="H5" s="85" t="str">
        <x:v>Critério futuro</x:v>
      </x:c>
      <x:c r="I5" s="85" t="str">
        <x:v>Escopo reconhecido</x:v>
      </x:c>
      <x:c r="J5" s="85" t="str">
        <x:v>Observação</x:v>
      </x:c>
    </x:row>
    <x:row r="6">
      <x:c r="A6" s="16" t="str">
        <x:v>Tamara</x:v>
      </x:c>
      <x:c r="B6" s="16" t="str">
        <x:v>Estratégia e produto</x:v>
      </x:c>
      <x:c r="C6" s="65" t="n">
        <x:v>180</x:v>
      </x:c>
      <x:c r="D6" s="63" t="n">
        <x:v>220</x:v>
      </x:c>
      <x:c r="E6" s="38" t="n">
        <x:f>C6*D6</x:f>
        <x:v>39600</x:v>
      </x:c>
      <x:c r="F6" s="63" t="n">
        <x:v>0</x:v>
      </x:c>
      <x:c r="G6" s="38" t="n">
        <x:f>E6-F6</x:f>
        <x:v>39600</x:v>
      </x:c>
      <x:c r="H6" s="16" t="str">
        <x:v>Após aporte</x:v>
      </x:c>
      <x:c r="I6" s="16" t="str">
        <x:v>Plano, estratégia e concepção da plataforma</x:v>
      </x:c>
      <x:c r="J6" s="16" t="str">
        <x:v>Premissa inicial editável</x:v>
      </x:c>
    </x:row>
    <x:row r="7">
      <x:c r="A7" s="16" t="str">
        <x:v>Paulo Fábio</x:v>
      </x:c>
      <x:c r="B7" s="16" t="str">
        <x:v>Operação e estratégia</x:v>
      </x:c>
      <x:c r="C7" s="65" t="n">
        <x:v>120</x:v>
      </x:c>
      <x:c r="D7" s="63" t="n">
        <x:v>160</x:v>
      </x:c>
      <x:c r="E7" s="38" t="n">
        <x:f>C7*D7</x:f>
        <x:v>19200</x:v>
      </x:c>
      <x:c r="F7" s="63" t="n">
        <x:v>0</x:v>
      </x:c>
      <x:c r="G7" s="38" t="n">
        <x:f>E7-F7</x:f>
        <x:v>19200</x:v>
      </x:c>
      <x:c r="H7" s="16" t="str">
        <x:v>Após aporte</x:v>
      </x:c>
      <x:c r="I7" s="16" t="str">
        <x:v>Operação, ajustes de estratégia e planos de ação</x:v>
      </x:c>
      <x:c r="J7" s="16" t="str">
        <x:v>Premissa inicial editável</x:v>
      </x:c>
    </x:row>
    <x:row r="8">
      <x:c r="A8" s="16" t="str">
        <x:v>Pedro</x:v>
      </x:c>
      <x:c r="B8" s="16" t="str">
        <x:v>Operação e comunicação</x:v>
      </x:c>
      <x:c r="C8" s="65" t="n">
        <x:v>100</x:v>
      </x:c>
      <x:c r="D8" s="63" t="n">
        <x:v>150</x:v>
      </x:c>
      <x:c r="E8" s="38" t="n">
        <x:f>C8*D8</x:f>
        <x:v>15000</x:v>
      </x:c>
      <x:c r="F8" s="63" t="n">
        <x:v>0</x:v>
      </x:c>
      <x:c r="G8" s="38" t="n">
        <x:f>E8-F8</x:f>
        <x:v>15000</x:v>
      </x:c>
      <x:c r="H8" s="16" t="str">
        <x:v>Após aporte</x:v>
      </x:c>
      <x:c r="I8" s="16" t="str">
        <x:v>Operação e planejamento de comunicação</x:v>
      </x:c>
      <x:c r="J8" s="16" t="str">
        <x:v>Premissa inicial editável</x:v>
      </x:c>
    </x:row>
    <x:row r="9">
      <x:c r="A9" s="16" t="str">
        <x:v>Sócio de tecnologia</x:v>
      </x:c>
      <x:c r="B9" s="16" t="str">
        <x:v>Tecnologia</x:v>
      </x:c>
      <x:c r="C9" s="65" t="n">
        <x:v>320</x:v>
      </x:c>
      <x:c r="D9" s="63" t="n">
        <x:v>180</x:v>
      </x:c>
      <x:c r="E9" s="38" t="n">
        <x:f>C9*D9</x:f>
        <x:v>57600</x:v>
      </x:c>
      <x:c r="F9" s="63" t="n">
        <x:v>0</x:v>
      </x:c>
      <x:c r="G9" s="38" t="n">
        <x:f>E9-F9</x:f>
        <x:v>57600</x:v>
      </x:c>
      <x:c r="H9" s="16" t="str">
        <x:v>Após aporte</x:v>
      </x:c>
      <x:c r="I9" s="16" t="str">
        <x:v>Construção e evolução técnica do MVP</x:v>
      </x:c>
      <x:c r="J9" s="16" t="str">
        <x:v>Premissa inicial editável</x:v>
      </x:c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70" t="str">
        <x:v>TOTAL DE TRABALHO FUNDADOR DIFERIDO</x:v>
      </x:c>
      <x:c r="B11" s="70"/>
      <x:c r="C11" s="70"/>
      <x:c r="D11" s="70"/>
      <x:c r="E11" s="71" t="n">
        <x:f>SUM(G6:G9)</x:f>
        <x:v>131400</x:v>
      </x:c>
      <x:c r="F11" s="70"/>
      <x:c r="G11" s="70"/>
      <x:c r="H11" s="70"/>
      <x:c r="I11" s="70"/>
      <x:c r="J11" s="70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</x:sheetData>
  <x:mergeCells>
    <x:mergeCell ref="A1:J2"/>
    <x:mergeCell ref="A3:J3"/>
    <x:mergeCell ref="A11:D11"/>
    <x:mergeCell ref="E11:G11"/>
  </x:mergeCells>
  <x:pageMargins left="0.7" right="0.7" top="0.75" bottom="0.75" header="0.3" footer="0.3"/>
</x:worksheet>
</file>