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-me" sheetId="1" state="visible" r:id="rId1"/>
    <sheet xmlns:r="http://schemas.openxmlformats.org/officeDocument/2006/relationships" name="01_Mapa_Visual" sheetId="2" state="visible" r:id="rId2"/>
    <sheet xmlns:r="http://schemas.openxmlformats.org/officeDocument/2006/relationships" name="02_Nos_de_Dados" sheetId="3" state="visible" r:id="rId3"/>
    <sheet xmlns:r="http://schemas.openxmlformats.org/officeDocument/2006/relationships" name="03_Conexoes" sheetId="4" state="visible" r:id="rId4"/>
    <sheet xmlns:r="http://schemas.openxmlformats.org/officeDocument/2006/relationships" name="04_Indicadores_Master" sheetId="5" state="visible" r:id="rId5"/>
    <sheet xmlns:r="http://schemas.openxmlformats.org/officeDocument/2006/relationships" name="05_Arvore_de_Valor" sheetId="6" state="visible" r:id="rId6"/>
    <sheet xmlns:r="http://schemas.openxmlformats.org/officeDocument/2006/relationships" name="06_Simulador_ROI" sheetId="7" state="visible" r:id="rId7"/>
    <sheet xmlns:r="http://schemas.openxmlformats.org/officeDocument/2006/relationships" name="07_Visoes_Dashboard" sheetId="8" state="visible" r:id="rId8"/>
    <sheet xmlns:r="http://schemas.openxmlformats.org/officeDocument/2006/relationships" name="08_Dicionario_Dados" sheetId="9" state="visible" r:id="rId9"/>
    <sheet xmlns:r="http://schemas.openxmlformats.org/officeDocument/2006/relationships" name="09_Eventos_Produto" sheetId="10" state="visible" r:id="rId10"/>
    <sheet xmlns:r="http://schemas.openxmlformats.org/officeDocument/2006/relationships" name="10_Integracoes" sheetId="11" state="visible" r:id="rId11"/>
    <sheet xmlns:r="http://schemas.openxmlformats.org/officeDocument/2006/relationships" name="11_Governanca_LGPD" sheetId="12" state="visible" r:id="rId12"/>
    <sheet xmlns:r="http://schemas.openxmlformats.org/officeDocument/2006/relationships" name="12_Roadmap" sheetId="13" state="visible" r:id="rId13"/>
    <sheet xmlns:r="http://schemas.openxmlformats.org/officeDocument/2006/relationships" name="13_Matriz_Integracao" sheetId="14" state="visible" r:id="rId14"/>
    <sheet xmlns:r="http://schemas.openxmlformats.org/officeDocument/2006/relationships" name="14_RACI" sheetId="15" state="visible" r:id="rId15"/>
  </sheets>
  <definedNames>
    <definedName name="_xlnm._FilterDatabase" localSheetId="2" hidden="1">'02_Nos_de_Dados'!$A$5:$K$30</definedName>
    <definedName name="_xlnm.Print_Titles" localSheetId="2">'02_Nos_de_Dados'!$1:$5</definedName>
    <definedName name="_xlnm._FilterDatabase" localSheetId="3" hidden="1">'03_Conexoes'!$A$5:$K$25</definedName>
    <definedName name="_xlnm.Print_Titles" localSheetId="3">'03_Conexoes'!$1:$5</definedName>
    <definedName name="_xlnm._FilterDatabase" localSheetId="4" hidden="1">'04_Indicadores_Master'!$A$5:$T$78</definedName>
    <definedName name="_xlnm.Print_Titles" localSheetId="4">'04_Indicadores_Master'!$1:$5</definedName>
    <definedName name="_xlnm._FilterDatabase" localSheetId="5" hidden="1">'05_Arvore_de_Valor'!$A$5:$J$17</definedName>
    <definedName name="_xlnm.Print_Titles" localSheetId="5">'05_Arvore_de_Valor'!$1:$5</definedName>
    <definedName name="_xlnm._FilterDatabase" localSheetId="7" hidden="1">'07_Visoes_Dashboard'!$A$5:$J$15</definedName>
    <definedName name="_xlnm.Print_Titles" localSheetId="7">'07_Visoes_Dashboard'!$1:$5</definedName>
    <definedName name="_xlnm._FilterDatabase" localSheetId="8" hidden="1">'08_Dicionario_Dados'!$A$5:$L$46</definedName>
    <definedName name="_xlnm.Print_Titles" localSheetId="8">'08_Dicionario_Dados'!$1:$5</definedName>
    <definedName name="_xlnm._FilterDatabase" localSheetId="9" hidden="1">'09_Eventos_Produto'!$A$5:$K$32</definedName>
    <definedName name="_xlnm.Print_Titles" localSheetId="9">'09_Eventos_Produto'!$1:$5</definedName>
    <definedName name="_xlnm._FilterDatabase" localSheetId="10" hidden="1">'10_Integracoes'!$A$5:$L$20</definedName>
    <definedName name="_xlnm.Print_Titles" localSheetId="10">'10_Integracoes'!$1:$5</definedName>
    <definedName name="_xlnm._FilterDatabase" localSheetId="11" hidden="1">'11_Governanca_LGPD'!$A$5:$J$28</definedName>
    <definedName name="_xlnm.Print_Titles" localSheetId="11">'11_Governanca_LGPD'!$1:$5</definedName>
    <definedName name="_xlnm._FilterDatabase" localSheetId="12" hidden="1">'12_Roadmap'!$A$5:$J$10</definedName>
    <definedName name="_xlnm.Print_Titles" localSheetId="12">'12_Roadmap'!$1:$5</definedName>
    <definedName name="_xlnm._FilterDatabase" localSheetId="13" hidden="1">'13_Matriz_Integracao'!$A$5:$L$17</definedName>
    <definedName name="_xlnm.Print_Titles" localSheetId="13">'13_Matriz_Integracao'!$1:$5</definedName>
    <definedName name="_xlnm._FilterDatabase" localSheetId="14" hidden="1">'14_RACI'!$A$5:$L$18</definedName>
    <definedName name="_xlnm.Print_Titles" localSheetId="14">'14_RACI'!$1:$5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0.0%"/>
    <numFmt numFmtId="166" formatCode="0.0 &quot;meses&quot;"/>
    <numFmt numFmtId="167" formatCode="R$ #,##0"/>
    <numFmt numFmtId="168" formatCode="0.00x"/>
  </numFmts>
  <fonts count="1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7E5F0"/>
      <sz val="10"/>
    </font>
    <font>
      <b val="1"/>
      <color rgb="00041C35"/>
      <sz val="12"/>
    </font>
    <font>
      <b val="1"/>
      <color rgb="00FFFFFF"/>
      <sz val="11"/>
    </font>
    <font>
      <b val="1"/>
      <color rgb="000078B8"/>
      <u val="single"/>
    </font>
    <font>
      <color rgb="00041C35"/>
      <sz val="9"/>
    </font>
    <font>
      <b val="1"/>
      <color rgb="00041C35"/>
      <sz val="9"/>
    </font>
    <font>
      <b val="1"/>
      <color rgb="00FFFFFF"/>
      <sz val="10"/>
    </font>
    <font>
      <b val="1"/>
      <color rgb="00041C35"/>
      <sz val="10"/>
    </font>
    <font>
      <b val="1"/>
      <color rgb="00FFFFFF"/>
    </font>
    <font>
      <b val="1"/>
      <color rgb="00041C35"/>
    </font>
    <font>
      <color rgb="00041C35"/>
      <sz val="10"/>
    </font>
    <font>
      <b val="1"/>
      <color rgb="00FFFFFF"/>
      <sz val="9"/>
    </font>
    <font>
      <b val="1"/>
      <color rgb="00041C35"/>
      <sz val="11"/>
    </font>
    <font>
      <b val="1"/>
      <color rgb="00008D92"/>
      <sz val="14"/>
    </font>
    <font>
      <color rgb="00AAB4BD"/>
      <sz val="14"/>
    </font>
  </fonts>
  <fills count="21">
    <fill>
      <patternFill/>
    </fill>
    <fill>
      <patternFill patternType="gray125"/>
    </fill>
    <fill>
      <patternFill patternType="solid">
        <fgColor rgb="00041C35"/>
      </patternFill>
    </fill>
    <fill>
      <patternFill patternType="solid">
        <fgColor rgb="000A2948"/>
      </patternFill>
    </fill>
    <fill>
      <patternFill patternType="solid">
        <fgColor rgb="00F7F2EB"/>
      </patternFill>
    </fill>
    <fill>
      <patternFill patternType="solid">
        <fgColor rgb="00FF4B35"/>
      </patternFill>
    </fill>
    <fill>
      <patternFill patternType="solid">
        <fgColor rgb="00FFFFFF"/>
      </patternFill>
    </fill>
    <fill>
      <patternFill patternType="solid">
        <fgColor rgb="00F4F7F9"/>
      </patternFill>
    </fill>
    <fill>
      <patternFill patternType="solid">
        <fgColor rgb="00008D92"/>
      </patternFill>
    </fill>
    <fill>
      <patternFill patternType="solid">
        <fgColor rgb="00DCEFED"/>
      </patternFill>
    </fill>
    <fill>
      <patternFill patternType="solid">
        <fgColor rgb="00EDE2F3"/>
      </patternFill>
    </fill>
    <fill>
      <patternFill patternType="solid">
        <fgColor rgb="00EEF5CF"/>
      </patternFill>
    </fill>
    <fill>
      <patternFill patternType="solid">
        <fgColor rgb="00FDE2DC"/>
      </patternFill>
    </fill>
    <fill>
      <patternFill patternType="solid">
        <fgColor rgb="006F3FA0"/>
      </patternFill>
    </fill>
    <fill>
      <patternFill patternType="solid">
        <fgColor rgb="000078B8"/>
      </patternFill>
    </fill>
    <fill>
      <patternFill patternType="solid">
        <fgColor rgb="00F2B84B"/>
      </patternFill>
    </fill>
    <fill>
      <patternFill patternType="solid">
        <fgColor rgb="00B7D51F"/>
      </patternFill>
    </fill>
    <fill>
      <patternFill patternType="solid">
        <fgColor rgb="00DDECF4"/>
      </patternFill>
    </fill>
    <fill>
      <patternFill patternType="solid">
        <fgColor rgb="00FFF0D5"/>
      </patternFill>
    </fill>
    <fill>
      <patternFill patternType="solid">
        <fgColor rgb="00D9E4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bottom style="medium">
        <color rgb="00FF4B35"/>
      </bottom>
    </border>
    <border>
      <left style="thin">
        <color rgb="00D8DFE5"/>
      </left>
      <right style="thin">
        <color rgb="00D8DFE5"/>
      </right>
      <top style="thin">
        <color rgb="00D8DFE5"/>
      </top>
      <bottom style="thin">
        <color rgb="00D8DFE5"/>
      </bottom>
    </border>
    <border>
      <left/>
      <right/>
      <top style="thin">
        <color rgb="00D8DFE5"/>
      </top>
      <bottom/>
      <diagonal/>
    </border>
    <border>
      <left/>
      <right style="thin">
        <color rgb="00D8DFE5"/>
      </right>
      <top style="thin">
        <color rgb="00D8DFE5"/>
      </top>
      <bottom/>
      <diagonal/>
    </border>
    <border>
      <left/>
      <right/>
      <top style="thin">
        <color rgb="00D8DFE5"/>
      </top>
      <bottom style="thin">
        <color rgb="00D8DFE5"/>
      </bottom>
      <diagonal/>
    </border>
    <border>
      <left/>
      <right style="thin">
        <color rgb="00D8DFE5"/>
      </right>
      <top style="thin">
        <color rgb="00D8DFE5"/>
      </top>
      <bottom style="thin">
        <color rgb="00D8DFE5"/>
      </bottom>
      <diagonal/>
    </border>
    <border>
      <left style="medium">
        <color rgb="00FFFFFF"/>
      </left>
      <right style="medium">
        <color rgb="00FFFFFF"/>
      </right>
      <top style="thin">
        <color rgb="00D8DFE5"/>
      </top>
      <bottom style="thin">
        <color rgb="00D8DFE5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6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4" fillId="8" borderId="0" applyAlignment="1" pivotButton="0" quotePrefix="0" xfId="0">
      <alignment vertical="center"/>
    </xf>
    <xf numFmtId="0" fontId="6" fillId="9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10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top" wrapText="1"/>
    </xf>
    <xf numFmtId="0" fontId="6" fillId="12" borderId="2" applyAlignment="1" pivotButton="0" quotePrefix="0" xfId="0">
      <alignment horizontal="left" vertical="top" wrapText="1"/>
    </xf>
    <xf numFmtId="0" fontId="4" fillId="13" borderId="0" applyAlignment="1" pivotButton="0" quotePrefix="0" xfId="0">
      <alignment vertical="center"/>
    </xf>
    <xf numFmtId="0" fontId="7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7" fillId="12" borderId="7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7" borderId="7" applyAlignment="1" pivotButton="0" quotePrefix="0" xfId="0">
      <alignment horizontal="center"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18" borderId="7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7" fillId="19" borderId="7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15" borderId="0" applyAlignment="1" pivotButton="0" quotePrefix="0" xfId="0">
      <alignment horizontal="center"/>
    </xf>
    <xf numFmtId="0" fontId="11" fillId="16" borderId="0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164" fontId="11" fillId="20" borderId="2" applyAlignment="1" pivotButton="0" quotePrefix="0" xfId="0">
      <alignment horizontal="left" vertical="top" wrapText="1"/>
    </xf>
    <xf numFmtId="164" fontId="6" fillId="7" borderId="2" applyAlignment="1" pivotButton="0" quotePrefix="0" xfId="0">
      <alignment horizontal="left" vertical="top" wrapText="1"/>
    </xf>
    <xf numFmtId="164" fontId="6" fillId="6" borderId="2" applyAlignment="1" pivotButton="0" quotePrefix="0" xfId="0">
      <alignment horizontal="left" vertical="top" wrapText="1"/>
    </xf>
    <xf numFmtId="4" fontId="11" fillId="20" borderId="2" applyAlignment="1" pivotButton="0" quotePrefix="0" xfId="0">
      <alignment horizontal="left" vertical="top" wrapText="1"/>
    </xf>
    <xf numFmtId="165" fontId="11" fillId="20" borderId="2" applyAlignment="1" pivotButton="0" quotePrefix="0" xfId="0">
      <alignment horizontal="left" vertical="top" wrapText="1"/>
    </xf>
    <xf numFmtId="0" fontId="10" fillId="3" borderId="2" pivotButton="0" quotePrefix="0" xfId="0"/>
    <xf numFmtId="164" fontId="14" fillId="4" borderId="2" pivotButton="0" quotePrefix="0" xfId="0"/>
    <xf numFmtId="164" fontId="14" fillId="11" borderId="2" pivotButton="0" quotePrefix="0" xfId="0"/>
    <xf numFmtId="165" fontId="14" fillId="11" borderId="2" pivotButton="0" quotePrefix="0" xfId="0"/>
    <xf numFmtId="166" fontId="14" fillId="4" borderId="2" pivotButton="0" quotePrefix="0" xfId="0"/>
    <xf numFmtId="9" fontId="6" fillId="7" borderId="2" applyAlignment="1" pivotButton="0" quotePrefix="0" xfId="0">
      <alignment horizontal="left" vertical="top" wrapText="1"/>
    </xf>
    <xf numFmtId="167" fontId="6" fillId="7" borderId="2" applyAlignment="1" pivotButton="0" quotePrefix="0" xfId="0">
      <alignment horizontal="left" vertical="top" wrapText="1"/>
    </xf>
    <xf numFmtId="165" fontId="6" fillId="7" borderId="2" applyAlignment="1" pivotButton="0" quotePrefix="0" xfId="0">
      <alignment horizontal="left" vertical="top" wrapText="1"/>
    </xf>
    <xf numFmtId="166" fontId="6" fillId="7" borderId="2" applyAlignment="1" pivotButton="0" quotePrefix="0" xfId="0">
      <alignment horizontal="left" vertical="top" wrapText="1"/>
    </xf>
    <xf numFmtId="9" fontId="6" fillId="6" borderId="2" applyAlignment="1" pivotButton="0" quotePrefix="0" xfId="0">
      <alignment horizontal="left" vertical="top" wrapText="1"/>
    </xf>
    <xf numFmtId="167" fontId="6" fillId="6" borderId="2" applyAlignment="1" pivotButton="0" quotePrefix="0" xfId="0">
      <alignment horizontal="left" vertical="top" wrapText="1"/>
    </xf>
    <xf numFmtId="165" fontId="6" fillId="6" borderId="2" applyAlignment="1" pivotButton="0" quotePrefix="0" xfId="0">
      <alignment horizontal="left" vertical="top" wrapText="1"/>
    </xf>
    <xf numFmtId="166" fontId="6" fillId="6" borderId="2" applyAlignment="1" pivotButton="0" quotePrefix="0" xfId="0">
      <alignment horizontal="left" vertical="top" wrapText="1"/>
    </xf>
    <xf numFmtId="0" fontId="4" fillId="15" borderId="0" applyAlignment="1" pivotButton="0" quotePrefix="0" xfId="0">
      <alignment vertical="center"/>
    </xf>
    <xf numFmtId="0" fontId="6" fillId="20" borderId="2" applyAlignment="1" pivotButton="0" quotePrefix="0" xfId="0">
      <alignment horizontal="left" vertical="top" wrapText="1"/>
    </xf>
    <xf numFmtId="164" fontId="11" fillId="11" borderId="2" applyAlignment="1" pivotButton="0" quotePrefix="0" xfId="0">
      <alignment horizontal="left" vertical="top" wrapText="1"/>
    </xf>
    <xf numFmtId="164" fontId="6" fillId="20" borderId="2" applyAlignment="1" pivotButton="0" quotePrefix="0" xfId="0">
      <alignment horizontal="left" vertical="top" wrapText="1"/>
    </xf>
    <xf numFmtId="165" fontId="6" fillId="20" borderId="2" applyAlignment="1" pivotButton="0" quotePrefix="0" xfId="0">
      <alignment horizontal="left" vertical="top" wrapText="1"/>
    </xf>
    <xf numFmtId="168" fontId="11" fillId="11" borderId="2" applyAlignment="1" pivotButton="0" quotePrefix="0" xfId="0">
      <alignment horizontal="left" vertical="top" wrapText="1"/>
    </xf>
    <xf numFmtId="166" fontId="11" fillId="11" borderId="2" applyAlignment="1" pivotButton="0" quotePrefix="0" xfId="0">
      <alignment horizontal="left" vertical="top" wrapText="1"/>
    </xf>
    <xf numFmtId="0" fontId="15" fillId="6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DE2DC"/>
        </patternFill>
      </fill>
    </dxf>
    <dxf>
      <fill>
        <patternFill patternType="solid">
          <fgColor rgb="00FFF0D5"/>
        </patternFill>
      </fill>
    </dxf>
    <dxf>
      <fill>
        <patternFill patternType="solid">
          <fgColor rgb="00EEF5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Benefício anual atribuído por alavanca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'06_Simulador_ROI'!H7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'06_Simulador_ROI'!$G$8:$G$13</f>
            </numRef>
          </cat>
          <val>
            <numRef>
              <f>'06_Simulador_ROI'!$H$8:$H$13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Nos" displayName="tbNos" ref="A5:K30" headerRowCount="1">
  <autoFilter ref="A5:K30"/>
  <tableColumns count="11">
    <tableColumn id="1" name="ID"/>
    <tableColumn id="2" name="Camada"/>
    <tableColumn id="3" name="Nó"/>
    <tableColumn id="4" name="Definição de negócio"/>
    <tableColumn id="5" name="Chave primária"/>
    <tableColumn id="6" name="Granularidade"/>
    <tableColumn id="7" name="Atributos mínimos"/>
    <tableColumn id="8" name="Origem"/>
    <tableColumn id="9" name="Sensibilidade"/>
    <tableColumn id="10" name="Atualização"/>
    <tableColumn id="11" name="Contribuição para 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Conexoes" displayName="tbConexoes" ref="A5:K25" headerRowCount="1">
  <autoFilter ref="A5:K25"/>
  <tableColumns count="11">
    <tableColumn id="1" name="ID"/>
    <tableColumn id="2" name="Nó origem"/>
    <tableColumn id="3" name="Relação"/>
    <tableColumn id="4" name="Nó destino"/>
    <tableColumn id="5" name="Direção"/>
    <tableColumn id="6" name="Peso / score"/>
    <tableColumn id="7" name="Janela temporal"/>
    <tableColumn id="8" name="Evidência"/>
    <tableColumn id="9" name="Indicadores derivados"/>
    <tableColumn id="10" name="Uso de negócio"/>
    <tableColumn id="11" name="Regra de qual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Indicadores" displayName="tbIndicadores" ref="A5:T78" headerRowCount="1">
  <autoFilter ref="A5:T78"/>
  <tableColumns count="20">
    <tableColumn id="1" name="ID"/>
    <tableColumn id="2" name="Vertente"/>
    <tableColumn id="3" name="Visão"/>
    <tableColumn id="4" name="Camada"/>
    <tableColumn id="5" name="Indicador"/>
    <tableColumn id="6" name="Pergunta de gestão"/>
    <tableColumn id="7" name="Definição"/>
    <tableColumn id="8" name="Fórmula"/>
    <tableColumn id="9" name="Unidade"/>
    <tableColumn id="10" name="Polaridade"/>
    <tableColumn id="11" name="Frequência"/>
    <tableColumn id="12" name="Fonte mínima"/>
    <tableColumn id="13" name="Dimensões / cortes"/>
    <tableColumn id="14" name="Owner"/>
    <tableColumn id="15" name="Tipo"/>
    <tableColumn id="16" name="Alavanca financeira"/>
    <tableColumn id="17" name="Conversão financeira"/>
    <tableColumn id="18" name="Nível de evidência"/>
    <tableColumn id="19" name="Prioridade"/>
    <tableColumn id="20" name="Fa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ArvoreValor" displayName="tbArvoreValor" ref="A5:J17" headerRowCount="1">
  <autoFilter ref="A5:J17"/>
  <tableColumns count="10">
    <tableColumn id="1" name="Alavanca"/>
    <tableColumn id="2" name="Cadeia causal"/>
    <tableColumn id="3" name="Indicadores leading"/>
    <tableColumn id="4" name="Outcome de negócio"/>
    <tableColumn id="5" name="Fórmula financeira"/>
    <tableColumn id="6" name="Dados obrigatórios"/>
    <tableColumn id="7" name="Método mínimo de atribuição"/>
    <tableColumn id="8" name="Proteção contra dupla contagem"/>
    <tableColumn id="9" name="Visão"/>
    <tableColumn id="10" name="Decisão habilita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PremissasROI" displayName="tbPremissasROI" ref="A7:E31" headerRowCount="1">
  <autoFilter ref="A7:E31"/>
  <tableColumns count="5">
    <tableColumn id="1" name="Chave"/>
    <tableColumn id="2" name="Premissa"/>
    <tableColumn id="3" name="Valor"/>
    <tableColumn id="4" name="Unidade"/>
    <tableColumn id="5" name="Observ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Visoes" displayName="tbVisoes" ref="A5:J15" headerRowCount="1">
  <autoFilter ref="A5:J15"/>
  <tableColumns count="10">
    <tableColumn id="1" name="Visão"/>
    <tableColumn id="2" name="Usuário"/>
    <tableColumn id="3" name="Pergunta central"/>
    <tableColumn id="4" name="KPIs primários"/>
    <tableColumn id="5" name="KPIs de diagnóstico"/>
    <tableColumn id="6" name="Filtros padrão"/>
    <tableColumn id="7" name="Alertas"/>
    <tableColumn id="8" name="Ações possíveis"/>
    <tableColumn id="9" name="Cadência"/>
    <tableColumn id="10" name="Permiss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Dicionario" displayName="tbDicionario" ref="A5:L46" headerRowCount="1">
  <autoFilter ref="A5:L46"/>
  <tableColumns count="12">
    <tableColumn id="1" name="Tabela"/>
    <tableColumn id="2" name="Campo"/>
    <tableColumn id="3" name="Tipo"/>
    <tableColumn id="4" name="Definição"/>
    <tableColumn id="5" name="Chave"/>
    <tableColumn id="6" name="Obrigatório"/>
    <tableColumn id="7" name="Exemplo"/>
    <tableColumn id="8" name="Sensibilidade"/>
    <tableColumn id="9" name="Base legal / finalidade"/>
    <tableColumn id="10" name="Origem"/>
    <tableColumn id="11" name="Frequência"/>
    <tableColumn id="12" name="Regra de qualida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Eventos" displayName="tbEventos" ref="A5:K32" headerRowCount="1">
  <autoFilter ref="A5:K32"/>
  <tableColumns count="11">
    <tableColumn id="1" name="Evento"/>
    <tableColumn id="2" name="Quando dispara"/>
    <tableColumn id="3" name="Objeto"/>
    <tableColumn id="4" name="Propriedades obrigatórias"/>
    <tableColumn id="5" name="Pessoa/empresa"/>
    <tableColumn id="6" name="Etapa do funil"/>
    <tableColumn id="7" name="Indicadores"/>
    <tableColumn id="8" name="Valor esperado"/>
    <tableColumn id="9" name="PII"/>
    <tableColumn id="10" name="Retenção"/>
    <tableColumn id="11" name="Regra de Q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Integracoes" displayName="tbIntegracoes" ref="A5:L20" headerRowCount="1">
  <autoFilter ref="A5:L20"/>
  <tableColumns count="12">
    <tableColumn id="1" name="Sistema / fonte"/>
    <tableColumn id="2" name="Domínio"/>
    <tableColumn id="3" name="Direção"/>
    <tableColumn id="4" name="Método"/>
    <tableColumn id="5" name="Frequência"/>
    <tableColumn id="6" name="Dados principais"/>
    <tableColumn id="7" name="Chave de integração"/>
    <tableColumn id="8" name="Autenticação"/>
    <tableColumn id="9" name="SLA"/>
    <tableColumn id="10" name="Tratamento de erro"/>
    <tableColumn id="11" name="Owner"/>
    <tableColumn id="12" name="Fa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Governanca" displayName="tbGovernanca" ref="A5:J28" headerRowCount="1">
  <autoFilter ref="A5:J28"/>
  <tableColumns count="10">
    <tableColumn id="1" name="Dimensão"/>
    <tableColumn id="2" name="Regra"/>
    <tableColumn id="3" name="Aplicação prática"/>
    <tableColumn id="4" name="Evidência / artefato"/>
    <tableColumn id="5" name="Owner"/>
    <tableColumn id="6" name="Cadência"/>
    <tableColumn id="7" name="Severidade"/>
    <tableColumn id="8" name="Bloqueia publicação?"/>
    <tableColumn id="9" name="Indicador"/>
    <tableColumn id="10" name="Fa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Roadmap" displayName="tbRoadmap" ref="A5:J10" headerRowCount="1">
  <autoFilter ref="A5:J10"/>
  <tableColumns count="10">
    <tableColumn id="1" name="Fase"/>
    <tableColumn id="2" name="Horizonte"/>
    <tableColumn id="3" name="Objetivo"/>
    <tableColumn id="4" name="Entregas"/>
    <tableColumn id="5" name="Indicadores habilitados"/>
    <tableColumn id="6" name="Dados / integrações"/>
    <tableColumn id="7" name="Critério de saída"/>
    <tableColumn id="8" name="Riscos"/>
    <tableColumn id="9" name="Owner"/>
    <tableColumn id="10" name="Prioridad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MatrizIntegracao" displayName="tbMatrizIntegracao" ref="A5:L17" headerRowCount="1">
  <autoFilter ref="A5:L17"/>
  <tableColumns count="12">
    <tableColumn id="1" name="Família de indicador"/>
    <tableColumn id="2" name="Pessoas"/>
    <tableColumn id="3" name="Empresas / RH"/>
    <tableColumn id="4" name="Compras"/>
    <tableColumn id="5" name="Entidades"/>
    <tableColumn id="6" name="Marketing"/>
    <tableColumn id="7" name="Produto"/>
    <tableColumn id="8" name="Financeiro"/>
    <tableColumn id="9" name="Dados / IA"/>
    <tableColumn id="10" name="Nó central"/>
    <tableColumn id="11" name="Output compartilhado"/>
    <tableColumn id="12" name="Risco de dupla co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RACI" displayName="tbRACI" ref="A5:L18" headerRowCount="1">
  <autoFilter ref="A5:L18"/>
  <tableColumns count="12">
    <tableColumn id="1" name="Atividade"/>
    <tableColumn id="2" name="CEO HUB"/>
    <tableColumn id="3" name="Produto"/>
    <tableColumn id="4" name="Data Eng."/>
    <tableColumn id="5" name="Data Science"/>
    <tableColumn id="6" name="Financeiro HUB"/>
    <tableColumn id="7" name="Cliente / patrocinador"/>
    <tableColumn id="8" name="Owner do processo"/>
    <tableColumn id="9" name="Controladoria cliente"/>
    <tableColumn id="10" name="DPO / Segurança"/>
    <tableColumn id="11" name="Entidade"/>
    <tableColumn id="12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Mapa_Visual'!A1" TargetMode="External" Id="rId1"/><Relationship Type="http://schemas.openxmlformats.org/officeDocument/2006/relationships/hyperlink" Target="#'02_Nos_de_Dados'!A1" TargetMode="External" Id="rId2"/><Relationship Type="http://schemas.openxmlformats.org/officeDocument/2006/relationships/hyperlink" Target="#'03_Conexoes'!A1" TargetMode="External" Id="rId3"/><Relationship Type="http://schemas.openxmlformats.org/officeDocument/2006/relationships/hyperlink" Target="#'04_Indicadores_Master'!A1" TargetMode="External" Id="rId4"/><Relationship Type="http://schemas.openxmlformats.org/officeDocument/2006/relationships/hyperlink" Target="#'05_Arvore_de_Valor'!A1" TargetMode="External" Id="rId5"/><Relationship Type="http://schemas.openxmlformats.org/officeDocument/2006/relationships/hyperlink" Target="#'06_Simulador_ROI'!A1" TargetMode="External" Id="rId6"/><Relationship Type="http://schemas.openxmlformats.org/officeDocument/2006/relationships/hyperlink" Target="#'07_Visoes_Dashboard'!A1" TargetMode="External" Id="rId7"/><Relationship Type="http://schemas.openxmlformats.org/officeDocument/2006/relationships/hyperlink" Target="#'08_Dicionario_Dados'!A1" TargetMode="External" Id="rId8"/><Relationship Type="http://schemas.openxmlformats.org/officeDocument/2006/relationships/hyperlink" Target="#'09_Eventos_Produto'!A1" TargetMode="External" Id="rId9"/><Relationship Type="http://schemas.openxmlformats.org/officeDocument/2006/relationships/hyperlink" Target="#'10_Integracoes'!A1" TargetMode="External" Id="rId10"/><Relationship Type="http://schemas.openxmlformats.org/officeDocument/2006/relationships/hyperlink" Target="#'11_Governanca_LGPD'!A1" TargetMode="External" Id="rId11"/><Relationship Type="http://schemas.openxmlformats.org/officeDocument/2006/relationships/hyperlink" Target="#'12_Roadmap'!A1" TargetMode="External" Id="rId12"/><Relationship Type="http://schemas.openxmlformats.org/officeDocument/2006/relationships/hyperlink" Target="#'13_Matriz_Integracao'!A1" TargetMode="External" Id="rId13"/><Relationship Type="http://schemas.openxmlformats.org/officeDocument/2006/relationships/hyperlink" Target="#'14_RACI'!A1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tabColor rgb="00041C35"/>
    <outlinePr summaryBelow="1" summaryRight="1"/>
    <pageSetUpPr fitToPage="1"/>
  </sheetPr>
  <dimension ref="A1:L4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</cols>
  <sheetData>
    <row r="1" ht="26" customHeight="1">
      <c r="A1" s="1" t="inlineStr">
        <is>
          <t>HUB | Mapa de inteligência de dados e indicadores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Arquitetura-base para provar valor: pessoas → decisões → resultados → impacto financeiro.</t>
        </is>
      </c>
    </row>
    <row r="5">
      <c r="A5" s="4" t="inlineStr">
        <is>
          <t>Este arquivo organiza a lógica de mensuração da HUB para que cada módulo gere evidências de valor. Ele separa sinais operacionais, resultados de negócio e impacto financeiro; também mostra quais dados precisam se conectar para atribuir lucro, redução de custo, produtividade, retenção, receita e risco evitado.</t>
        </is>
      </c>
    </row>
    <row r="6"/>
    <row r="7"/>
    <row r="9" ht="24" customHeight="1">
      <c r="A9" s="5" t="inlineStr">
        <is>
          <t>Como navegar</t>
        </is>
      </c>
    </row>
    <row r="11" ht="27" customHeight="1">
      <c r="A11" s="6" t="inlineStr">
        <is>
          <t>01_Mapa_Visual</t>
        </is>
      </c>
      <c r="B11" s="6" t="inlineStr">
        <is>
          <t>Visão em camadas do mapa neural e da cadeia de valor.</t>
        </is>
      </c>
      <c r="C11" s="6" t="n"/>
      <c r="D11" s="6" t="n"/>
      <c r="E11" s="6" t="n"/>
      <c r="F11" s="6" t="n"/>
      <c r="G11" s="6" t="n"/>
      <c r="H11" s="6" t="n"/>
    </row>
    <row r="12" ht="27" customHeight="1">
      <c r="A12" s="7" t="inlineStr">
        <is>
          <t>02_Nos_de_Dados</t>
        </is>
      </c>
      <c r="B12" s="7" t="inlineStr">
        <is>
          <t>Entidades que formam o grafo de inteligência da plataforma.</t>
        </is>
      </c>
      <c r="C12" s="7" t="n"/>
      <c r="D12" s="7" t="n"/>
      <c r="E12" s="7" t="n"/>
      <c r="F12" s="7" t="n"/>
      <c r="G12" s="7" t="n"/>
      <c r="H12" s="7" t="n"/>
    </row>
    <row r="13" ht="27" customHeight="1">
      <c r="A13" s="6" t="inlineStr">
        <is>
          <t>03_Conexoes</t>
        </is>
      </c>
      <c r="B13" s="6" t="inlineStr">
        <is>
          <t>Relações entre pessoas, empresas, entidades, oportunidades e resultados.</t>
        </is>
      </c>
      <c r="C13" s="6" t="n"/>
      <c r="D13" s="6" t="n"/>
      <c r="E13" s="6" t="n"/>
      <c r="F13" s="6" t="n"/>
      <c r="G13" s="6" t="n"/>
      <c r="H13" s="6" t="n"/>
    </row>
    <row r="14" ht="27" customHeight="1">
      <c r="A14" s="7" t="inlineStr">
        <is>
          <t>04_Indicadores_Master</t>
        </is>
      </c>
      <c r="B14" s="7" t="inlineStr">
        <is>
          <t>Catálogo central: fórmula, fonte, frequência, alavanca financeira e evidência.</t>
        </is>
      </c>
      <c r="C14" s="7" t="n"/>
      <c r="D14" s="7" t="n"/>
      <c r="E14" s="7" t="n"/>
      <c r="F14" s="7" t="n"/>
      <c r="G14" s="7" t="n"/>
      <c r="H14" s="7" t="n"/>
    </row>
    <row r="15" ht="27" customHeight="1">
      <c r="A15" s="6" t="inlineStr">
        <is>
          <t>05_Arvore_de_Valor</t>
        </is>
      </c>
      <c r="B15" s="6" t="inlineStr">
        <is>
          <t>Como cada indicador chega a receita, margem, custo, produtividade e risco.</t>
        </is>
      </c>
      <c r="C15" s="6" t="n"/>
      <c r="D15" s="6" t="n"/>
      <c r="E15" s="6" t="n"/>
      <c r="F15" s="6" t="n"/>
      <c r="G15" s="6" t="n"/>
      <c r="H15" s="6" t="n"/>
    </row>
    <row r="16" ht="27" customHeight="1">
      <c r="A16" s="7" t="inlineStr">
        <is>
          <t>06_Simulador_ROI</t>
        </is>
      </c>
      <c r="B16" s="7" t="inlineStr">
        <is>
          <t>Simulador editável com fórmulas financeiras e cenários.</t>
        </is>
      </c>
      <c r="C16" s="7" t="n"/>
      <c r="D16" s="7" t="n"/>
      <c r="E16" s="7" t="n"/>
      <c r="F16" s="7" t="n"/>
      <c r="G16" s="7" t="n"/>
      <c r="H16" s="7" t="n"/>
    </row>
    <row r="17" ht="27" customHeight="1">
      <c r="A17" s="6" t="inlineStr">
        <is>
          <t>07_Visoes_Dashboard</t>
        </is>
      </c>
      <c r="B17" s="6" t="inlineStr">
        <is>
          <t>O que cada público precisa enxergar e decidir.</t>
        </is>
      </c>
      <c r="C17" s="6" t="n"/>
      <c r="D17" s="6" t="n"/>
      <c r="E17" s="6" t="n"/>
      <c r="F17" s="6" t="n"/>
      <c r="G17" s="6" t="n"/>
      <c r="H17" s="6" t="n"/>
    </row>
    <row r="18" ht="27" customHeight="1">
      <c r="A18" s="7" t="inlineStr">
        <is>
          <t>08_Dicionario_Dados</t>
        </is>
      </c>
      <c r="B18" s="7" t="inlineStr">
        <is>
          <t>Estrutura mínima de tabelas, campos, chaves e sensibilidade.</t>
        </is>
      </c>
      <c r="C18" s="7" t="n"/>
      <c r="D18" s="7" t="n"/>
      <c r="E18" s="7" t="n"/>
      <c r="F18" s="7" t="n"/>
      <c r="G18" s="7" t="n"/>
      <c r="H18" s="7" t="n"/>
    </row>
    <row r="19" ht="27" customHeight="1">
      <c r="A19" s="6" t="inlineStr">
        <is>
          <t>09_Eventos_Produto</t>
        </is>
      </c>
      <c r="B19" s="6" t="inlineStr">
        <is>
          <t>Taxonomia de eventos para instrumentação da plataforma.</t>
        </is>
      </c>
      <c r="C19" s="6" t="n"/>
      <c r="D19" s="6" t="n"/>
      <c r="E19" s="6" t="n"/>
      <c r="F19" s="6" t="n"/>
      <c r="G19" s="6" t="n"/>
      <c r="H19" s="6" t="n"/>
    </row>
    <row r="20" ht="27" customHeight="1">
      <c r="A20" s="7" t="inlineStr">
        <is>
          <t>10_Integracoes</t>
        </is>
      </c>
      <c r="B20" s="7" t="inlineStr">
        <is>
          <t>Integrações de dados, APIs, chaves e SLAs.</t>
        </is>
      </c>
      <c r="C20" s="7" t="n"/>
      <c r="D20" s="7" t="n"/>
      <c r="E20" s="7" t="n"/>
      <c r="F20" s="7" t="n"/>
      <c r="G20" s="7" t="n"/>
      <c r="H20" s="7" t="n"/>
    </row>
    <row r="21" ht="27" customHeight="1">
      <c r="A21" s="6" t="inlineStr">
        <is>
          <t>11_Governanca_LGPD</t>
        </is>
      </c>
      <c r="B21" s="6" t="inlineStr">
        <is>
          <t>Qualidade, consentimento, segurança, atribuição e auditoria.</t>
        </is>
      </c>
      <c r="C21" s="6" t="n"/>
      <c r="D21" s="6" t="n"/>
      <c r="E21" s="6" t="n"/>
      <c r="F21" s="6" t="n"/>
      <c r="G21" s="6" t="n"/>
      <c r="H21" s="6" t="n"/>
    </row>
    <row r="22" ht="27" customHeight="1">
      <c r="A22" s="7" t="inlineStr">
        <is>
          <t>12_Roadmap</t>
        </is>
      </c>
      <c r="B22" s="7" t="inlineStr">
        <is>
          <t>Fases para sair de atividade medida até impacto financeiro provado.</t>
        </is>
      </c>
      <c r="C22" s="7" t="n"/>
      <c r="D22" s="7" t="n"/>
      <c r="E22" s="7" t="n"/>
      <c r="F22" s="7" t="n"/>
      <c r="G22" s="7" t="n"/>
      <c r="H22" s="7" t="n"/>
    </row>
    <row r="23" ht="27" customHeight="1">
      <c r="A23" s="6" t="inlineStr">
        <is>
          <t>13_Matriz_Integracao</t>
        </is>
      </c>
      <c r="B23" s="6" t="inlineStr">
        <is>
          <t>Dependências entre módulos e famílias de indicadores.</t>
        </is>
      </c>
      <c r="C23" s="6" t="n"/>
      <c r="D23" s="6" t="n"/>
      <c r="E23" s="6" t="n"/>
      <c r="F23" s="6" t="n"/>
      <c r="G23" s="6" t="n"/>
      <c r="H23" s="6" t="n"/>
    </row>
    <row r="24" ht="27" customHeight="1">
      <c r="A24" s="7" t="inlineStr">
        <is>
          <t>14_RACI</t>
        </is>
      </c>
      <c r="B24" s="7" t="inlineStr">
        <is>
          <t>Responsabilidade sobre dados, métricas e decisões.</t>
        </is>
      </c>
      <c r="C24" s="7" t="n"/>
      <c r="D24" s="7" t="n"/>
      <c r="E24" s="7" t="n"/>
      <c r="F24" s="7" t="n"/>
      <c r="G24" s="7" t="n"/>
      <c r="H24" s="7" t="n"/>
    </row>
    <row r="27" ht="24" customHeight="1">
      <c r="A27" s="8" t="inlineStr">
        <is>
          <t>Princípios que evitam métricas bonitas e decisões erradas</t>
        </is>
      </c>
    </row>
    <row r="29" ht="34" customHeight="1">
      <c r="A29" s="9" t="inlineStr">
        <is>
          <t>1</t>
        </is>
      </c>
      <c r="B29" s="9" t="inlineStr">
        <is>
          <t>Baseline antes da ação</t>
        </is>
      </c>
      <c r="C29" s="9" t="inlineStr">
        <is>
          <t>Nenhum ganho é calculado sem situação inicial e janela de comparação.</t>
        </is>
      </c>
      <c r="D29" s="10" t="n"/>
      <c r="E29" s="10" t="n"/>
      <c r="F29" s="10" t="n"/>
      <c r="G29" s="10" t="n"/>
      <c r="H29" s="10" t="n"/>
      <c r="I29" s="10" t="n"/>
      <c r="J29" s="11" t="n"/>
    </row>
    <row r="30" ht="34" customHeight="1">
      <c r="A30" s="12" t="inlineStr">
        <is>
          <t>2</t>
        </is>
      </c>
      <c r="B30" s="12" t="inlineStr">
        <is>
          <t>Atividade não é impacto</t>
        </is>
      </c>
      <c r="C30" s="12" t="inlineStr">
        <is>
          <t>Acesso, clique e conclusão são sinais; não substituem produtividade, receita ou custo.</t>
        </is>
      </c>
      <c r="D30" s="10" t="n"/>
      <c r="E30" s="10" t="n"/>
      <c r="F30" s="10" t="n"/>
      <c r="G30" s="10" t="n"/>
      <c r="H30" s="10" t="n"/>
      <c r="I30" s="10" t="n"/>
      <c r="J30" s="11" t="n"/>
    </row>
    <row r="31" ht="34" customHeight="1">
      <c r="A31" s="13" t="inlineStr">
        <is>
          <t>3</t>
        </is>
      </c>
      <c r="B31" s="13" t="inlineStr">
        <is>
          <t>Atribuição explícita</t>
        </is>
      </c>
      <c r="C31" s="13" t="inlineStr">
        <is>
          <t>Todo valor monetizado deve registrar percentual atribuído à HUB e método de evidência.</t>
        </is>
      </c>
      <c r="D31" s="10" t="n"/>
      <c r="E31" s="10" t="n"/>
      <c r="F31" s="10" t="n"/>
      <c r="G31" s="10" t="n"/>
      <c r="H31" s="10" t="n"/>
      <c r="I31" s="10" t="n"/>
      <c r="J31" s="11" t="n"/>
    </row>
    <row r="32" ht="34" customHeight="1">
      <c r="A32" s="14" t="inlineStr">
        <is>
          <t>4</t>
        </is>
      </c>
      <c r="B32" s="14" t="inlineStr">
        <is>
          <t>Evitar dupla contagem</t>
        </is>
      </c>
      <c r="C32" s="14" t="inlineStr">
        <is>
          <t>Receita influenciada, margem e lucro não podem ser somados como benefícios independentes.</t>
        </is>
      </c>
      <c r="D32" s="10" t="n"/>
      <c r="E32" s="10" t="n"/>
      <c r="F32" s="10" t="n"/>
      <c r="G32" s="10" t="n"/>
      <c r="H32" s="10" t="n"/>
      <c r="I32" s="10" t="n"/>
      <c r="J32" s="11" t="n"/>
    </row>
    <row r="33" ht="34" customHeight="1">
      <c r="A33" s="9" t="inlineStr">
        <is>
          <t>5</t>
        </is>
      </c>
      <c r="B33" s="9" t="inlineStr">
        <is>
          <t>Cohorts e tempo</t>
        </is>
      </c>
      <c r="C33" s="9" t="inlineStr">
        <is>
          <t>Comparar grupos equivalentes e respeitar o intervalo necessário para o resultado aparecer.</t>
        </is>
      </c>
      <c r="D33" s="10" t="n"/>
      <c r="E33" s="10" t="n"/>
      <c r="F33" s="10" t="n"/>
      <c r="G33" s="10" t="n"/>
      <c r="H33" s="10" t="n"/>
      <c r="I33" s="10" t="n"/>
      <c r="J33" s="11" t="n"/>
    </row>
    <row r="34" ht="34" customHeight="1">
      <c r="A34" s="12" t="inlineStr">
        <is>
          <t>6</t>
        </is>
      </c>
      <c r="B34" s="12" t="inlineStr">
        <is>
          <t>Cortes responsáveis</t>
        </is>
      </c>
      <c r="C34" s="12" t="inlineStr">
        <is>
          <t>Recortes demográficos entram como dimensão analítica, com finalidade, base legal e proteção.</t>
        </is>
      </c>
      <c r="D34" s="10" t="n"/>
      <c r="E34" s="10" t="n"/>
      <c r="F34" s="10" t="n"/>
      <c r="G34" s="10" t="n"/>
      <c r="H34" s="10" t="n"/>
      <c r="I34" s="10" t="n"/>
      <c r="J34" s="11" t="n"/>
    </row>
    <row r="35" ht="34" customHeight="1">
      <c r="A35" s="13" t="inlineStr">
        <is>
          <t>7</t>
        </is>
      </c>
      <c r="B35" s="13" t="inlineStr">
        <is>
          <t>Valor para cada parte</t>
        </is>
      </c>
      <c r="C35" s="13" t="inlineStr">
        <is>
          <t>Pessoa, empresa, entidade e HUB possuem objetivos distintos e conectados.</t>
        </is>
      </c>
      <c r="D35" s="10" t="n"/>
      <c r="E35" s="10" t="n"/>
      <c r="F35" s="10" t="n"/>
      <c r="G35" s="10" t="n"/>
      <c r="H35" s="10" t="n"/>
      <c r="I35" s="10" t="n"/>
      <c r="J35" s="11" t="n"/>
    </row>
    <row r="38" ht="24" customHeight="1">
      <c r="A38" s="15" t="inlineStr">
        <is>
          <t>Definições financeiras usadas no arquivo</t>
        </is>
      </c>
    </row>
    <row r="40" ht="34" customHeight="1">
      <c r="A40" s="16" t="inlineStr">
        <is>
          <t>Benefício bruto</t>
        </is>
      </c>
      <c r="B40" s="17" t="inlineStr">
        <is>
          <t>Soma dos benefícios monetizados após fator de atribuição e antes do investimento.</t>
        </is>
      </c>
    </row>
    <row r="41" ht="34" customHeight="1">
      <c r="A41" s="16" t="inlineStr">
        <is>
          <t>Benefício líquido</t>
        </is>
      </c>
      <c r="B41" s="17" t="inlineStr">
        <is>
          <t>Benefício bruto menos investimento total do cliente.</t>
        </is>
      </c>
    </row>
    <row r="42" ht="34" customHeight="1">
      <c r="A42" s="16" t="inlineStr">
        <is>
          <t>ROI</t>
        </is>
      </c>
      <c r="B42" s="17" t="inlineStr">
        <is>
          <t>(Benefício bruto − investimento total) ÷ investimento total.</t>
        </is>
      </c>
    </row>
    <row r="43" ht="34" customHeight="1">
      <c r="A43" s="16" t="inlineStr">
        <is>
          <t>Payback</t>
        </is>
      </c>
      <c r="B43" s="17" t="inlineStr">
        <is>
          <t>Meses necessários para que o benefício acumulado cubra o investimento.</t>
        </is>
      </c>
    </row>
    <row r="44" ht="34" customHeight="1">
      <c r="A44" s="16" t="inlineStr">
        <is>
          <t>Receita influenciada</t>
        </is>
      </c>
      <c r="B44" s="17" t="inlineStr">
        <is>
          <t>Receita associada a oportunidades tocadas pela HUB; não equivale automaticamente a receita incremental.</t>
        </is>
      </c>
    </row>
    <row r="45" ht="34" customHeight="1">
      <c r="A45" s="16" t="inlineStr">
        <is>
          <t>Risco evitado</t>
        </is>
      </c>
      <c r="B45" s="17" t="inlineStr">
        <is>
          <t>Redução de perda esperada: probabilidade × impacto × redução do risco × atribuição.</t>
        </is>
      </c>
    </row>
  </sheetData>
  <mergeCells count="33">
    <mergeCell ref="C34:J34"/>
    <mergeCell ref="C30:J30"/>
    <mergeCell ref="B42:J42"/>
    <mergeCell ref="C33:J33"/>
    <mergeCell ref="B24:H24"/>
    <mergeCell ref="B15:H15"/>
    <mergeCell ref="A27:L27"/>
    <mergeCell ref="A3:L3"/>
    <mergeCell ref="B20:H20"/>
    <mergeCell ref="B44:J44"/>
    <mergeCell ref="C35:J35"/>
    <mergeCell ref="C29:J29"/>
    <mergeCell ref="A1:L2"/>
    <mergeCell ref="B40:J40"/>
    <mergeCell ref="B16:H16"/>
    <mergeCell ref="C31:J31"/>
    <mergeCell ref="B22:H22"/>
    <mergeCell ref="A38:L38"/>
    <mergeCell ref="A5:L7"/>
    <mergeCell ref="B18:H18"/>
    <mergeCell ref="B45:J45"/>
    <mergeCell ref="B21:H21"/>
    <mergeCell ref="B12:H12"/>
    <mergeCell ref="B41:J41"/>
    <mergeCell ref="A9:L9"/>
    <mergeCell ref="B11:H11"/>
    <mergeCell ref="B23:H23"/>
    <mergeCell ref="B14:H14"/>
    <mergeCell ref="B17:H17"/>
    <mergeCell ref="B13:H13"/>
    <mergeCell ref="C32:J32"/>
    <mergeCell ref="B43:J43"/>
    <mergeCell ref="B19:H1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</hyperlinks>
  <pageMargins left="0.25" right="0.25" top="0.45" bottom="0.45" header="0.5" footer="0.5"/>
  <headerFooter>
    <oddHeader/>
    <oddFooter>&amp;LArquitetura de inteligência — v1.0&amp;CHUB • Pessoas • Dados • Resultados&amp;RPágina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4B35"/>
    <outlinePr summaryBelow="1" summaryRight="1"/>
    <pageSetUpPr fitToPage="1"/>
  </sheetPr>
  <dimension ref="A1:S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.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 ht="26" customHeight="1">
      <c r="A1" s="1" t="inlineStr">
        <is>
          <t>Mapa neural da inteligência HUB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4" customHeight="1">
      <c r="A3" s="3" t="inlineStr">
        <is>
          <t>A plataforma conecta dados fragmentados até que possam sustentar uma decisão e provar valor financeiro.</t>
        </is>
      </c>
    </row>
    <row r="5">
      <c r="A5" s="18" t="inlineStr">
        <is>
          <t>FONTES</t>
        </is>
      </c>
      <c r="D5" s="19" t="inlineStr">
        <is>
          <t>IDENTIDADES</t>
        </is>
      </c>
      <c r="G5" s="20" t="inlineStr">
        <is>
          <t>SINAIS</t>
        </is>
      </c>
      <c r="J5" s="21" t="inlineStr">
        <is>
          <t>INTELIGÊNCIA</t>
        </is>
      </c>
      <c r="M5" s="22" t="inlineStr">
        <is>
          <t>AÇÃO</t>
        </is>
      </c>
      <c r="P5" s="23" t="inlineStr">
        <is>
          <t>RESULTADO</t>
        </is>
      </c>
      <c r="R5" s="24" t="inlineStr">
        <is>
          <t>VALOR FINANCEIRO</t>
        </is>
      </c>
    </row>
    <row r="7" ht="55" customHeight="1">
      <c r="A7" s="25" t="inlineStr">
        <is>
          <t>RH / ERP / ATS</t>
        </is>
      </c>
      <c r="D7" s="26" t="inlineStr">
        <is>
          <t>Pessoa</t>
        </is>
      </c>
      <c r="G7" s="27" t="inlineStr">
        <is>
          <t>Capacidades</t>
        </is>
      </c>
      <c r="J7" s="28" t="inlineStr">
        <is>
          <t>Score de prontidão</t>
        </is>
      </c>
      <c r="M7" s="29" t="inlineStr">
        <is>
          <t>Jornada recomendada</t>
        </is>
      </c>
      <c r="P7" s="30" t="inlineStr">
        <is>
          <t>Produtividade</t>
        </is>
      </c>
      <c r="R7" s="31" t="inlineStr">
        <is>
          <t>Horas e custo evitados</t>
        </is>
      </c>
    </row>
    <row r="8" ht="55" customHeight="1">
      <c r="A8" s="25" t="inlineStr">
        <is>
          <t>LMS / trilhas</t>
        </is>
      </c>
      <c r="D8" s="26" t="inlineStr">
        <is>
          <t>Empresa</t>
        </is>
      </c>
      <c r="G8" s="27" t="inlineStr">
        <is>
          <t>Lacunas</t>
        </is>
      </c>
      <c r="J8" s="28" t="inlineStr">
        <is>
          <t>Prioridade de desenvolvimento</t>
        </is>
      </c>
      <c r="M8" s="29" t="inlineStr">
        <is>
          <t>Formação / mobilidade</t>
        </is>
      </c>
      <c r="P8" s="30" t="inlineStr">
        <is>
          <t>Retenção</t>
        </is>
      </c>
      <c r="R8" s="31" t="inlineStr">
        <is>
          <t>Turnover evitado</t>
        </is>
      </c>
    </row>
    <row r="9" ht="55" customHeight="1">
      <c r="A9" s="25" t="inlineStr">
        <is>
          <t>CRM / marketing</t>
        </is>
      </c>
      <c r="D9" s="26" t="inlineStr">
        <is>
          <t>Entidade</t>
        </is>
      </c>
      <c r="G9" s="27" t="inlineStr">
        <is>
          <t>Interesses</t>
        </is>
      </c>
      <c r="J9" s="28" t="inlineStr">
        <is>
          <t>Propensão / segmento</t>
        </is>
      </c>
      <c r="M9" s="29" t="inlineStr">
        <is>
          <t>Campanha / conexão</t>
        </is>
      </c>
      <c r="P9" s="30" t="inlineStr">
        <is>
          <t>Receita e contratos</t>
        </is>
      </c>
      <c r="R9" s="31" t="inlineStr">
        <is>
          <t>Margem incremental</t>
        </is>
      </c>
    </row>
    <row r="10" ht="55" customHeight="1">
      <c r="A10" s="25" t="inlineStr">
        <is>
          <t>Compras / contratos</t>
        </is>
      </c>
      <c r="D10" s="26" t="inlineStr">
        <is>
          <t>Fornecedor</t>
        </is>
      </c>
      <c r="G10" s="27" t="inlineStr">
        <is>
          <t>Desempenho</t>
        </is>
      </c>
      <c r="J10" s="28" t="inlineStr">
        <is>
          <t>Risco / compatibilidade</t>
        </is>
      </c>
      <c r="M10" s="29" t="inlineStr">
        <is>
          <t>Match / homologação</t>
        </is>
      </c>
      <c r="P10" s="30" t="inlineStr">
        <is>
          <t>Eficiência de compras</t>
        </is>
      </c>
      <c r="R10" s="31" t="inlineStr">
        <is>
          <t>Saving e ciclo reduzido</t>
        </is>
      </c>
    </row>
    <row r="11" ht="55" customHeight="1">
      <c r="A11" s="25" t="inlineStr">
        <is>
          <t>Eventos da plataforma</t>
        </is>
      </c>
      <c r="D11" s="26" t="inlineStr">
        <is>
          <t>Oportunidade</t>
        </is>
      </c>
      <c r="G11" s="27" t="inlineStr">
        <is>
          <t>Comportamento</t>
        </is>
      </c>
      <c r="J11" s="28" t="inlineStr">
        <is>
          <t>Recomendação</t>
        </is>
      </c>
      <c r="M11" s="29" t="inlineStr">
        <is>
          <t>Projeto / solução</t>
        </is>
      </c>
      <c r="P11" s="30" t="inlineStr">
        <is>
          <t>Inovação</t>
        </is>
      </c>
      <c r="R11" s="31" t="inlineStr">
        <is>
          <t>Novos mercados</t>
        </is>
      </c>
    </row>
    <row r="12" ht="55" customHeight="1">
      <c r="A12" s="25" t="inlineStr">
        <is>
          <t>Financeiro / BI</t>
        </is>
      </c>
      <c r="D12" s="26" t="inlineStr">
        <is>
          <t>Programa</t>
        </is>
      </c>
      <c r="G12" s="27" t="inlineStr">
        <is>
          <t>Baseline</t>
        </is>
      </c>
      <c r="J12" s="28" t="inlineStr">
        <is>
          <t>Atribuição causal</t>
        </is>
      </c>
      <c r="M12" s="29" t="inlineStr">
        <is>
          <t>Decisão executiva</t>
        </is>
      </c>
      <c r="P12" s="30" t="inlineStr">
        <is>
          <t>Risco reduzido</t>
        </is>
      </c>
      <c r="R12" s="31" t="inlineStr">
        <is>
          <t>Perda esperada evitada</t>
        </is>
      </c>
    </row>
    <row r="15" ht="24" customHeight="1">
      <c r="A15" s="5" t="inlineStr">
        <is>
          <t>Loop de aprendizagem: o resultado realimenta o modelo</t>
        </is>
      </c>
    </row>
    <row r="17">
      <c r="A17" s="32" t="inlineStr">
        <is>
          <t>1. Observar</t>
        </is>
      </c>
      <c r="D17" s="33" t="inlineStr">
        <is>
          <t>2. Explicar</t>
        </is>
      </c>
      <c r="G17" s="34" t="inlineStr">
        <is>
          <t>3. Recomendar</t>
        </is>
      </c>
      <c r="J17" s="35" t="inlineStr">
        <is>
          <t>4. Experimentar</t>
        </is>
      </c>
      <c r="M17" s="36" t="inlineStr">
        <is>
          <t>5. Monetizar</t>
        </is>
      </c>
      <c r="P17" s="37" t="inlineStr">
        <is>
          <t>6. Aprender</t>
        </is>
      </c>
    </row>
    <row r="18">
      <c r="A18" s="38" t="inlineStr">
        <is>
          <t>Registrar contexto, exposição e comportamento.</t>
        </is>
      </c>
      <c r="D18" s="38" t="inlineStr">
        <is>
          <t>Relacionar sinais a resultados e controlar confundidores.</t>
        </is>
      </c>
      <c r="G18" s="38" t="inlineStr">
        <is>
          <t>Priorizar a ação com maior probabilidade de valor.</t>
        </is>
      </c>
      <c r="J18" s="38" t="inlineStr">
        <is>
          <t>Comparar baseline, cohort ou grupo de controle.</t>
        </is>
      </c>
      <c r="M18" s="38" t="inlineStr">
        <is>
          <t>Converter somente a parcela de efeito atribuível.</t>
        </is>
      </c>
      <c r="P18" s="38" t="inlineStr">
        <is>
          <t>Atualizar pesos, regras, benchmark e confiança da recomendação.</t>
        </is>
      </c>
    </row>
    <row r="19"/>
    <row r="20"/>
    <row r="22" ht="24" customHeight="1">
      <c r="A22" s="8" t="inlineStr">
        <is>
          <t>Quatro visões integradas</t>
        </is>
      </c>
    </row>
    <row r="24">
      <c r="A24" s="39" t="inlineStr">
        <is>
          <t>PESSOA</t>
        </is>
      </c>
      <c r="F24" s="40" t="inlineStr">
        <is>
          <t>EMPRESA</t>
        </is>
      </c>
      <c r="K24" s="41" t="inlineStr">
        <is>
          <t>ENTIDADE</t>
        </is>
      </c>
      <c r="P24" s="42" t="inlineStr">
        <is>
          <t>HUB</t>
        </is>
      </c>
    </row>
    <row r="25">
      <c r="A25" s="43" t="inlineStr">
        <is>
          <t>O que consigo fazer, onde tenho lacuna e qual oportunidade aumenta meu valor?</t>
        </is>
      </c>
      <c r="F25" s="43" t="inlineStr">
        <is>
          <t>Quais decisões sobre pessoas, compras e mercado geram resultado?</t>
        </is>
      </c>
      <c r="K25" s="43" t="inlineStr">
        <is>
          <t>Que padrões do ecossistema merecem ação coletiva e novos serviços?</t>
        </is>
      </c>
      <c r="P25" s="43" t="inlineStr">
        <is>
          <t>Onde existe valor recorrente, prova de impacto e possibilidade de escala?</t>
        </is>
      </c>
    </row>
    <row r="26"/>
    <row r="27"/>
  </sheetData>
  <mergeCells count="73">
    <mergeCell ref="M11:O11"/>
    <mergeCell ref="D11:F11"/>
    <mergeCell ref="G10:I10"/>
    <mergeCell ref="M10:O10"/>
    <mergeCell ref="A1:S2"/>
    <mergeCell ref="R11:S11"/>
    <mergeCell ref="A22:S22"/>
    <mergeCell ref="P10:Q10"/>
    <mergeCell ref="R10:S10"/>
    <mergeCell ref="D17:F17"/>
    <mergeCell ref="M7:O7"/>
    <mergeCell ref="D7:F7"/>
    <mergeCell ref="A12:C12"/>
    <mergeCell ref="M12:O12"/>
    <mergeCell ref="P24:S24"/>
    <mergeCell ref="R5:S5"/>
    <mergeCell ref="J11:L11"/>
    <mergeCell ref="J7:L7"/>
    <mergeCell ref="P9:Q9"/>
    <mergeCell ref="P18:S20"/>
    <mergeCell ref="R9:S9"/>
    <mergeCell ref="R7:S7"/>
    <mergeCell ref="A5:C5"/>
    <mergeCell ref="G5:I5"/>
    <mergeCell ref="A18:C20"/>
    <mergeCell ref="G18:I20"/>
    <mergeCell ref="A8:C8"/>
    <mergeCell ref="P8:Q8"/>
    <mergeCell ref="D12:F12"/>
    <mergeCell ref="A17:C17"/>
    <mergeCell ref="M17:O17"/>
    <mergeCell ref="D9:F9"/>
    <mergeCell ref="P11:Q11"/>
    <mergeCell ref="M8:O8"/>
    <mergeCell ref="M18:O20"/>
    <mergeCell ref="A24:D24"/>
    <mergeCell ref="J12:L12"/>
    <mergeCell ref="D8:F8"/>
    <mergeCell ref="K24:N24"/>
    <mergeCell ref="K25:N27"/>
    <mergeCell ref="A15:S15"/>
    <mergeCell ref="R12:S12"/>
    <mergeCell ref="A10:C10"/>
    <mergeCell ref="D5:F5"/>
    <mergeCell ref="P7:Q7"/>
    <mergeCell ref="D18:F20"/>
    <mergeCell ref="J18:L20"/>
    <mergeCell ref="F24:I24"/>
    <mergeCell ref="A9:C9"/>
    <mergeCell ref="G9:I9"/>
    <mergeCell ref="J8:L8"/>
    <mergeCell ref="F25:I27"/>
    <mergeCell ref="G12:I12"/>
    <mergeCell ref="J17:L17"/>
    <mergeCell ref="P25:S27"/>
    <mergeCell ref="D10:F10"/>
    <mergeCell ref="G11:I11"/>
    <mergeCell ref="J5:L5"/>
    <mergeCell ref="A11:C11"/>
    <mergeCell ref="J10:L10"/>
    <mergeCell ref="P12:Q12"/>
    <mergeCell ref="A25:D27"/>
    <mergeCell ref="M9:O9"/>
    <mergeCell ref="M5:O5"/>
    <mergeCell ref="P17:S17"/>
    <mergeCell ref="G8:I8"/>
    <mergeCell ref="A3:S3"/>
    <mergeCell ref="G17:I17"/>
    <mergeCell ref="P5:Q5"/>
    <mergeCell ref="J9:L9"/>
    <mergeCell ref="A7:C7"/>
    <mergeCell ref="G7:I7"/>
    <mergeCell ref="R8:S8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6F3FA0"/>
    <outlinePr summaryBelow="1" summaryRight="1"/>
    <pageSetUpPr fitToPage="1"/>
  </sheetPr>
  <dimension ref="A1:K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0" customWidth="1" min="4" max="4"/>
    <col width="18" customWidth="1" min="5" max="5"/>
    <col width="20" customWidth="1" min="6" max="6"/>
    <col width="42" customWidth="1" min="7" max="7"/>
    <col width="24" customWidth="1" min="8" max="8"/>
    <col width="14" customWidth="1" min="9" max="9"/>
    <col width="14" customWidth="1" min="10" max="10"/>
    <col width="42" customWidth="1" min="11" max="11"/>
  </cols>
  <sheetData>
    <row r="1" ht="26" customHeight="1">
      <c r="A1" s="1" t="inlineStr">
        <is>
          <t>Nós do mapa neural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Cada nó é uma entidade analítica com identidade, histórico e relações rastreáveis.</t>
        </is>
      </c>
    </row>
    <row r="5" ht="34" customHeight="1">
      <c r="A5" s="44" t="inlineStr">
        <is>
          <t>ID</t>
        </is>
      </c>
      <c r="B5" s="44" t="inlineStr">
        <is>
          <t>Camada</t>
        </is>
      </c>
      <c r="C5" s="44" t="inlineStr">
        <is>
          <t>Nó</t>
        </is>
      </c>
      <c r="D5" s="44" t="inlineStr">
        <is>
          <t>Definição de negócio</t>
        </is>
      </c>
      <c r="E5" s="44" t="inlineStr">
        <is>
          <t>Chave primária</t>
        </is>
      </c>
      <c r="F5" s="44" t="inlineStr">
        <is>
          <t>Granularidade</t>
        </is>
      </c>
      <c r="G5" s="44" t="inlineStr">
        <is>
          <t>Atributos mínimos</t>
        </is>
      </c>
      <c r="H5" s="44" t="inlineStr">
        <is>
          <t>Origem</t>
        </is>
      </c>
      <c r="I5" s="44" t="inlineStr">
        <is>
          <t>Sensibilidade</t>
        </is>
      </c>
      <c r="J5" s="44" t="inlineStr">
        <is>
          <t>Atualização</t>
        </is>
      </c>
      <c r="K5" s="44" t="inlineStr">
        <is>
          <t>Contribuição para valor</t>
        </is>
      </c>
    </row>
    <row r="6" ht="52" customHeight="1">
      <c r="A6" s="6" t="inlineStr">
        <is>
          <t>N01</t>
        </is>
      </c>
      <c r="B6" s="6" t="inlineStr">
        <is>
          <t>Identidade</t>
        </is>
      </c>
      <c r="C6" s="6" t="inlineStr">
        <is>
          <t>Pessoa</t>
        </is>
      </c>
      <c r="D6" s="6" t="inlineStr">
        <is>
          <t>Indivíduo que participa, trabalha, aprende ou se conecta.</t>
        </is>
      </c>
      <c r="E6" s="6" t="inlineStr">
        <is>
          <t>person_id</t>
        </is>
      </c>
      <c r="F6" s="6" t="inlineStr">
        <is>
          <t>1 pessoa</t>
        </is>
      </c>
      <c r="G6" s="6" t="inlineStr">
        <is>
          <t>status, perfil, localização, consentimentos</t>
        </is>
      </c>
      <c r="H6" s="6" t="inlineStr">
        <is>
          <t>Cadastro / HRIS</t>
        </is>
      </c>
      <c r="I6" s="6" t="inlineStr">
        <is>
          <t>Alta</t>
        </is>
      </c>
      <c r="J6" s="6" t="inlineStr">
        <is>
          <t>Diária</t>
        </is>
      </c>
      <c r="K6" s="6" t="inlineStr">
        <is>
          <t>Base para capacidade, retenção, produtividade e matching</t>
        </is>
      </c>
    </row>
    <row r="7" ht="52" customHeight="1">
      <c r="A7" s="7" t="inlineStr">
        <is>
          <t>N02</t>
        </is>
      </c>
      <c r="B7" s="7" t="inlineStr">
        <is>
          <t>Identidade</t>
        </is>
      </c>
      <c r="C7" s="7" t="inlineStr">
        <is>
          <t>Empresa</t>
        </is>
      </c>
      <c r="D7" s="7" t="inlineStr">
        <is>
          <t>Organização cliente, compradora, empregadora ou parceira.</t>
        </is>
      </c>
      <c r="E7" s="7" t="inlineStr">
        <is>
          <t>company_id</t>
        </is>
      </c>
      <c r="F7" s="7" t="inlineStr">
        <is>
          <t>1 empresa</t>
        </is>
      </c>
      <c r="G7" s="7" t="inlineStr">
        <is>
          <t>setor, porte, região, carteira, contrato</t>
        </is>
      </c>
      <c r="H7" s="7" t="inlineStr">
        <is>
          <t>CRM / ERP</t>
        </is>
      </c>
      <c r="I7" s="7" t="inlineStr">
        <is>
          <t>Média</t>
        </is>
      </c>
      <c r="J7" s="7" t="inlineStr">
        <is>
          <t>Diária</t>
        </is>
      </c>
      <c r="K7" s="7" t="inlineStr">
        <is>
          <t>Receita, expansão, benchmark e valor por cliente</t>
        </is>
      </c>
    </row>
    <row r="8" ht="52" customHeight="1">
      <c r="A8" s="6" t="inlineStr">
        <is>
          <t>N03</t>
        </is>
      </c>
      <c r="B8" s="6" t="inlineStr">
        <is>
          <t>Identidade</t>
        </is>
      </c>
      <c r="C8" s="6" t="inlineStr">
        <is>
          <t>Entidade</t>
        </is>
      </c>
      <c r="D8" s="6" t="inlineStr">
        <is>
          <t>Federação, associação, rede ou instituição que organiza um ecossistema.</t>
        </is>
      </c>
      <c r="E8" s="6" t="inlineStr">
        <is>
          <t>entity_id</t>
        </is>
      </c>
      <c r="F8" s="6" t="inlineStr">
        <is>
          <t>1 entidade</t>
        </is>
      </c>
      <c r="G8" s="6" t="inlineStr">
        <is>
          <t>tipo, território, associados, programas</t>
        </is>
      </c>
      <c r="H8" s="6" t="inlineStr">
        <is>
          <t>CRM</t>
        </is>
      </c>
      <c r="I8" s="6" t="inlineStr">
        <is>
          <t>Média</t>
        </is>
      </c>
      <c r="J8" s="6" t="inlineStr">
        <is>
          <t>Semanal</t>
        </is>
      </c>
      <c r="K8" s="6" t="inlineStr">
        <is>
          <t>Valor do ecossistema, adesão e retenção de associados</t>
        </is>
      </c>
    </row>
    <row r="9" ht="52" customHeight="1">
      <c r="A9" s="7" t="inlineStr">
        <is>
          <t>N04</t>
        </is>
      </c>
      <c r="B9" s="7" t="inlineStr">
        <is>
          <t>Identidade</t>
        </is>
      </c>
      <c r="C9" s="7" t="inlineStr">
        <is>
          <t>Fornecedor / solução</t>
        </is>
      </c>
      <c r="D9" s="7" t="inlineStr">
        <is>
          <t>Organização ou profissional capaz de entregar uma solução.</t>
        </is>
      </c>
      <c r="E9" s="7" t="inlineStr">
        <is>
          <t>supplier_id</t>
        </is>
      </c>
      <c r="F9" s="7" t="inlineStr">
        <is>
          <t>1 fornecedor</t>
        </is>
      </c>
      <c r="G9" s="7" t="inlineStr">
        <is>
          <t>categorias, capacidade, homologação, desempenho</t>
        </is>
      </c>
      <c r="H9" s="7" t="inlineStr">
        <is>
          <t>Compras / Marketplace</t>
        </is>
      </c>
      <c r="I9" s="7" t="inlineStr">
        <is>
          <t>Média</t>
        </is>
      </c>
      <c r="J9" s="7" t="inlineStr">
        <is>
          <t>Diária</t>
        </is>
      </c>
      <c r="K9" s="7" t="inlineStr">
        <is>
          <t>Eficiência de compras, saving, risco e receita de marketplace</t>
        </is>
      </c>
    </row>
    <row r="10" ht="52" customHeight="1">
      <c r="A10" s="6" t="inlineStr">
        <is>
          <t>N05</t>
        </is>
      </c>
      <c r="B10" s="6" t="inlineStr">
        <is>
          <t>Estrutura</t>
        </is>
      </c>
      <c r="C10" s="6" t="inlineStr">
        <is>
          <t>Vínculo</t>
        </is>
      </c>
      <c r="D10" s="6" t="inlineStr">
        <is>
          <t>Relação temporal entre pessoa, empresa, entidade e programa.</t>
        </is>
      </c>
      <c r="E10" s="6" t="inlineStr">
        <is>
          <t>relationship_id</t>
        </is>
      </c>
      <c r="F10" s="6" t="inlineStr">
        <is>
          <t>1 vínculo por período</t>
        </is>
      </c>
      <c r="G10" s="6" t="inlineStr">
        <is>
          <t>papel, início, fim, status</t>
        </is>
      </c>
      <c r="H10" s="6" t="inlineStr">
        <is>
          <t>HRIS / CRM</t>
        </is>
      </c>
      <c r="I10" s="6" t="inlineStr">
        <is>
          <t>Alta</t>
        </is>
      </c>
      <c r="J10" s="6" t="inlineStr">
        <is>
          <t>Diária</t>
        </is>
      </c>
      <c r="K10" s="6" t="inlineStr">
        <is>
          <t>Cohorts, elegibilidade e atribuição</t>
        </is>
      </c>
    </row>
    <row r="11" ht="52" customHeight="1">
      <c r="A11" s="7" t="inlineStr">
        <is>
          <t>N06</t>
        </is>
      </c>
      <c r="B11" s="7" t="inlineStr">
        <is>
          <t>Demanda</t>
        </is>
      </c>
      <c r="C11" s="7" t="inlineStr">
        <is>
          <t>Oportunidade</t>
        </is>
      </c>
      <c r="D11" s="7" t="inlineStr">
        <is>
          <t>Demanda de trabalho, negócio, compra, desenvolvimento ou conexão.</t>
        </is>
      </c>
      <c r="E11" s="7" t="inlineStr">
        <is>
          <t>opportunity_id</t>
        </is>
      </c>
      <c r="F11" s="7" t="inlineStr">
        <is>
          <t>1 oportunidade</t>
        </is>
      </c>
      <c r="G11" s="7" t="inlineStr">
        <is>
          <t>tipo, requisitos, valor, prazo, estágio</t>
        </is>
      </c>
      <c r="H11" s="7" t="inlineStr">
        <is>
          <t>ATS / CRM / Compras</t>
        </is>
      </c>
      <c r="I11" s="7" t="inlineStr">
        <is>
          <t>Média</t>
        </is>
      </c>
      <c r="J11" s="7" t="inlineStr">
        <is>
          <t>Tempo real</t>
        </is>
      </c>
      <c r="K11" s="7" t="inlineStr">
        <is>
          <t>Pipeline, contratação, GMV e receita influenciada</t>
        </is>
      </c>
    </row>
    <row r="12" ht="52" customHeight="1">
      <c r="A12" s="6" t="inlineStr">
        <is>
          <t>N07</t>
        </is>
      </c>
      <c r="B12" s="6" t="inlineStr">
        <is>
          <t>Capacidade</t>
        </is>
      </c>
      <c r="C12" s="6" t="inlineStr">
        <is>
          <t>Competência</t>
        </is>
      </c>
      <c r="D12" s="6" t="inlineStr">
        <is>
          <t>Conhecimento, habilidade, repertório ou capacidade organizacional.</t>
        </is>
      </c>
      <c r="E12" s="6" t="inlineStr">
        <is>
          <t>skill_id</t>
        </is>
      </c>
      <c r="F12" s="6" t="inlineStr">
        <is>
          <t>1 competência</t>
        </is>
      </c>
      <c r="G12" s="6" t="inlineStr">
        <is>
          <t>taxonomia, nível, evidência, validade</t>
        </is>
      </c>
      <c r="H12" s="6" t="inlineStr">
        <is>
          <t>Diagnóstico / LMS</t>
        </is>
      </c>
      <c r="I12" s="6" t="inlineStr">
        <is>
          <t>Média</t>
        </is>
      </c>
      <c r="J12" s="6" t="inlineStr">
        <is>
          <t>Mensal</t>
        </is>
      </c>
      <c r="K12" s="6" t="inlineStr">
        <is>
          <t>Gap, prontidão, mobilidade e produtividade</t>
        </is>
      </c>
    </row>
    <row r="13" ht="52" customHeight="1">
      <c r="A13" s="7" t="inlineStr">
        <is>
          <t>N08</t>
        </is>
      </c>
      <c r="B13" s="7" t="inlineStr">
        <is>
          <t>Capacidade</t>
        </is>
      </c>
      <c r="C13" s="7" t="inlineStr">
        <is>
          <t>Evidência de competência</t>
        </is>
      </c>
      <c r="D13" s="7" t="inlineStr">
        <is>
          <t>Prova observável que sustenta um nível de capacidade.</t>
        </is>
      </c>
      <c r="E13" s="7" t="inlineStr">
        <is>
          <t>evidence_id</t>
        </is>
      </c>
      <c r="F13" s="7" t="inlineStr">
        <is>
          <t>1 evidência</t>
        </is>
      </c>
      <c r="G13" s="7" t="inlineStr">
        <is>
          <t>tipo, emissor, data, score, validade</t>
        </is>
      </c>
      <c r="H13" s="7" t="inlineStr">
        <is>
          <t>Upload / avaliação</t>
        </is>
      </c>
      <c r="I13" s="7" t="inlineStr">
        <is>
          <t>Alta</t>
        </is>
      </c>
      <c r="J13" s="7" t="inlineStr">
        <is>
          <t>Evento</t>
        </is>
      </c>
      <c r="K13" s="7" t="inlineStr">
        <is>
          <t>Confiança do matching e redução de risco</t>
        </is>
      </c>
    </row>
    <row r="14" ht="52" customHeight="1">
      <c r="A14" s="6" t="inlineStr">
        <is>
          <t>N09</t>
        </is>
      </c>
      <c r="B14" s="6" t="inlineStr">
        <is>
          <t>Sinal</t>
        </is>
      </c>
      <c r="C14" s="6" t="inlineStr">
        <is>
          <t>Diagnóstico</t>
        </is>
      </c>
      <c r="D14" s="6" t="inlineStr">
        <is>
          <t>Medição estruturada de maturidade, prontidão, necessidade ou risco.</t>
        </is>
      </c>
      <c r="E14" s="6" t="inlineStr">
        <is>
          <t>assessment_id</t>
        </is>
      </c>
      <c r="F14" s="6" t="inlineStr">
        <is>
          <t>1 resposta/rodada</t>
        </is>
      </c>
      <c r="G14" s="6" t="inlineStr">
        <is>
          <t>instrumento, dimensão, score, versão</t>
        </is>
      </c>
      <c r="H14" s="6" t="inlineStr">
        <is>
          <t>Plataforma</t>
        </is>
      </c>
      <c r="I14" s="6" t="inlineStr">
        <is>
          <t>Alta</t>
        </is>
      </c>
      <c r="J14" s="6" t="inlineStr">
        <is>
          <t>Evento</t>
        </is>
      </c>
      <c r="K14" s="6" t="inlineStr">
        <is>
          <t>Baseline, priorização e benchmark</t>
        </is>
      </c>
    </row>
    <row r="15" ht="52" customHeight="1">
      <c r="A15" s="7" t="inlineStr">
        <is>
          <t>N10</t>
        </is>
      </c>
      <c r="B15" s="7" t="inlineStr">
        <is>
          <t>Sinal</t>
        </is>
      </c>
      <c r="C15" s="7" t="inlineStr">
        <is>
          <t>Interação</t>
        </is>
      </c>
      <c r="D15" s="7" t="inlineStr">
        <is>
          <t>Ação executada por um usuário em qualquer canal.</t>
        </is>
      </c>
      <c r="E15" s="7" t="inlineStr">
        <is>
          <t>event_id</t>
        </is>
      </c>
      <c r="F15" s="7" t="inlineStr">
        <is>
          <t>1 evento</t>
        </is>
      </c>
      <c r="G15" s="7" t="inlineStr">
        <is>
          <t>evento, timestamp, contexto, objeto, sessão</t>
        </is>
      </c>
      <c r="H15" s="7" t="inlineStr">
        <is>
          <t>Tracking</t>
        </is>
      </c>
      <c r="I15" s="7" t="inlineStr">
        <is>
          <t>Média</t>
        </is>
      </c>
      <c r="J15" s="7" t="inlineStr">
        <is>
          <t>Tempo real</t>
        </is>
      </c>
      <c r="K15" s="7" t="inlineStr">
        <is>
          <t>Adoção, conversão e propensão</t>
        </is>
      </c>
    </row>
    <row r="16" ht="52" customHeight="1">
      <c r="A16" s="6" t="inlineStr">
        <is>
          <t>N11</t>
        </is>
      </c>
      <c r="B16" s="6" t="inlineStr">
        <is>
          <t>Ação</t>
        </is>
      </c>
      <c r="C16" s="6" t="inlineStr">
        <is>
          <t>Jornada</t>
        </is>
      </c>
      <c r="D16" s="6" t="inlineStr">
        <is>
          <t>Sequência recomendada de experiências para mudar um resultado.</t>
        </is>
      </c>
      <c r="E16" s="6" t="inlineStr">
        <is>
          <t>journey_id</t>
        </is>
      </c>
      <c r="F16" s="6" t="inlineStr">
        <is>
          <t>1 jornada</t>
        </is>
      </c>
      <c r="G16" s="6" t="inlineStr">
        <is>
          <t>objetivo, etapas, início, conclusão</t>
        </is>
      </c>
      <c r="H16" s="6" t="inlineStr">
        <is>
          <t>Plataforma / LMS</t>
        </is>
      </c>
      <c r="I16" s="6" t="inlineStr">
        <is>
          <t>Média</t>
        </is>
      </c>
      <c r="J16" s="6" t="inlineStr">
        <is>
          <t>Diária</t>
        </is>
      </c>
      <c r="K16" s="6" t="inlineStr">
        <is>
          <t>Desenvolvimento, ativação e time-to-value</t>
        </is>
      </c>
    </row>
    <row r="17" ht="52" customHeight="1">
      <c r="A17" s="7" t="inlineStr">
        <is>
          <t>N12</t>
        </is>
      </c>
      <c r="B17" s="7" t="inlineStr">
        <is>
          <t>Ação</t>
        </is>
      </c>
      <c r="C17" s="7" t="inlineStr">
        <is>
          <t>Recomendação</t>
        </is>
      </c>
      <c r="D17" s="7" t="inlineStr">
        <is>
          <t>Ação sugerida por regra, analista ou modelo.</t>
        </is>
      </c>
      <c r="E17" s="7" t="inlineStr">
        <is>
          <t>recommendation_id</t>
        </is>
      </c>
      <c r="F17" s="7" t="inlineStr">
        <is>
          <t>1 recomendação</t>
        </is>
      </c>
      <c r="G17" s="7" t="inlineStr">
        <is>
          <t>tipo, score, explicação, versão, status</t>
        </is>
      </c>
      <c r="H17" s="7" t="inlineStr">
        <is>
          <t>Motor de inteligência</t>
        </is>
      </c>
      <c r="I17" s="7" t="inlineStr">
        <is>
          <t>Média</t>
        </is>
      </c>
      <c r="J17" s="7" t="inlineStr">
        <is>
          <t>Tempo real</t>
        </is>
      </c>
      <c r="K17" s="7" t="inlineStr">
        <is>
          <t>Uplift, aceitação e valor das decisões</t>
        </is>
      </c>
    </row>
    <row r="18" ht="52" customHeight="1">
      <c r="A18" s="6" t="inlineStr">
        <is>
          <t>N13</t>
        </is>
      </c>
      <c r="B18" s="6" t="inlineStr">
        <is>
          <t>Ação</t>
        </is>
      </c>
      <c r="C18" s="6" t="inlineStr">
        <is>
          <t>Match</t>
        </is>
      </c>
      <c r="D18" s="6" t="inlineStr">
        <is>
          <t>Compatibilidade calculada entre demanda e oferta.</t>
        </is>
      </c>
      <c r="E18" s="6" t="inlineStr">
        <is>
          <t>match_id</t>
        </is>
      </c>
      <c r="F18" s="6" t="inlineStr">
        <is>
          <t>1 par oportunidade-oferta</t>
        </is>
      </c>
      <c r="G18" s="6" t="inlineStr">
        <is>
          <t>score, critérios, posição, decisão</t>
        </is>
      </c>
      <c r="H18" s="6" t="inlineStr">
        <is>
          <t>Motor de matching</t>
        </is>
      </c>
      <c r="I18" s="6" t="inlineStr">
        <is>
          <t>Média</t>
        </is>
      </c>
      <c r="J18" s="6" t="inlineStr">
        <is>
          <t>Tempo real</t>
        </is>
      </c>
      <c r="K18" s="6" t="inlineStr">
        <is>
          <t>Conversão, ciclo, contratação e conexão</t>
        </is>
      </c>
    </row>
    <row r="19" ht="52" customHeight="1">
      <c r="A19" s="7" t="inlineStr">
        <is>
          <t>N14</t>
        </is>
      </c>
      <c r="B19" s="7" t="inlineStr">
        <is>
          <t>Execução</t>
        </is>
      </c>
      <c r="C19" s="7" t="inlineStr">
        <is>
          <t>Participação</t>
        </is>
      </c>
      <c r="D19" s="7" t="inlineStr">
        <is>
          <t>Exposição de pessoa ou empresa a programa, evento ou ação.</t>
        </is>
      </c>
      <c r="E19" s="7" t="inlineStr">
        <is>
          <t>participation_id</t>
        </is>
      </c>
      <c r="F19" s="7" t="inlineStr">
        <is>
          <t>1 participante por ação</t>
        </is>
      </c>
      <c r="G19" s="7" t="inlineStr">
        <is>
          <t>convite, presença, dose, conclusão</t>
        </is>
      </c>
      <c r="H19" s="7" t="inlineStr">
        <is>
          <t>Eventos / LMS</t>
        </is>
      </c>
      <c r="I19" s="7" t="inlineStr">
        <is>
          <t>Alta</t>
        </is>
      </c>
      <c r="J19" s="7" t="inlineStr">
        <is>
          <t>Evento</t>
        </is>
      </c>
      <c r="K19" s="7" t="inlineStr">
        <is>
          <t>Atribuição e análise de efeito</t>
        </is>
      </c>
    </row>
    <row r="20" ht="52" customHeight="1">
      <c r="A20" s="6" t="inlineStr">
        <is>
          <t>N15</t>
        </is>
      </c>
      <c r="B20" s="6" t="inlineStr">
        <is>
          <t>Execução</t>
        </is>
      </c>
      <c r="C20" s="6" t="inlineStr">
        <is>
          <t>Programa / projeto</t>
        </is>
      </c>
      <c r="D20" s="6" t="inlineStr">
        <is>
          <t>Unidade organizada de intervenção, serviço ou campanha.</t>
        </is>
      </c>
      <c r="E20" s="6" t="inlineStr">
        <is>
          <t>program_id</t>
        </is>
      </c>
      <c r="F20" s="6" t="inlineStr">
        <is>
          <t>1 programa</t>
        </is>
      </c>
      <c r="G20" s="6" t="inlineStr">
        <is>
          <t>escopo, público, custo, metas, owner</t>
        </is>
      </c>
      <c r="H20" s="6" t="inlineStr">
        <is>
          <t>PMO / CRM</t>
        </is>
      </c>
      <c r="I20" s="6" t="inlineStr">
        <is>
          <t>Média</t>
        </is>
      </c>
      <c r="J20" s="6" t="inlineStr">
        <is>
          <t>Semanal</t>
        </is>
      </c>
      <c r="K20" s="6" t="inlineStr">
        <is>
          <t>Custo por resultado e portfólio</t>
        </is>
      </c>
    </row>
    <row r="21" ht="52" customHeight="1">
      <c r="A21" s="7" t="inlineStr">
        <is>
          <t>N16</t>
        </is>
      </c>
      <c r="B21" s="7" t="inlineStr">
        <is>
          <t>Negócio</t>
        </is>
      </c>
      <c r="C21" s="7" t="inlineStr">
        <is>
          <t>Contrato</t>
        </is>
      </c>
      <c r="D21" s="7" t="inlineStr">
        <is>
          <t>Acordo comercial da HUB, cliente ou fornecedor.</t>
        </is>
      </c>
      <c r="E21" s="7" t="inlineStr">
        <is>
          <t>contract_id</t>
        </is>
      </c>
      <c r="F21" s="7" t="inlineStr">
        <is>
          <t>1 contrato</t>
        </is>
      </c>
      <c r="G21" s="7" t="inlineStr">
        <is>
          <t>valor, margem, vigência, origem, estágio</t>
        </is>
      </c>
      <c r="H21" s="7" t="inlineStr">
        <is>
          <t>CRM / ERP</t>
        </is>
      </c>
      <c r="I21" s="7" t="inlineStr">
        <is>
          <t>Alta</t>
        </is>
      </c>
      <c r="J21" s="7" t="inlineStr">
        <is>
          <t>Diária</t>
        </is>
      </c>
      <c r="K21" s="7" t="inlineStr">
        <is>
          <t>ARR, MRR, margem e receita influenciada</t>
        </is>
      </c>
    </row>
    <row r="22" ht="52" customHeight="1">
      <c r="A22" s="6" t="inlineStr">
        <is>
          <t>N17</t>
        </is>
      </c>
      <c r="B22" s="6" t="inlineStr">
        <is>
          <t>Negócio</t>
        </is>
      </c>
      <c r="C22" s="6" t="inlineStr">
        <is>
          <t>Transação</t>
        </is>
      </c>
      <c r="D22" s="6" t="inlineStr">
        <is>
          <t>Movimento financeiro associado a contrato, compra ou marketplace.</t>
        </is>
      </c>
      <c r="E22" s="6" t="inlineStr">
        <is>
          <t>transaction_id</t>
        </is>
      </c>
      <c r="F22" s="6" t="inlineStr">
        <is>
          <t>1 lançamento</t>
        </is>
      </c>
      <c r="G22" s="6" t="inlineStr">
        <is>
          <t>valor, moeda, data, natureza, centro de custo</t>
        </is>
      </c>
      <c r="H22" s="6" t="inlineStr">
        <is>
          <t>ERP / Financeiro</t>
        </is>
      </c>
      <c r="I22" s="6" t="inlineStr">
        <is>
          <t>Alta</t>
        </is>
      </c>
      <c r="J22" s="6" t="inlineStr">
        <is>
          <t>Diária</t>
        </is>
      </c>
      <c r="K22" s="6" t="inlineStr">
        <is>
          <t>Receita, custo, saving, GMV e margem</t>
        </is>
      </c>
    </row>
    <row r="23" ht="52" customHeight="1">
      <c r="A23" s="7" t="inlineStr">
        <is>
          <t>N18</t>
        </is>
      </c>
      <c r="B23" s="7" t="inlineStr">
        <is>
          <t>Resultado</t>
        </is>
      </c>
      <c r="C23" s="7" t="inlineStr">
        <is>
          <t>Indicador de negócio</t>
        </is>
      </c>
      <c r="D23" s="7" t="inlineStr">
        <is>
          <t>Medição de resultado da empresa ou entidade.</t>
        </is>
      </c>
      <c r="E23" s="7" t="inlineStr">
        <is>
          <t>business_metric_id</t>
        </is>
      </c>
      <c r="F23" s="7" t="inlineStr">
        <is>
          <t>1 indicador por período</t>
        </is>
      </c>
      <c r="G23" s="7" t="inlineStr">
        <is>
          <t>nome, valor, período, unidade, baseline</t>
        </is>
      </c>
      <c r="H23" s="7" t="inlineStr">
        <is>
          <t>BI / ERP</t>
        </is>
      </c>
      <c r="I23" s="7" t="inlineStr">
        <is>
          <t>Alta</t>
        </is>
      </c>
      <c r="J23" s="7" t="inlineStr">
        <is>
          <t>Mensal</t>
        </is>
      </c>
      <c r="K23" s="7" t="inlineStr">
        <is>
          <t>Produtividade, retenção, receita, custo e risco</t>
        </is>
      </c>
    </row>
    <row r="24" ht="52" customHeight="1">
      <c r="A24" s="6" t="inlineStr">
        <is>
          <t>N19</t>
        </is>
      </c>
      <c r="B24" s="6" t="inlineStr">
        <is>
          <t>Resultado</t>
        </is>
      </c>
      <c r="C24" s="6" t="inlineStr">
        <is>
          <t>Outcome individual</t>
        </is>
      </c>
      <c r="D24" s="6" t="inlineStr">
        <is>
          <t>Mudança observada na pessoa após uma ação.</t>
        </is>
      </c>
      <c r="E24" s="6" t="inlineStr">
        <is>
          <t>outcome_id</t>
        </is>
      </c>
      <c r="F24" s="6" t="inlineStr">
        <is>
          <t>1 pessoa-resultado-período</t>
        </is>
      </c>
      <c r="G24" s="6" t="inlineStr">
        <is>
          <t>dimensão, antes, depois, confiança</t>
        </is>
      </c>
      <c r="H24" s="6" t="inlineStr">
        <is>
          <t>Pesquisa / HRIS</t>
        </is>
      </c>
      <c r="I24" s="6" t="inlineStr">
        <is>
          <t>Alta</t>
        </is>
      </c>
      <c r="J24" s="6" t="inlineStr">
        <is>
          <t>Mensal</t>
        </is>
      </c>
      <c r="K24" s="6" t="inlineStr">
        <is>
          <t>Efeito em capacidade, mobilidade e retenção</t>
        </is>
      </c>
    </row>
    <row r="25" ht="52" customHeight="1">
      <c r="A25" s="7" t="inlineStr">
        <is>
          <t>N20</t>
        </is>
      </c>
      <c r="B25" s="7" t="inlineStr">
        <is>
          <t>Contexto</t>
        </is>
      </c>
      <c r="C25" s="7" t="inlineStr">
        <is>
          <t>Cohort</t>
        </is>
      </c>
      <c r="D25" s="7" t="inlineStr">
        <is>
          <t>Grupo comparável usado para mensuração e benchmark.</t>
        </is>
      </c>
      <c r="E25" s="7" t="inlineStr">
        <is>
          <t>cohort_id</t>
        </is>
      </c>
      <c r="F25" s="7" t="inlineStr">
        <is>
          <t>1 definição de grupo</t>
        </is>
      </c>
      <c r="G25" s="7" t="inlineStr">
        <is>
          <t>critérios, janela, tamanho, versão</t>
        </is>
      </c>
      <c r="H25" s="7" t="inlineStr">
        <is>
          <t>Camada analítica</t>
        </is>
      </c>
      <c r="I25" s="7" t="inlineStr">
        <is>
          <t>Média</t>
        </is>
      </c>
      <c r="J25" s="7" t="inlineStr">
        <is>
          <t>Mensal</t>
        </is>
      </c>
      <c r="K25" s="7" t="inlineStr">
        <is>
          <t>Atribuição, controle e fairness</t>
        </is>
      </c>
    </row>
    <row r="26" ht="52" customHeight="1">
      <c r="A26" s="6" t="inlineStr">
        <is>
          <t>N21</t>
        </is>
      </c>
      <c r="B26" s="6" t="inlineStr">
        <is>
          <t>Contexto</t>
        </is>
      </c>
      <c r="C26" s="6" t="inlineStr">
        <is>
          <t>Benchmark</t>
        </is>
      </c>
      <c r="D26" s="6" t="inlineStr">
        <is>
          <t>Referência agregada interna ou do ecossistema.</t>
        </is>
      </c>
      <c r="E26" s="6" t="inlineStr">
        <is>
          <t>benchmark_id</t>
        </is>
      </c>
      <c r="F26" s="6" t="inlineStr">
        <is>
          <t>1 métrica-segmento-período</t>
        </is>
      </c>
      <c r="G26" s="6" t="inlineStr">
        <is>
          <t>percentis, amostra, regras de anonimização</t>
        </is>
      </c>
      <c r="H26" s="6" t="inlineStr">
        <is>
          <t>Data mart</t>
        </is>
      </c>
      <c r="I26" s="6" t="inlineStr">
        <is>
          <t>Média</t>
        </is>
      </c>
      <c r="J26" s="6" t="inlineStr">
        <is>
          <t>Mensal</t>
        </is>
      </c>
      <c r="K26" s="6" t="inlineStr">
        <is>
          <t>Prioridade, comparação e serviços de inteligência</t>
        </is>
      </c>
    </row>
    <row r="27" ht="52" customHeight="1">
      <c r="A27" s="7" t="inlineStr">
        <is>
          <t>N22</t>
        </is>
      </c>
      <c r="B27" s="7" t="inlineStr">
        <is>
          <t>Risco</t>
        </is>
      </c>
      <c r="C27" s="7" t="inlineStr">
        <is>
          <t>Risco / controle</t>
        </is>
      </c>
      <c r="D27" s="7" t="inlineStr">
        <is>
          <t>Evento potencial, exposição e mecanismo de mitigação.</t>
        </is>
      </c>
      <c r="E27" s="7" t="inlineStr">
        <is>
          <t>risk_id</t>
        </is>
      </c>
      <c r="F27" s="7" t="inlineStr">
        <is>
          <t>1 risco por contexto</t>
        </is>
      </c>
      <c r="G27" s="7" t="inlineStr">
        <is>
          <t>probabilidade, impacto, controle, residual</t>
        </is>
      </c>
      <c r="H27" s="7" t="inlineStr">
        <is>
          <t>GRC / Jurídico</t>
        </is>
      </c>
      <c r="I27" s="7" t="inlineStr">
        <is>
          <t>Alta</t>
        </is>
      </c>
      <c r="J27" s="7" t="inlineStr">
        <is>
          <t>Mensal</t>
        </is>
      </c>
      <c r="K27" s="7" t="inlineStr">
        <is>
          <t>Perda esperada e risco evitado</t>
        </is>
      </c>
    </row>
    <row r="28" ht="52" customHeight="1">
      <c r="A28" s="6" t="inlineStr">
        <is>
          <t>N23</t>
        </is>
      </c>
      <c r="B28" s="6" t="inlineStr">
        <is>
          <t>Comunicação</t>
        </is>
      </c>
      <c r="C28" s="6" t="inlineStr">
        <is>
          <t>Conteúdo / campanha</t>
        </is>
      </c>
      <c r="D28" s="6" t="inlineStr">
        <is>
          <t>Ativo de mídia usado para gerar atenção, demanda ou ação.</t>
        </is>
      </c>
      <c r="E28" s="6" t="inlineStr">
        <is>
          <t>content_id</t>
        </is>
      </c>
      <c r="F28" s="6" t="inlineStr">
        <is>
          <t>1 ativo/campanha</t>
        </is>
      </c>
      <c r="G28" s="6" t="inlineStr">
        <is>
          <t>canal, audiência, custo, objetivo, criativo</t>
        </is>
      </c>
      <c r="H28" s="6" t="inlineStr">
        <is>
          <t>Marketing</t>
        </is>
      </c>
      <c r="I28" s="6" t="inlineStr">
        <is>
          <t>Baixa</t>
        </is>
      </c>
      <c r="J28" s="6" t="inlineStr">
        <is>
          <t>Diária</t>
        </is>
      </c>
      <c r="K28" s="6" t="inlineStr">
        <is>
          <t>CAC, pipeline, ROAS e conversão</t>
        </is>
      </c>
    </row>
    <row r="29" ht="52" customHeight="1">
      <c r="A29" s="7" t="inlineStr">
        <is>
          <t>N24</t>
        </is>
      </c>
      <c r="B29" s="7" t="inlineStr">
        <is>
          <t>Qualidade</t>
        </is>
      </c>
      <c r="C29" s="7" t="inlineStr">
        <is>
          <t>Consentimento</t>
        </is>
      </c>
      <c r="D29" s="7" t="inlineStr">
        <is>
          <t>Permissão, finalidade e base legal aplicável ao tratamento.</t>
        </is>
      </c>
      <c r="E29" s="7" t="inlineStr">
        <is>
          <t>consent_id</t>
        </is>
      </c>
      <c r="F29" s="7" t="inlineStr">
        <is>
          <t>1 finalidade por titular</t>
        </is>
      </c>
      <c r="G29" s="7" t="inlineStr">
        <is>
          <t>base legal, versão, data, revogação</t>
        </is>
      </c>
      <c r="H29" s="7" t="inlineStr">
        <is>
          <t>CMP / cadastro</t>
        </is>
      </c>
      <c r="I29" s="7" t="inlineStr">
        <is>
          <t>Crítica</t>
        </is>
      </c>
      <c r="J29" s="7" t="inlineStr">
        <is>
          <t>Tempo real</t>
        </is>
      </c>
      <c r="K29" s="7" t="inlineStr">
        <is>
          <t>Uso legítimo e auditável dos dados</t>
        </is>
      </c>
    </row>
    <row r="30" ht="52" customHeight="1">
      <c r="A30" s="6" t="inlineStr">
        <is>
          <t>N25</t>
        </is>
      </c>
      <c r="B30" s="6" t="inlineStr">
        <is>
          <t>Qualidade</t>
        </is>
      </c>
      <c r="C30" s="6" t="inlineStr">
        <is>
          <t>Versão de modelo</t>
        </is>
      </c>
      <c r="D30" s="6" t="inlineStr">
        <is>
          <t>Configuração do algoritmo, regra ou score em produção.</t>
        </is>
      </c>
      <c r="E30" s="6" t="inlineStr">
        <is>
          <t>model_version_id</t>
        </is>
      </c>
      <c r="F30" s="6" t="inlineStr">
        <is>
          <t>1 versão</t>
        </is>
      </c>
      <c r="G30" s="6" t="inlineStr">
        <is>
          <t>features, pesos, data, performance, fairness</t>
        </is>
      </c>
      <c r="H30" s="6" t="inlineStr">
        <is>
          <t>MLOps</t>
        </is>
      </c>
      <c r="I30" s="6" t="inlineStr">
        <is>
          <t>Média</t>
        </is>
      </c>
      <c r="J30" s="6" t="inlineStr">
        <is>
          <t>Release</t>
        </is>
      </c>
      <c r="K30" s="6" t="inlineStr">
        <is>
          <t>Reprodutibilidade e confiança</t>
        </is>
      </c>
    </row>
  </sheetData>
  <autoFilter ref="A5:K30"/>
  <mergeCells count="2">
    <mergeCell ref="A1:K2"/>
    <mergeCell ref="A3:K3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78B8"/>
    <outlinePr summaryBelow="1" summaryRight="1"/>
    <pageSetUpPr fitToPage="1"/>
  </sheetPr>
  <dimension ref="A1:K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2" customWidth="1" min="4" max="4"/>
    <col width="19" customWidth="1" min="5" max="5"/>
    <col width="17" customWidth="1" min="6" max="6"/>
    <col width="17" customWidth="1" min="7" max="7"/>
    <col width="22" customWidth="1" min="8" max="8"/>
    <col width="34" customWidth="1" min="9" max="9"/>
    <col width="34" customWidth="1" min="10" max="10"/>
    <col width="38" customWidth="1" min="11" max="11"/>
  </cols>
  <sheetData>
    <row r="1" ht="26" customHeight="1">
      <c r="A1" s="1" t="inlineStr">
        <is>
          <t>Conexões do mapa neural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As relações são temporais, direcionais e auditáveis; são elas que permitem explicar valor.</t>
        </is>
      </c>
    </row>
    <row r="5" ht="34" customHeight="1">
      <c r="A5" s="44" t="inlineStr">
        <is>
          <t>ID</t>
        </is>
      </c>
      <c r="B5" s="44" t="inlineStr">
        <is>
          <t>Nó origem</t>
        </is>
      </c>
      <c r="C5" s="44" t="inlineStr">
        <is>
          <t>Relação</t>
        </is>
      </c>
      <c r="D5" s="44" t="inlineStr">
        <is>
          <t>Nó destino</t>
        </is>
      </c>
      <c r="E5" s="44" t="inlineStr">
        <is>
          <t>Direção</t>
        </is>
      </c>
      <c r="F5" s="44" t="inlineStr">
        <is>
          <t>Peso / score</t>
        </is>
      </c>
      <c r="G5" s="44" t="inlineStr">
        <is>
          <t>Janela temporal</t>
        </is>
      </c>
      <c r="H5" s="44" t="inlineStr">
        <is>
          <t>Evidência</t>
        </is>
      </c>
      <c r="I5" s="44" t="inlineStr">
        <is>
          <t>Indicadores derivados</t>
        </is>
      </c>
      <c r="J5" s="44" t="inlineStr">
        <is>
          <t>Uso de negócio</t>
        </is>
      </c>
      <c r="K5" s="44" t="inlineStr">
        <is>
          <t>Regra de qualidade</t>
        </is>
      </c>
    </row>
    <row r="6" ht="48" customHeight="1">
      <c r="A6" s="6" t="inlineStr">
        <is>
          <t>E01</t>
        </is>
      </c>
      <c r="B6" s="6" t="inlineStr">
        <is>
          <t>Pessoa</t>
        </is>
      </c>
      <c r="C6" s="6" t="inlineStr">
        <is>
          <t>possui vínculo com</t>
        </is>
      </c>
      <c r="D6" s="6" t="inlineStr">
        <is>
          <t>Empresa</t>
        </is>
      </c>
      <c r="E6" s="6" t="inlineStr">
        <is>
          <t>Pessoa → Empresa</t>
        </is>
      </c>
      <c r="F6" s="6" t="inlineStr">
        <is>
          <t>papel / FTE</t>
        </is>
      </c>
      <c r="G6" s="6" t="inlineStr">
        <is>
          <t>vigência</t>
        </is>
      </c>
      <c r="H6" s="6" t="inlineStr">
        <is>
          <t>HRIS</t>
        </is>
      </c>
      <c r="I6" s="6" t="inlineStr">
        <is>
          <t>headcount, retenção, custo</t>
        </is>
      </c>
      <c r="J6" s="6" t="inlineStr">
        <is>
          <t>segmentar outcomes por empresa</t>
        </is>
      </c>
      <c r="K6" s="6" t="inlineStr">
        <is>
          <t>sem sobreposição de vínculos ativos incompatíveis</t>
        </is>
      </c>
    </row>
    <row r="7" ht="48" customHeight="1">
      <c r="A7" s="7" t="inlineStr">
        <is>
          <t>E02</t>
        </is>
      </c>
      <c r="B7" s="7" t="inlineStr">
        <is>
          <t>Empresa</t>
        </is>
      </c>
      <c r="C7" s="7" t="inlineStr">
        <is>
          <t>é associada a</t>
        </is>
      </c>
      <c r="D7" s="7" t="inlineStr">
        <is>
          <t>Entidade</t>
        </is>
      </c>
      <c r="E7" s="7" t="inlineStr">
        <is>
          <t>Empresa → Entidade</t>
        </is>
      </c>
      <c r="F7" s="7" t="inlineStr">
        <is>
          <t>status / tier</t>
        </is>
      </c>
      <c r="G7" s="7" t="inlineStr">
        <is>
          <t>vigência</t>
        </is>
      </c>
      <c r="H7" s="7" t="inlineStr">
        <is>
          <t>CRM</t>
        </is>
      </c>
      <c r="I7" s="7" t="inlineStr">
        <is>
          <t>adesão, renovação, valor por associado</t>
        </is>
      </c>
      <c r="J7" s="7" t="inlineStr">
        <is>
          <t>medir valor entregue pela entidade</t>
        </is>
      </c>
      <c r="K7" s="7" t="inlineStr">
        <is>
          <t>vigência e situação contratual válidas</t>
        </is>
      </c>
    </row>
    <row r="8" ht="48" customHeight="1">
      <c r="A8" s="6" t="inlineStr">
        <is>
          <t>E03</t>
        </is>
      </c>
      <c r="B8" s="6" t="inlineStr">
        <is>
          <t>Pessoa</t>
        </is>
      </c>
      <c r="C8" s="6" t="inlineStr">
        <is>
          <t>demonstra</t>
        </is>
      </c>
      <c r="D8" s="6" t="inlineStr">
        <is>
          <t>Competência</t>
        </is>
      </c>
      <c r="E8" s="6" t="inlineStr">
        <is>
          <t>Pessoa → Competência</t>
        </is>
      </c>
      <c r="F8" s="6" t="inlineStr">
        <is>
          <t>nível + confiança</t>
        </is>
      </c>
      <c r="G8" s="6" t="inlineStr">
        <is>
          <t>validade</t>
        </is>
      </c>
      <c r="H8" s="6" t="inlineStr">
        <is>
          <t>Evidência</t>
        </is>
      </c>
      <c r="I8" s="6" t="inlineStr">
        <is>
          <t>prontidão, gap, mobilidade</t>
        </is>
      </c>
      <c r="J8" s="6" t="inlineStr">
        <is>
          <t>recomendar oportunidades e jornadas</t>
        </is>
      </c>
      <c r="K8" s="6" t="inlineStr">
        <is>
          <t>score com fonte e data</t>
        </is>
      </c>
    </row>
    <row r="9" ht="48" customHeight="1">
      <c r="A9" s="7" t="inlineStr">
        <is>
          <t>E04</t>
        </is>
      </c>
      <c r="B9" s="7" t="inlineStr">
        <is>
          <t>Oportunidade</t>
        </is>
      </c>
      <c r="C9" s="7" t="inlineStr">
        <is>
          <t>requer</t>
        </is>
      </c>
      <c r="D9" s="7" t="inlineStr">
        <is>
          <t>Competência</t>
        </is>
      </c>
      <c r="E9" s="7" t="inlineStr">
        <is>
          <t>Oportunidade → Competência</t>
        </is>
      </c>
      <c r="F9" s="7" t="inlineStr">
        <is>
          <t>peso do requisito</t>
        </is>
      </c>
      <c r="G9" s="7" t="inlineStr">
        <is>
          <t>até fechamento</t>
        </is>
      </c>
      <c r="H9" s="7" t="inlineStr">
        <is>
          <t>Descrição estruturada</t>
        </is>
      </c>
      <c r="I9" s="7" t="inlineStr">
        <is>
          <t>fit, cobertura de requisitos</t>
        </is>
      </c>
      <c r="J9" s="7" t="inlineStr">
        <is>
          <t>matching explicável</t>
        </is>
      </c>
      <c r="K9" s="7" t="inlineStr">
        <is>
          <t>taxonomia compatível</t>
        </is>
      </c>
    </row>
    <row r="10" ht="48" customHeight="1">
      <c r="A10" s="6" t="inlineStr">
        <is>
          <t>E05</t>
        </is>
      </c>
      <c r="B10" s="6" t="inlineStr">
        <is>
          <t>Pessoa</t>
        </is>
      </c>
      <c r="C10" s="6" t="inlineStr">
        <is>
          <t>recebe</t>
        </is>
      </c>
      <c r="D10" s="6" t="inlineStr">
        <is>
          <t>Recomendação</t>
        </is>
      </c>
      <c r="E10" s="6" t="inlineStr">
        <is>
          <t>Pessoa → Recomendação</t>
        </is>
      </c>
      <c r="F10" s="6" t="inlineStr">
        <is>
          <t>propensão</t>
        </is>
      </c>
      <c r="G10" s="6" t="inlineStr">
        <is>
          <t>7–30 dias</t>
        </is>
      </c>
      <c r="H10" s="6" t="inlineStr">
        <is>
          <t>Modelo/regra</t>
        </is>
      </c>
      <c r="I10" s="6" t="inlineStr">
        <is>
          <t>aceitação, uplift</t>
        </is>
      </c>
      <c r="J10" s="6" t="inlineStr">
        <is>
          <t>next best action</t>
        </is>
      </c>
      <c r="K10" s="6" t="inlineStr">
        <is>
          <t>versão do modelo registrada</t>
        </is>
      </c>
    </row>
    <row r="11" ht="48" customHeight="1">
      <c r="A11" s="7" t="inlineStr">
        <is>
          <t>E06</t>
        </is>
      </c>
      <c r="B11" s="7" t="inlineStr">
        <is>
          <t>Recomendação</t>
        </is>
      </c>
      <c r="C11" s="7" t="inlineStr">
        <is>
          <t>propõe</t>
        </is>
      </c>
      <c r="D11" s="7" t="inlineStr">
        <is>
          <t>Jornada</t>
        </is>
      </c>
      <c r="E11" s="7" t="inlineStr">
        <is>
          <t>Recomendação → Jornada</t>
        </is>
      </c>
      <c r="F11" s="7" t="inlineStr">
        <is>
          <t>prioridade</t>
        </is>
      </c>
      <c r="G11" s="7" t="inlineStr">
        <is>
          <t>janela sugerida</t>
        </is>
      </c>
      <c r="H11" s="7" t="inlineStr">
        <is>
          <t>Motor</t>
        </is>
      </c>
      <c r="I11" s="7" t="inlineStr">
        <is>
          <t>conversão e time-to-value</t>
        </is>
      </c>
      <c r="J11" s="7" t="inlineStr">
        <is>
          <t>orquestrar desenvolvimento</t>
        </is>
      </c>
      <c r="K11" s="7" t="inlineStr">
        <is>
          <t>explicação disponível</t>
        </is>
      </c>
    </row>
    <row r="12" ht="48" customHeight="1">
      <c r="A12" s="6" t="inlineStr">
        <is>
          <t>E07</t>
        </is>
      </c>
      <c r="B12" s="6" t="inlineStr">
        <is>
          <t>Pessoa</t>
        </is>
      </c>
      <c r="C12" s="6" t="inlineStr">
        <is>
          <t>participa de</t>
        </is>
      </c>
      <c r="D12" s="6" t="inlineStr">
        <is>
          <t>Programa / projeto</t>
        </is>
      </c>
      <c r="E12" s="6" t="inlineStr">
        <is>
          <t>Pessoa → Programa</t>
        </is>
      </c>
      <c r="F12" s="6" t="inlineStr">
        <is>
          <t>dose / presença</t>
        </is>
      </c>
      <c r="G12" s="6" t="inlineStr">
        <is>
          <t>data e duração</t>
        </is>
      </c>
      <c r="H12" s="6" t="inlineStr">
        <is>
          <t>Participação</t>
        </is>
      </c>
      <c r="I12" s="6" t="inlineStr">
        <is>
          <t>alcance, conclusão, efeito</t>
        </is>
      </c>
      <c r="J12" s="6" t="inlineStr">
        <is>
          <t>atribuição por exposição</t>
        </is>
      </c>
      <c r="K12" s="6" t="inlineStr">
        <is>
          <t>deduplicação por evento</t>
        </is>
      </c>
    </row>
    <row r="13" ht="48" customHeight="1">
      <c r="A13" s="7" t="inlineStr">
        <is>
          <t>E08</t>
        </is>
      </c>
      <c r="B13" s="7" t="inlineStr">
        <is>
          <t>Programa / projeto</t>
        </is>
      </c>
      <c r="C13" s="7" t="inlineStr">
        <is>
          <t>altera</t>
        </is>
      </c>
      <c r="D13" s="7" t="inlineStr">
        <is>
          <t>Outcome individual</t>
        </is>
      </c>
      <c r="E13" s="7" t="inlineStr">
        <is>
          <t>Programa → Outcome</t>
        </is>
      </c>
      <c r="F13" s="7" t="inlineStr">
        <is>
          <t>efeito estimado</t>
        </is>
      </c>
      <c r="G13" s="7" t="inlineStr">
        <is>
          <t>pré / pós</t>
        </is>
      </c>
      <c r="H13" s="7" t="inlineStr">
        <is>
          <t>Análise</t>
        </is>
      </c>
      <c r="I13" s="7" t="inlineStr">
        <is>
          <t>uplift, variação</t>
        </is>
      </c>
      <c r="J13" s="7" t="inlineStr">
        <is>
          <t>provar eficácia</t>
        </is>
      </c>
      <c r="K13" s="7" t="inlineStr">
        <is>
          <t>baseline comparável</t>
        </is>
      </c>
    </row>
    <row r="14" ht="48" customHeight="1">
      <c r="A14" s="6" t="inlineStr">
        <is>
          <t>E09</t>
        </is>
      </c>
      <c r="B14" s="6" t="inlineStr">
        <is>
          <t>Outcome individual</t>
        </is>
      </c>
      <c r="C14" s="6" t="inlineStr">
        <is>
          <t>contribui para</t>
        </is>
      </c>
      <c r="D14" s="6" t="inlineStr">
        <is>
          <t>Indicador de negócio</t>
        </is>
      </c>
      <c r="E14" s="6" t="inlineStr">
        <is>
          <t>Outcome → KPI</t>
        </is>
      </c>
      <c r="F14" s="6" t="inlineStr">
        <is>
          <t>elasticidade</t>
        </is>
      </c>
      <c r="G14" s="6" t="inlineStr">
        <is>
          <t>1–12 meses</t>
        </is>
      </c>
      <c r="H14" s="6" t="inlineStr">
        <is>
          <t>Modelo causal</t>
        </is>
      </c>
      <c r="I14" s="6" t="inlineStr">
        <is>
          <t>produtividade, retenção</t>
        </is>
      </c>
      <c r="J14" s="6" t="inlineStr">
        <is>
          <t>monetização</t>
        </is>
      </c>
      <c r="K14" s="6" t="inlineStr">
        <is>
          <t>não declarar causalidade sem método</t>
        </is>
      </c>
    </row>
    <row r="15" ht="48" customHeight="1">
      <c r="A15" s="7" t="inlineStr">
        <is>
          <t>E10</t>
        </is>
      </c>
      <c r="B15" s="7" t="inlineStr">
        <is>
          <t>Fornecedor / solução</t>
        </is>
      </c>
      <c r="C15" s="7" t="inlineStr">
        <is>
          <t>responde a</t>
        </is>
      </c>
      <c r="D15" s="7" t="inlineStr">
        <is>
          <t>Oportunidade</t>
        </is>
      </c>
      <c r="E15" s="7" t="inlineStr">
        <is>
          <t>Fornecedor → Oportunidade</t>
        </is>
      </c>
      <c r="F15" s="7" t="inlineStr">
        <is>
          <t>fit / elegibilidade</t>
        </is>
      </c>
      <c r="G15" s="7" t="inlineStr">
        <is>
          <t>até fechamento</t>
        </is>
      </c>
      <c r="H15" s="7" t="inlineStr">
        <is>
          <t>Match</t>
        </is>
      </c>
      <c r="I15" s="7" t="inlineStr">
        <is>
          <t>ciclo, conversão, GMV</t>
        </is>
      </c>
      <c r="J15" s="7" t="inlineStr">
        <is>
          <t>compras e marketplace</t>
        </is>
      </c>
      <c r="K15" s="7" t="inlineStr">
        <is>
          <t>requisitos obrigatórios atendidos</t>
        </is>
      </c>
    </row>
    <row r="16" ht="48" customHeight="1">
      <c r="A16" s="6" t="inlineStr">
        <is>
          <t>E11</t>
        </is>
      </c>
      <c r="B16" s="6" t="inlineStr">
        <is>
          <t>Match</t>
        </is>
      </c>
      <c r="C16" s="6" t="inlineStr">
        <is>
          <t>gera</t>
        </is>
      </c>
      <c r="D16" s="6" t="inlineStr">
        <is>
          <t>Contrato</t>
        </is>
      </c>
      <c r="E16" s="6" t="inlineStr">
        <is>
          <t>Match → Contrato</t>
        </is>
      </c>
      <c r="F16" s="6" t="inlineStr">
        <is>
          <t>atribuição</t>
        </is>
      </c>
      <c r="G16" s="6" t="inlineStr">
        <is>
          <t>até 180 dias</t>
        </is>
      </c>
      <c r="H16" s="6" t="inlineStr">
        <is>
          <t>CRM / Compras</t>
        </is>
      </c>
      <c r="I16" s="6" t="inlineStr">
        <is>
          <t>receita influenciada, take rate</t>
        </is>
      </c>
      <c r="J16" s="6" t="inlineStr">
        <is>
          <t>provar conversão da rede</t>
        </is>
      </c>
      <c r="K16" s="6" t="inlineStr">
        <is>
          <t>origem e touchpoints registrados</t>
        </is>
      </c>
    </row>
    <row r="17" ht="48" customHeight="1">
      <c r="A17" s="7" t="inlineStr">
        <is>
          <t>E12</t>
        </is>
      </c>
      <c r="B17" s="7" t="inlineStr">
        <is>
          <t>Contrato</t>
        </is>
      </c>
      <c r="C17" s="7" t="inlineStr">
        <is>
          <t>gera</t>
        </is>
      </c>
      <c r="D17" s="7" t="inlineStr">
        <is>
          <t>Transação</t>
        </is>
      </c>
      <c r="E17" s="7" t="inlineStr">
        <is>
          <t>Contrato → Transação</t>
        </is>
      </c>
      <c r="F17" s="7" t="inlineStr">
        <is>
          <t>valor reconhecido</t>
        </is>
      </c>
      <c r="G17" s="7" t="inlineStr">
        <is>
          <t>competência</t>
        </is>
      </c>
      <c r="H17" s="7" t="inlineStr">
        <is>
          <t>ERP</t>
        </is>
      </c>
      <c r="I17" s="7" t="inlineStr">
        <is>
          <t>receita, margem, MRR</t>
        </is>
      </c>
      <c r="J17" s="7" t="inlineStr">
        <is>
          <t>unit economics</t>
        </is>
      </c>
      <c r="K17" s="7" t="inlineStr">
        <is>
          <t>conciliação financeira</t>
        </is>
      </c>
    </row>
    <row r="18" ht="48" customHeight="1">
      <c r="A18" s="6" t="inlineStr">
        <is>
          <t>E13</t>
        </is>
      </c>
      <c r="B18" s="6" t="inlineStr">
        <is>
          <t>Conteúdo / campanha</t>
        </is>
      </c>
      <c r="C18" s="6" t="inlineStr">
        <is>
          <t>influencia</t>
        </is>
      </c>
      <c r="D18" s="6" t="inlineStr">
        <is>
          <t>Oportunidade</t>
        </is>
      </c>
      <c r="E18" s="6" t="inlineStr">
        <is>
          <t>Campanha → Oportunidade</t>
        </is>
      </c>
      <c r="F18" s="6" t="inlineStr">
        <is>
          <t>modelo de atribuição</t>
        </is>
      </c>
      <c r="G18" s="6" t="inlineStr">
        <is>
          <t>30–180 dias</t>
        </is>
      </c>
      <c r="H18" s="6" t="inlineStr">
        <is>
          <t>UTM / CRM</t>
        </is>
      </c>
      <c r="I18" s="6" t="inlineStr">
        <is>
          <t>pipeline, CAC, ROAS</t>
        </is>
      </c>
      <c r="J18" s="6" t="inlineStr">
        <is>
          <t>mídia de conversão</t>
        </is>
      </c>
      <c r="K18" s="6" t="inlineStr">
        <is>
          <t>janela e modelo explícitos</t>
        </is>
      </c>
    </row>
    <row r="19" ht="48" customHeight="1">
      <c r="A19" s="7" t="inlineStr">
        <is>
          <t>E14</t>
        </is>
      </c>
      <c r="B19" s="7" t="inlineStr">
        <is>
          <t>Diagnóstico</t>
        </is>
      </c>
      <c r="C19" s="7" t="inlineStr">
        <is>
          <t>identifica</t>
        </is>
      </c>
      <c r="D19" s="7" t="inlineStr">
        <is>
          <t>Risco / controle</t>
        </is>
      </c>
      <c r="E19" s="7" t="inlineStr">
        <is>
          <t>Diagnóstico → Risco</t>
        </is>
      </c>
      <c r="F19" s="7" t="inlineStr">
        <is>
          <t>severidade</t>
        </is>
      </c>
      <c r="G19" s="7" t="inlineStr">
        <is>
          <t>até revisão</t>
        </is>
      </c>
      <c r="H19" s="7" t="inlineStr">
        <is>
          <t>Instrumento</t>
        </is>
      </c>
      <c r="I19" s="7" t="inlineStr">
        <is>
          <t>exposição, risco residual</t>
        </is>
      </c>
      <c r="J19" s="7" t="inlineStr">
        <is>
          <t>priorizar mitigação</t>
        </is>
      </c>
      <c r="K19" s="7" t="inlineStr">
        <is>
          <t>instrumento versionado</t>
        </is>
      </c>
    </row>
    <row r="20" ht="48" customHeight="1">
      <c r="A20" s="6" t="inlineStr">
        <is>
          <t>E15</t>
        </is>
      </c>
      <c r="B20" s="6" t="inlineStr">
        <is>
          <t>Risco / controle</t>
        </is>
      </c>
      <c r="C20" s="6" t="inlineStr">
        <is>
          <t>afeta</t>
        </is>
      </c>
      <c r="D20" s="6" t="inlineStr">
        <is>
          <t>Indicador de negócio</t>
        </is>
      </c>
      <c r="E20" s="6" t="inlineStr">
        <is>
          <t>Risco → KPI</t>
        </is>
      </c>
      <c r="F20" s="6" t="inlineStr">
        <is>
          <t>perda esperada</t>
        </is>
      </c>
      <c r="G20" s="6" t="inlineStr">
        <is>
          <t>12 meses</t>
        </is>
      </c>
      <c r="H20" s="6" t="inlineStr">
        <is>
          <t>GRC / Financeiro</t>
        </is>
      </c>
      <c r="I20" s="6" t="inlineStr">
        <is>
          <t>risco evitado</t>
        </is>
      </c>
      <c r="J20" s="6" t="inlineStr">
        <is>
          <t>business case</t>
        </is>
      </c>
      <c r="K20" s="6" t="inlineStr">
        <is>
          <t>probabilidade e impacto validados</t>
        </is>
      </c>
    </row>
    <row r="21" ht="48" customHeight="1">
      <c r="A21" s="7" t="inlineStr">
        <is>
          <t>E16</t>
        </is>
      </c>
      <c r="B21" s="7" t="inlineStr">
        <is>
          <t>Empresa</t>
        </is>
      </c>
      <c r="C21" s="7" t="inlineStr">
        <is>
          <t>é comparada em</t>
        </is>
      </c>
      <c r="D21" s="7" t="inlineStr">
        <is>
          <t>Benchmark</t>
        </is>
      </c>
      <c r="E21" s="7" t="inlineStr">
        <is>
          <t>Empresa → Benchmark</t>
        </is>
      </c>
      <c r="F21" s="7" t="inlineStr">
        <is>
          <t>percentil</t>
        </is>
      </c>
      <c r="G21" s="7" t="inlineStr">
        <is>
          <t>mesmo período</t>
        </is>
      </c>
      <c r="H21" s="7" t="inlineStr">
        <is>
          <t>Data mart</t>
        </is>
      </c>
      <c r="I21" s="7" t="inlineStr">
        <is>
          <t>posição, gap</t>
        </is>
      </c>
      <c r="J21" s="7" t="inlineStr">
        <is>
          <t>priorizar serviços</t>
        </is>
      </c>
      <c r="K21" s="7" t="inlineStr">
        <is>
          <t>mínimo de amostra e anonimização</t>
        </is>
      </c>
    </row>
    <row r="22" ht="48" customHeight="1">
      <c r="A22" s="6" t="inlineStr">
        <is>
          <t>E17</t>
        </is>
      </c>
      <c r="B22" s="6" t="inlineStr">
        <is>
          <t>Interação</t>
        </is>
      </c>
      <c r="C22" s="6" t="inlineStr">
        <is>
          <t>atualiza</t>
        </is>
      </c>
      <c r="D22" s="6" t="inlineStr">
        <is>
          <t>Recomendação</t>
        </is>
      </c>
      <c r="E22" s="6" t="inlineStr">
        <is>
          <t>Evento → Recomendação</t>
        </is>
      </c>
      <c r="F22" s="6" t="inlineStr">
        <is>
          <t>recência / frequência</t>
        </is>
      </c>
      <c r="G22" s="6" t="inlineStr">
        <is>
          <t>tempo real</t>
        </is>
      </c>
      <c r="H22" s="6" t="inlineStr">
        <is>
          <t>Tracking</t>
        </is>
      </c>
      <c r="I22" s="6" t="inlineStr">
        <is>
          <t>CTR, aceitação, propensão</t>
        </is>
      </c>
      <c r="J22" s="6" t="inlineStr">
        <is>
          <t>personalização</t>
        </is>
      </c>
      <c r="K22" s="6" t="inlineStr">
        <is>
          <t>evento válido e consentido</t>
        </is>
      </c>
    </row>
    <row r="23" ht="48" customHeight="1">
      <c r="A23" s="7" t="inlineStr">
        <is>
          <t>E18</t>
        </is>
      </c>
      <c r="B23" s="7" t="inlineStr">
        <is>
          <t>Versão de modelo</t>
        </is>
      </c>
      <c r="C23" s="7" t="inlineStr">
        <is>
          <t>produz</t>
        </is>
      </c>
      <c r="D23" s="7" t="inlineStr">
        <is>
          <t>Match</t>
        </is>
      </c>
      <c r="E23" s="7" t="inlineStr">
        <is>
          <t>Modelo → Match</t>
        </is>
      </c>
      <c r="F23" s="7" t="inlineStr">
        <is>
          <t>score</t>
        </is>
      </c>
      <c r="G23" s="7" t="inlineStr">
        <is>
          <t>release</t>
        </is>
      </c>
      <c r="H23" s="7" t="inlineStr">
        <is>
          <t>MLOps</t>
        </is>
      </c>
      <c r="I23" s="7" t="inlineStr">
        <is>
          <t>precisão, fairness</t>
        </is>
      </c>
      <c r="J23" s="7" t="inlineStr">
        <is>
          <t>governança algorítmica</t>
        </is>
      </c>
      <c r="K23" s="7" t="inlineStr">
        <is>
          <t>log de features e versão</t>
        </is>
      </c>
    </row>
    <row r="24" ht="48" customHeight="1">
      <c r="A24" s="6" t="inlineStr">
        <is>
          <t>E19</t>
        </is>
      </c>
      <c r="B24" s="6" t="inlineStr">
        <is>
          <t>Cohort</t>
        </is>
      </c>
      <c r="C24" s="6" t="inlineStr">
        <is>
          <t>contém</t>
        </is>
      </c>
      <c r="D24" s="6" t="inlineStr">
        <is>
          <t>Pessoa</t>
        </is>
      </c>
      <c r="E24" s="6" t="inlineStr">
        <is>
          <t>Cohort → Pessoa</t>
        </is>
      </c>
      <c r="F24" s="6" t="inlineStr">
        <is>
          <t>elegibilidade</t>
        </is>
      </c>
      <c r="G24" s="6" t="inlineStr">
        <is>
          <t>janela analítica</t>
        </is>
      </c>
      <c r="H24" s="6" t="inlineStr">
        <is>
          <t>Camada analítica</t>
        </is>
      </c>
      <c r="I24" s="6" t="inlineStr">
        <is>
          <t>efeito, comparação</t>
        </is>
      </c>
      <c r="J24" s="6" t="inlineStr">
        <is>
          <t>mensuração quase-experimental</t>
        </is>
      </c>
      <c r="K24" s="6" t="inlineStr">
        <is>
          <t>critérios imutáveis na análise</t>
        </is>
      </c>
    </row>
    <row r="25" ht="48" customHeight="1">
      <c r="A25" s="7" t="inlineStr">
        <is>
          <t>E20</t>
        </is>
      </c>
      <c r="B25" s="7" t="inlineStr">
        <is>
          <t>Consentimento</t>
        </is>
      </c>
      <c r="C25" s="7" t="inlineStr">
        <is>
          <t>autoriza finalidade para</t>
        </is>
      </c>
      <c r="D25" s="7" t="inlineStr">
        <is>
          <t>Pessoa</t>
        </is>
      </c>
      <c r="E25" s="7" t="inlineStr">
        <is>
          <t>Consentimento → Pessoa</t>
        </is>
      </c>
      <c r="F25" s="7" t="inlineStr">
        <is>
          <t>status</t>
        </is>
      </c>
      <c r="G25" s="7" t="inlineStr">
        <is>
          <t>vigência</t>
        </is>
      </c>
      <c r="H25" s="7" t="inlineStr">
        <is>
          <t>CMP</t>
        </is>
      </c>
      <c r="I25" s="7" t="inlineStr">
        <is>
          <t>cobertura de consentimento</t>
        </is>
      </c>
      <c r="J25" s="7" t="inlineStr">
        <is>
          <t>LGPD</t>
        </is>
      </c>
      <c r="K25" s="7" t="inlineStr">
        <is>
          <t>revogação aplicada imediatamente</t>
        </is>
      </c>
    </row>
  </sheetData>
  <autoFilter ref="A5:K25"/>
  <mergeCells count="2">
    <mergeCell ref="A1:K2"/>
    <mergeCell ref="A3:K3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8D92"/>
    <outlinePr summaryBelow="1" summaryRight="1"/>
    <pageSetUpPr fitToPage="1"/>
  </sheetPr>
  <dimension ref="A1:T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28" customWidth="1" min="5" max="5"/>
    <col width="38" customWidth="1" min="6" max="6"/>
    <col width="44" customWidth="1" min="7" max="7"/>
    <col width="46" customWidth="1" min="8" max="8"/>
    <col width="14" customWidth="1" min="9" max="9"/>
    <col width="16" customWidth="1" min="10" max="10"/>
    <col width="14" customWidth="1" min="11" max="11"/>
    <col width="26" customWidth="1" min="12" max="12"/>
    <col width="30" customWidth="1" min="13" max="13"/>
    <col width="20" customWidth="1" min="14" max="14"/>
    <col width="14" customWidth="1" min="15" max="15"/>
    <col width="24" customWidth="1" min="16" max="16"/>
    <col width="44" customWidth="1" min="17" max="17"/>
    <col width="20" customWidth="1" min="18" max="18"/>
    <col width="14" customWidth="1" min="19" max="19"/>
    <col width="10" customWidth="1" min="20" max="20"/>
  </cols>
  <sheetData>
    <row r="1" ht="26" customHeight="1">
      <c r="A1" s="1" t="inlineStr">
        <is>
          <t>Catálogo mestre de indicadores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4" customHeight="1">
      <c r="A3" s="3" t="inlineStr">
        <is>
          <t>Cada indicador inclui pergunta, fórmula, fonte e como pode chegar a valor financeiro.</t>
        </is>
      </c>
    </row>
    <row r="5" ht="34" customHeight="1">
      <c r="A5" s="44" t="inlineStr">
        <is>
          <t>ID</t>
        </is>
      </c>
      <c r="B5" s="44" t="inlineStr">
        <is>
          <t>Vertente</t>
        </is>
      </c>
      <c r="C5" s="44" t="inlineStr">
        <is>
          <t>Visão</t>
        </is>
      </c>
      <c r="D5" s="44" t="inlineStr">
        <is>
          <t>Camada</t>
        </is>
      </c>
      <c r="E5" s="44" t="inlineStr">
        <is>
          <t>Indicador</t>
        </is>
      </c>
      <c r="F5" s="44" t="inlineStr">
        <is>
          <t>Pergunta de gestão</t>
        </is>
      </c>
      <c r="G5" s="44" t="inlineStr">
        <is>
          <t>Definição</t>
        </is>
      </c>
      <c r="H5" s="44" t="inlineStr">
        <is>
          <t>Fórmula</t>
        </is>
      </c>
      <c r="I5" s="44" t="inlineStr">
        <is>
          <t>Unidade</t>
        </is>
      </c>
      <c r="J5" s="44" t="inlineStr">
        <is>
          <t>Polaridade</t>
        </is>
      </c>
      <c r="K5" s="44" t="inlineStr">
        <is>
          <t>Frequência</t>
        </is>
      </c>
      <c r="L5" s="44" t="inlineStr">
        <is>
          <t>Fonte mínima</t>
        </is>
      </c>
      <c r="M5" s="44" t="inlineStr">
        <is>
          <t>Dimensões / cortes</t>
        </is>
      </c>
      <c r="N5" s="44" t="inlineStr">
        <is>
          <t>Owner</t>
        </is>
      </c>
      <c r="O5" s="44" t="inlineStr">
        <is>
          <t>Tipo</t>
        </is>
      </c>
      <c r="P5" s="44" t="inlineStr">
        <is>
          <t>Alavanca financeira</t>
        </is>
      </c>
      <c r="Q5" s="44" t="inlineStr">
        <is>
          <t>Conversão financeira</t>
        </is>
      </c>
      <c r="R5" s="44" t="inlineStr">
        <is>
          <t>Nível de evidência</t>
        </is>
      </c>
      <c r="S5" s="44" t="inlineStr">
        <is>
          <t>Prioridade</t>
        </is>
      </c>
      <c r="T5" s="44" t="inlineStr">
        <is>
          <t>Fase</t>
        </is>
      </c>
    </row>
    <row r="6" ht="62" customHeight="1">
      <c r="A6" s="6" t="inlineStr">
        <is>
          <t>PES-01</t>
        </is>
      </c>
      <c r="B6" s="6" t="inlineStr">
        <is>
          <t>Pessoas</t>
        </is>
      </c>
      <c r="C6" s="6" t="inlineStr">
        <is>
          <t>Pessoa</t>
        </is>
      </c>
      <c r="D6" s="6" t="inlineStr">
        <is>
          <t>Insumo</t>
        </is>
      </c>
      <c r="E6" s="6" t="inlineStr">
        <is>
          <t>Completude do perfil</t>
        </is>
      </c>
      <c r="F6" s="6" t="inlineStr">
        <is>
          <t>Temos dados suficientes para orientar a pessoa?</t>
        </is>
      </c>
      <c r="G6" s="6" t="inlineStr">
        <is>
          <t>Percentual de campos essenciais válidos.</t>
        </is>
      </c>
      <c r="H6" s="6" t="inlineStr">
        <is>
          <t>campos essenciais preenchidos / campos essenciais esperados</t>
        </is>
      </c>
      <c r="I6" s="6" t="inlineStr">
        <is>
          <t>%</t>
        </is>
      </c>
      <c r="J6" s="6" t="inlineStr">
        <is>
          <t>Maior é melhor</t>
        </is>
      </c>
      <c r="K6" s="6" t="inlineStr">
        <is>
          <t>Diária</t>
        </is>
      </c>
      <c r="L6" s="6" t="inlineStr">
        <is>
          <t>Pessoa + consentimento</t>
        </is>
      </c>
      <c r="M6" s="6" t="inlineStr">
        <is>
          <t>empresa, região, persona</t>
        </is>
      </c>
      <c r="N6" s="6" t="inlineStr">
        <is>
          <t>Produto</t>
        </is>
      </c>
      <c r="O6" s="6" t="inlineStr">
        <is>
          <t>Leading</t>
        </is>
      </c>
      <c r="P6" s="6" t="inlineStr">
        <is>
          <t>Qualidade / conversão</t>
        </is>
      </c>
      <c r="Q6" s="6" t="inlineStr">
        <is>
          <t>Não monetizar isoladamente</t>
        </is>
      </c>
      <c r="R6" s="6" t="inlineStr">
        <is>
          <t>Descritivo</t>
        </is>
      </c>
      <c r="S6" s="6" t="inlineStr">
        <is>
          <t>Alta</t>
        </is>
      </c>
      <c r="T6" s="6" t="inlineStr">
        <is>
          <t>M0</t>
        </is>
      </c>
    </row>
    <row r="7" ht="62" customHeight="1">
      <c r="A7" s="7" t="inlineStr">
        <is>
          <t>PES-02</t>
        </is>
      </c>
      <c r="B7" s="7" t="inlineStr">
        <is>
          <t>Pessoas</t>
        </is>
      </c>
      <c r="C7" s="7" t="inlineStr">
        <is>
          <t>Pessoa</t>
        </is>
      </c>
      <c r="D7" s="7" t="inlineStr">
        <is>
          <t>Sinal</t>
        </is>
      </c>
      <c r="E7" s="7" t="inlineStr">
        <is>
          <t>Índice de prontidão</t>
        </is>
      </c>
      <c r="F7" s="7" t="inlineStr">
        <is>
          <t>Quão preparada a pessoa está para a oportunidade-alvo?</t>
        </is>
      </c>
      <c r="G7" s="7" t="inlineStr">
        <is>
          <t>Score ponderado de requisitos, evidências e recência.</t>
        </is>
      </c>
      <c r="H7" s="7" t="inlineStr">
        <is>
          <t>Σ(nível × peso × confiança × recência) / Σ pesos</t>
        </is>
      </c>
      <c r="I7" s="7" t="inlineStr">
        <is>
          <t>score 0–100</t>
        </is>
      </c>
      <c r="J7" s="7" t="inlineStr">
        <is>
          <t>Maior é melhor</t>
        </is>
      </c>
      <c r="K7" s="7" t="inlineStr">
        <is>
          <t>Evento</t>
        </is>
      </c>
      <c r="L7" s="7" t="inlineStr">
        <is>
          <t>Competência + evidência + oportunidade</t>
        </is>
      </c>
      <c r="M7" s="7" t="inlineStr">
        <is>
          <t>competência, papel, cohort</t>
        </is>
      </c>
      <c r="N7" s="7" t="inlineStr">
        <is>
          <t>Inteligência</t>
        </is>
      </c>
      <c r="O7" s="7" t="inlineStr">
        <is>
          <t>Leading</t>
        </is>
      </c>
      <c r="P7" s="7" t="inlineStr">
        <is>
          <t>Produtividade / contratação</t>
        </is>
      </c>
      <c r="Q7" s="7" t="inlineStr">
        <is>
          <t>Usar como driver; monetizar somente via resultado posterior</t>
        </is>
      </c>
      <c r="R7" s="7" t="inlineStr">
        <is>
          <t>Descritivo</t>
        </is>
      </c>
      <c r="S7" s="7" t="inlineStr">
        <is>
          <t>Alta</t>
        </is>
      </c>
      <c r="T7" s="7" t="inlineStr">
        <is>
          <t>M0</t>
        </is>
      </c>
    </row>
    <row r="8" ht="62" customHeight="1">
      <c r="A8" s="6" t="inlineStr">
        <is>
          <t>PES-03</t>
        </is>
      </c>
      <c r="B8" s="6" t="inlineStr">
        <is>
          <t>Pessoas</t>
        </is>
      </c>
      <c r="C8" s="6" t="inlineStr">
        <is>
          <t>Pessoa</t>
        </is>
      </c>
      <c r="D8" s="6" t="inlineStr">
        <is>
          <t>Sinal</t>
        </is>
      </c>
      <c r="E8" s="6" t="inlineStr">
        <is>
          <t>Gap crítico de capacidade</t>
        </is>
      </c>
      <c r="F8" s="6" t="inlineStr">
        <is>
          <t>Quais lacunas bloqueiam resultado?</t>
        </is>
      </c>
      <c r="G8" s="6" t="inlineStr">
        <is>
          <t>Peso dos requisitos não atendidos.</t>
        </is>
      </c>
      <c r="H8" s="6" t="inlineStr">
        <is>
          <t>Σ pesos dos requisitos abaixo do nível mínimo</t>
        </is>
      </c>
      <c r="I8" s="6" t="inlineStr">
        <is>
          <t>pontos</t>
        </is>
      </c>
      <c r="J8" s="6" t="inlineStr">
        <is>
          <t>Menor é melhor</t>
        </is>
      </c>
      <c r="K8" s="6" t="inlineStr">
        <is>
          <t>Semanal</t>
        </is>
      </c>
      <c r="L8" s="6" t="inlineStr">
        <is>
          <t>Competência + oportunidade</t>
        </is>
      </c>
      <c r="M8" s="6" t="inlineStr">
        <is>
          <t>competência, função, empresa</t>
        </is>
      </c>
      <c r="N8" s="6" t="inlineStr">
        <is>
          <t>RH</t>
        </is>
      </c>
      <c r="O8" s="6" t="inlineStr">
        <is>
          <t>Leading</t>
        </is>
      </c>
      <c r="P8" s="6" t="inlineStr">
        <is>
          <t>Produtividade / risco</t>
        </is>
      </c>
      <c r="Q8" s="6" t="inlineStr">
        <is>
          <t>horas de improdutividade associadas × custo-hora</t>
        </is>
      </c>
      <c r="R8" s="6" t="inlineStr">
        <is>
          <t>Descritivo</t>
        </is>
      </c>
      <c r="S8" s="6" t="inlineStr">
        <is>
          <t>Alta</t>
        </is>
      </c>
      <c r="T8" s="6" t="inlineStr">
        <is>
          <t>M1</t>
        </is>
      </c>
    </row>
    <row r="9" ht="62" customHeight="1">
      <c r="A9" s="7" t="inlineStr">
        <is>
          <t>PES-04</t>
        </is>
      </c>
      <c r="B9" s="7" t="inlineStr">
        <is>
          <t>Pessoas</t>
        </is>
      </c>
      <c r="C9" s="7" t="inlineStr">
        <is>
          <t>Pessoa</t>
        </is>
      </c>
      <c r="D9" s="7" t="inlineStr">
        <is>
          <t>Ação</t>
        </is>
      </c>
      <c r="E9" s="7" t="inlineStr">
        <is>
          <t>Aceitação de recomendação</t>
        </is>
      </c>
      <c r="F9" s="7" t="inlineStr">
        <is>
          <t>A recomendação leva a uma ação?</t>
        </is>
      </c>
      <c r="G9" s="7" t="inlineStr">
        <is>
          <t>Recomendações aceitas no prazo.</t>
        </is>
      </c>
      <c r="H9" s="7" t="inlineStr">
        <is>
          <t>recomendações aceitas / recomendações entregues</t>
        </is>
      </c>
      <c r="I9" s="7" t="inlineStr">
        <is>
          <t>%</t>
        </is>
      </c>
      <c r="J9" s="7" t="inlineStr">
        <is>
          <t>Maior é melhor</t>
        </is>
      </c>
      <c r="K9" s="7" t="inlineStr">
        <is>
          <t>Semanal</t>
        </is>
      </c>
      <c r="L9" s="7" t="inlineStr">
        <is>
          <t>Recomendação + evento</t>
        </is>
      </c>
      <c r="M9" s="7" t="inlineStr">
        <is>
          <t>modelo, tipo, canal</t>
        </is>
      </c>
      <c r="N9" s="7" t="inlineStr">
        <is>
          <t>Produto</t>
        </is>
      </c>
      <c r="O9" s="7" t="inlineStr">
        <is>
          <t>Leading</t>
        </is>
      </c>
      <c r="P9" s="7" t="inlineStr">
        <is>
          <t>Conversão</t>
        </is>
      </c>
      <c r="Q9" s="7" t="inlineStr">
        <is>
          <t>valor médio do outcome × uplift de aceitação</t>
        </is>
      </c>
      <c r="R9" s="7" t="inlineStr">
        <is>
          <t>Descritivo</t>
        </is>
      </c>
      <c r="S9" s="7" t="inlineStr">
        <is>
          <t>Alta</t>
        </is>
      </c>
      <c r="T9" s="7" t="inlineStr">
        <is>
          <t>M0</t>
        </is>
      </c>
    </row>
    <row r="10" ht="62" customHeight="1">
      <c r="A10" s="6" t="inlineStr">
        <is>
          <t>PES-05</t>
        </is>
      </c>
      <c r="B10" s="6" t="inlineStr">
        <is>
          <t>Pessoas</t>
        </is>
      </c>
      <c r="C10" s="6" t="inlineStr">
        <is>
          <t>Pessoa</t>
        </is>
      </c>
      <c r="D10" s="6" t="inlineStr">
        <is>
          <t>Ação</t>
        </is>
      </c>
      <c r="E10" s="6" t="inlineStr">
        <is>
          <t>Conclusão de jornada</t>
        </is>
      </c>
      <c r="F10" s="6" t="inlineStr">
        <is>
          <t>A pessoa completa o caminho proposto?</t>
        </is>
      </c>
      <c r="G10" s="6" t="inlineStr">
        <is>
          <t>Jornadas concluídas entre as iniciadas.</t>
        </is>
      </c>
      <c r="H10" s="6" t="inlineStr">
        <is>
          <t>jornadas concluídas / jornadas iniciadas</t>
        </is>
      </c>
      <c r="I10" s="6" t="inlineStr">
        <is>
          <t>%</t>
        </is>
      </c>
      <c r="J10" s="6" t="inlineStr">
        <is>
          <t>Maior é melhor</t>
        </is>
      </c>
      <c r="K10" s="6" t="inlineStr">
        <is>
          <t>Semanal</t>
        </is>
      </c>
      <c r="L10" s="6" t="inlineStr">
        <is>
          <t>Jornada + eventos</t>
        </is>
      </c>
      <c r="M10" s="6" t="inlineStr">
        <is>
          <t>jornada, cohort, empresa</t>
        </is>
      </c>
      <c r="N10" s="6" t="inlineStr">
        <is>
          <t>Produto / LMS</t>
        </is>
      </c>
      <c r="O10" s="6" t="inlineStr">
        <is>
          <t>Leading</t>
        </is>
      </c>
      <c r="P10" s="6" t="inlineStr">
        <is>
          <t>Produtividade / retenção</t>
        </is>
      </c>
      <c r="Q10" s="6" t="inlineStr">
        <is>
          <t>concluintes × efeito médio monetizado</t>
        </is>
      </c>
      <c r="R10" s="6" t="inlineStr">
        <is>
          <t>Descritivo</t>
        </is>
      </c>
      <c r="S10" s="6" t="inlineStr">
        <is>
          <t>Alta</t>
        </is>
      </c>
      <c r="T10" s="6" t="inlineStr">
        <is>
          <t>M0</t>
        </is>
      </c>
    </row>
    <row r="11" ht="62" customHeight="1">
      <c r="A11" s="7" t="inlineStr">
        <is>
          <t>PES-06</t>
        </is>
      </c>
      <c r="B11" s="7" t="inlineStr">
        <is>
          <t>Pessoas</t>
        </is>
      </c>
      <c r="C11" s="7" t="inlineStr">
        <is>
          <t>Pessoa</t>
        </is>
      </c>
      <c r="D11" s="7" t="inlineStr">
        <is>
          <t>Resultado</t>
        </is>
      </c>
      <c r="E11" s="7" t="inlineStr">
        <is>
          <t>Evolução de capacidade</t>
        </is>
      </c>
      <c r="F11" s="7" t="inlineStr">
        <is>
          <t>A capacidade mudou após a jornada?</t>
        </is>
      </c>
      <c r="G11" s="7" t="inlineStr">
        <is>
          <t>Variação padronizada pré e pós.</t>
        </is>
      </c>
      <c r="H11" s="7" t="inlineStr">
        <is>
          <t>score pós − score pré</t>
        </is>
      </c>
      <c r="I11" s="7" t="inlineStr">
        <is>
          <t>p.p. ou score</t>
        </is>
      </c>
      <c r="J11" s="7" t="inlineStr">
        <is>
          <t>Maior é melhor</t>
        </is>
      </c>
      <c r="K11" s="7" t="inlineStr">
        <is>
          <t>Mensal</t>
        </is>
      </c>
      <c r="L11" s="7" t="inlineStr">
        <is>
          <t>Diagnóstico + cohort</t>
        </is>
      </c>
      <c r="M11" s="7" t="inlineStr">
        <is>
          <t>competência, jornada, empresa</t>
        </is>
      </c>
      <c r="N11" s="7" t="inlineStr">
        <is>
          <t>Inteligência</t>
        </is>
      </c>
      <c r="O11" s="7" t="inlineStr">
        <is>
          <t>Lagging</t>
        </is>
      </c>
      <c r="P11" s="7" t="inlineStr">
        <is>
          <t>Produtividade</t>
        </is>
      </c>
      <c r="Q11" s="7" t="inlineStr">
        <is>
          <t>pessoas × custo anual × ganho produtividade × atribuição</t>
        </is>
      </c>
      <c r="R11" s="7" t="inlineStr">
        <is>
          <t>Quase-experimental</t>
        </is>
      </c>
      <c r="S11" s="7" t="inlineStr">
        <is>
          <t>Alta</t>
        </is>
      </c>
      <c r="T11" s="7" t="inlineStr">
        <is>
          <t>M1</t>
        </is>
      </c>
    </row>
    <row r="12" ht="62" customHeight="1">
      <c r="A12" s="6" t="inlineStr">
        <is>
          <t>PES-07</t>
        </is>
      </c>
      <c r="B12" s="6" t="inlineStr">
        <is>
          <t>Pessoas</t>
        </is>
      </c>
      <c r="C12" s="6" t="inlineStr">
        <is>
          <t>Pessoa</t>
        </is>
      </c>
      <c r="D12" s="6" t="inlineStr">
        <is>
          <t>Resultado</t>
        </is>
      </c>
      <c r="E12" s="6" t="inlineStr">
        <is>
          <t>Tempo até oportunidade</t>
        </is>
      </c>
      <c r="F12" s="6" t="inlineStr">
        <is>
          <t>Quanto tempo leva para gerar oportunidade relevante?</t>
        </is>
      </c>
      <c r="G12" s="6" t="inlineStr">
        <is>
          <t>Dias do cadastro/prontidão até primeira oportunidade aceita.</t>
        </is>
      </c>
      <c r="H12" s="6" t="inlineStr">
        <is>
          <t>data oportunidade − data elegibilidade</t>
        </is>
      </c>
      <c r="I12" s="6" t="inlineStr">
        <is>
          <t>dias</t>
        </is>
      </c>
      <c r="J12" s="6" t="inlineStr">
        <is>
          <t>Menor é melhor</t>
        </is>
      </c>
      <c r="K12" s="6" t="inlineStr">
        <is>
          <t>Mensal</t>
        </is>
      </c>
      <c r="L12" s="6" t="inlineStr">
        <is>
          <t>Pessoa + oportunidade + match</t>
        </is>
      </c>
      <c r="M12" s="6" t="inlineStr">
        <is>
          <t>cohort, canal, empresa</t>
        </is>
      </c>
      <c r="N12" s="6" t="inlineStr">
        <is>
          <t>Operações</t>
        </is>
      </c>
      <c r="O12" s="6" t="inlineStr">
        <is>
          <t>Lagging</t>
        </is>
      </c>
      <c r="P12" s="6" t="inlineStr">
        <is>
          <t>Receita / empregabilidade</t>
        </is>
      </c>
      <c r="Q12" s="6" t="inlineStr">
        <is>
          <t>dias reduzidos × custo diário da vacância ou oportunidade</t>
        </is>
      </c>
      <c r="R12" s="6" t="inlineStr">
        <is>
          <t>Correlação</t>
        </is>
      </c>
      <c r="S12" s="6" t="inlineStr">
        <is>
          <t>Média</t>
        </is>
      </c>
      <c r="T12" s="6" t="inlineStr">
        <is>
          <t>M1</t>
        </is>
      </c>
    </row>
    <row r="13" ht="62" customHeight="1">
      <c r="A13" s="7" t="inlineStr">
        <is>
          <t>PES-08</t>
        </is>
      </c>
      <c r="B13" s="7" t="inlineStr">
        <is>
          <t>Pessoas</t>
        </is>
      </c>
      <c r="C13" s="7" t="inlineStr">
        <is>
          <t>Pessoa</t>
        </is>
      </c>
      <c r="D13" s="7" t="inlineStr">
        <is>
          <t>Resultado</t>
        </is>
      </c>
      <c r="E13" s="7" t="inlineStr">
        <is>
          <t>Mobilidade / conexão efetiva</t>
        </is>
      </c>
      <c r="F13" s="7" t="inlineStr">
        <is>
          <t>A conexão virou movimentação, projeto ou contrato?</t>
        </is>
      </c>
      <c r="G13" s="7" t="inlineStr">
        <is>
          <t>Pessoas com outcome confirmado após match.</t>
        </is>
      </c>
      <c r="H13" s="7" t="inlineStr">
        <is>
          <t>pessoas com outcome / pessoas com match aceito</t>
        </is>
      </c>
      <c r="I13" s="7" t="inlineStr">
        <is>
          <t>%</t>
        </is>
      </c>
      <c r="J13" s="7" t="inlineStr">
        <is>
          <t>Maior é melhor</t>
        </is>
      </c>
      <c r="K13" s="7" t="inlineStr">
        <is>
          <t>Mensal</t>
        </is>
      </c>
      <c r="L13" s="7" t="inlineStr">
        <is>
          <t>Match + outcome</t>
        </is>
      </c>
      <c r="M13" s="7" t="inlineStr">
        <is>
          <t>tipo de outcome, cohort</t>
        </is>
      </c>
      <c r="N13" s="7" t="inlineStr">
        <is>
          <t>Operações</t>
        </is>
      </c>
      <c r="O13" s="7" t="inlineStr">
        <is>
          <t>Lagging</t>
        </is>
      </c>
      <c r="P13" s="7" t="inlineStr">
        <is>
          <t>Receita / retenção</t>
        </is>
      </c>
      <c r="Q13" s="7" t="inlineStr">
        <is>
          <t>outcomes incrementais × valor médio</t>
        </is>
      </c>
      <c r="R13" s="7" t="inlineStr">
        <is>
          <t>Quase-experimental</t>
        </is>
      </c>
      <c r="S13" s="7" t="inlineStr">
        <is>
          <t>Alta</t>
        </is>
      </c>
      <c r="T13" s="7" t="inlineStr">
        <is>
          <t>M1</t>
        </is>
      </c>
    </row>
    <row r="14" ht="62" customHeight="1">
      <c r="A14" s="6" t="inlineStr">
        <is>
          <t>PES-09</t>
        </is>
      </c>
      <c r="B14" s="6" t="inlineStr">
        <is>
          <t>Pessoas</t>
        </is>
      </c>
      <c r="C14" s="6" t="inlineStr">
        <is>
          <t>Pessoa</t>
        </is>
      </c>
      <c r="D14" s="6" t="inlineStr">
        <is>
          <t>Resultado</t>
        </is>
      </c>
      <c r="E14" s="6" t="inlineStr">
        <is>
          <t>NPS da jornada</t>
        </is>
      </c>
      <c r="F14" s="6" t="inlineStr">
        <is>
          <t>A experiência gerou valor percebido?</t>
        </is>
      </c>
      <c r="G14" s="6" t="inlineStr">
        <is>
          <t>Net Promoter Score por jornada.</t>
        </is>
      </c>
      <c r="H14" s="6" t="inlineStr">
        <is>
          <t>% promotores − % detratores</t>
        </is>
      </c>
      <c r="I14" s="6" t="inlineStr">
        <is>
          <t>NPS</t>
        </is>
      </c>
      <c r="J14" s="6" t="inlineStr">
        <is>
          <t>Maior é melhor</t>
        </is>
      </c>
      <c r="K14" s="6" t="inlineStr">
        <is>
          <t>Mensal</t>
        </is>
      </c>
      <c r="L14" s="6" t="inlineStr">
        <is>
          <t>Pesquisa</t>
        </is>
      </c>
      <c r="M14" s="6" t="inlineStr">
        <is>
          <t>jornada, etapa, persona</t>
        </is>
      </c>
      <c r="N14" s="6" t="inlineStr">
        <is>
          <t>CX</t>
        </is>
      </c>
      <c r="O14" s="6" t="inlineStr">
        <is>
          <t>Lagging</t>
        </is>
      </c>
      <c r="P14" s="6" t="inlineStr">
        <is>
          <t>Retenção / indicação</t>
        </is>
      </c>
      <c r="Q14" s="6" t="inlineStr">
        <is>
          <t>não monetizar sem relação validada com churn</t>
        </is>
      </c>
      <c r="R14" s="6" t="inlineStr">
        <is>
          <t>Descritivo</t>
        </is>
      </c>
      <c r="S14" s="6" t="inlineStr">
        <is>
          <t>Média</t>
        </is>
      </c>
      <c r="T14" s="6" t="inlineStr">
        <is>
          <t>M1</t>
        </is>
      </c>
    </row>
    <row r="15" ht="62" customHeight="1">
      <c r="A15" s="7" t="inlineStr">
        <is>
          <t>PES-10</t>
        </is>
      </c>
      <c r="B15" s="7" t="inlineStr">
        <is>
          <t>Pessoas</t>
        </is>
      </c>
      <c r="C15" s="7" t="inlineStr">
        <is>
          <t>Pessoa</t>
        </is>
      </c>
      <c r="D15" s="7" t="inlineStr">
        <is>
          <t>Impacto</t>
        </is>
      </c>
      <c r="E15" s="7" t="inlineStr">
        <is>
          <t>Valor gerado por pessoa</t>
        </is>
      </c>
      <c r="F15" s="7" t="inlineStr">
        <is>
          <t>Quanto benefício comprovado foi associado a cada pessoa impactada?</t>
        </is>
      </c>
      <c r="G15" s="7" t="inlineStr">
        <is>
          <t>Benefício atribuído dividido pelo público elegível.</t>
        </is>
      </c>
      <c r="H15" s="7" t="inlineStr">
        <is>
          <t>benefício financeiro atribuído / pessoas impactadas</t>
        </is>
      </c>
      <c r="I15" s="7" t="inlineStr">
        <is>
          <t>R$/pessoa</t>
        </is>
      </c>
      <c r="J15" s="7" t="inlineStr">
        <is>
          <t>Maior é melhor</t>
        </is>
      </c>
      <c r="K15" s="7" t="inlineStr">
        <is>
          <t>Trimestral</t>
        </is>
      </c>
      <c r="L15" s="7" t="inlineStr">
        <is>
          <t>Outcomes + financeiro</t>
        </is>
      </c>
      <c r="M15" s="7" t="inlineStr">
        <is>
          <t>empresa, programa, cohort</t>
        </is>
      </c>
      <c r="N15" s="7" t="inlineStr">
        <is>
          <t>Financeiro</t>
        </is>
      </c>
      <c r="O15" s="7" t="inlineStr">
        <is>
          <t>Lagging</t>
        </is>
      </c>
      <c r="P15" s="7" t="inlineStr">
        <is>
          <t>Lucro / custo</t>
        </is>
      </c>
      <c r="Q15" s="7" t="inlineStr">
        <is>
          <t>benefícios atribuídos após deduplicação</t>
        </is>
      </c>
      <c r="R15" s="7" t="inlineStr">
        <is>
          <t>Quase-experimental</t>
        </is>
      </c>
      <c r="S15" s="7" t="inlineStr">
        <is>
          <t>Alta</t>
        </is>
      </c>
      <c r="T15" s="7" t="inlineStr">
        <is>
          <t>M2</t>
        </is>
      </c>
    </row>
    <row r="16" ht="62" customHeight="1">
      <c r="A16" s="6" t="inlineStr">
        <is>
          <t>RH-01</t>
        </is>
      </c>
      <c r="B16" s="6" t="inlineStr">
        <is>
          <t>Empresas / RH</t>
        </is>
      </c>
      <c r="C16" s="6" t="inlineStr">
        <is>
          <t>RH</t>
        </is>
      </c>
      <c r="D16" s="6" t="inlineStr">
        <is>
          <t>Insumo</t>
        </is>
      </c>
      <c r="E16" s="6" t="inlineStr">
        <is>
          <t>Cobertura de capacidades</t>
        </is>
      </c>
      <c r="F16" s="6" t="inlineStr">
        <is>
          <t>Quanto da força de trabalho possui capacidades mapeadas?</t>
        </is>
      </c>
      <c r="G16" s="6" t="inlineStr">
        <is>
          <t>Pessoas ativas com taxonomia válida.</t>
        </is>
      </c>
      <c r="H16" s="6" t="inlineStr">
        <is>
          <t>pessoas mapeadas / pessoas elegíveis</t>
        </is>
      </c>
      <c r="I16" s="6" t="inlineStr">
        <is>
          <t>%</t>
        </is>
      </c>
      <c r="J16" s="6" t="inlineStr">
        <is>
          <t>Maior é melhor</t>
        </is>
      </c>
      <c r="K16" s="6" t="inlineStr">
        <is>
          <t>Mensal</t>
        </is>
      </c>
      <c r="L16" s="6" t="inlineStr">
        <is>
          <t>HRIS + competência</t>
        </is>
      </c>
      <c r="M16" s="6" t="inlineStr">
        <is>
          <t>função, unidade, região</t>
        </is>
      </c>
      <c r="N16" s="6" t="inlineStr">
        <is>
          <t>RH</t>
        </is>
      </c>
      <c r="O16" s="6" t="inlineStr">
        <is>
          <t>Leading</t>
        </is>
      </c>
      <c r="P16" s="6" t="inlineStr">
        <is>
          <t>Risco / planejamento</t>
        </is>
      </c>
      <c r="Q16" s="6" t="inlineStr">
        <is>
          <t>não monetizar isoladamente</t>
        </is>
      </c>
      <c r="R16" s="6" t="inlineStr">
        <is>
          <t>Descritivo</t>
        </is>
      </c>
      <c r="S16" s="6" t="inlineStr">
        <is>
          <t>Alta</t>
        </is>
      </c>
      <c r="T16" s="6" t="inlineStr">
        <is>
          <t>M0</t>
        </is>
      </c>
    </row>
    <row r="17" ht="62" customHeight="1">
      <c r="A17" s="7" t="inlineStr">
        <is>
          <t>RH-02</t>
        </is>
      </c>
      <c r="B17" s="7" t="inlineStr">
        <is>
          <t>Empresas / RH</t>
        </is>
      </c>
      <c r="C17" s="7" t="inlineStr">
        <is>
          <t>RH</t>
        </is>
      </c>
      <c r="D17" s="7" t="inlineStr">
        <is>
          <t>Sinal</t>
        </is>
      </c>
      <c r="E17" s="7" t="inlineStr">
        <is>
          <t>Risco de lacuna crítica</t>
        </is>
      </c>
      <c r="F17" s="7" t="inlineStr">
        <is>
          <t>Onde faltam capacidades para a estratégia?</t>
        </is>
      </c>
      <c r="G17" s="7" t="inlineStr">
        <is>
          <t>Exposição ponderada a gaps críticos.</t>
        </is>
      </c>
      <c r="H17" s="7" t="inlineStr">
        <is>
          <t>Σ(gap × criticidade × população exposta)</t>
        </is>
      </c>
      <c r="I17" s="7" t="inlineStr">
        <is>
          <t>índice</t>
        </is>
      </c>
      <c r="J17" s="7" t="inlineStr">
        <is>
          <t>Menor é melhor</t>
        </is>
      </c>
      <c r="K17" s="7" t="inlineStr">
        <is>
          <t>Mensal</t>
        </is>
      </c>
      <c r="L17" s="7" t="inlineStr">
        <is>
          <t>Capacidade + estratégia</t>
        </is>
      </c>
      <c r="M17" s="7" t="inlineStr">
        <is>
          <t>função, unidade, capacidade</t>
        </is>
      </c>
      <c r="N17" s="7" t="inlineStr">
        <is>
          <t>RH / Estratégia</t>
        </is>
      </c>
      <c r="O17" s="7" t="inlineStr">
        <is>
          <t>Leading</t>
        </is>
      </c>
      <c r="P17" s="7" t="inlineStr">
        <is>
          <t>Risco / produtividade</t>
        </is>
      </c>
      <c r="Q17" s="7" t="inlineStr">
        <is>
          <t>probabilidade × impacto × redução atribuída</t>
        </is>
      </c>
      <c r="R17" s="7" t="inlineStr">
        <is>
          <t>Descritivo</t>
        </is>
      </c>
      <c r="S17" s="7" t="inlineStr">
        <is>
          <t>Alta</t>
        </is>
      </c>
      <c r="T17" s="7" t="inlineStr">
        <is>
          <t>M1</t>
        </is>
      </c>
    </row>
    <row r="18" ht="62" customHeight="1">
      <c r="A18" s="6" t="inlineStr">
        <is>
          <t>RH-03</t>
        </is>
      </c>
      <c r="B18" s="6" t="inlineStr">
        <is>
          <t>Empresas / RH</t>
        </is>
      </c>
      <c r="C18" s="6" t="inlineStr">
        <is>
          <t>RH</t>
        </is>
      </c>
      <c r="D18" s="6" t="inlineStr">
        <is>
          <t>Processo</t>
        </is>
      </c>
      <c r="E18" s="6" t="inlineStr">
        <is>
          <t>Time-to-fill</t>
        </is>
      </c>
      <c r="F18" s="6" t="inlineStr">
        <is>
          <t>Quanto tempo uma vaga crítica permanece aberta?</t>
        </is>
      </c>
      <c r="G18" s="6" t="inlineStr">
        <is>
          <t>Dias entre abertura e aceite.</t>
        </is>
      </c>
      <c r="H18" s="6" t="inlineStr">
        <is>
          <t>data aceite − data abertura</t>
        </is>
      </c>
      <c r="I18" s="6" t="inlineStr">
        <is>
          <t>dias</t>
        </is>
      </c>
      <c r="J18" s="6" t="inlineStr">
        <is>
          <t>Menor é melhor</t>
        </is>
      </c>
      <c r="K18" s="6" t="inlineStr">
        <is>
          <t>Mensal</t>
        </is>
      </c>
      <c r="L18" s="6" t="inlineStr">
        <is>
          <t>ATS</t>
        </is>
      </c>
      <c r="M18" s="6" t="inlineStr">
        <is>
          <t>função, senioridade, canal</t>
        </is>
      </c>
      <c r="N18" s="6" t="inlineStr">
        <is>
          <t>Talent Acquisition</t>
        </is>
      </c>
      <c r="O18" s="6" t="inlineStr">
        <is>
          <t>Lagging</t>
        </is>
      </c>
      <c r="P18" s="6" t="inlineStr">
        <is>
          <t>Custo</t>
        </is>
      </c>
      <c r="Q18" s="6" t="inlineStr">
        <is>
          <t>dias evitados × custo diário da vacância × atribuição</t>
        </is>
      </c>
      <c r="R18" s="6" t="inlineStr">
        <is>
          <t>Quase-experimental</t>
        </is>
      </c>
      <c r="S18" s="6" t="inlineStr">
        <is>
          <t>Alta</t>
        </is>
      </c>
      <c r="T18" s="6" t="inlineStr">
        <is>
          <t>M1</t>
        </is>
      </c>
    </row>
    <row r="19" ht="62" customHeight="1">
      <c r="A19" s="7" t="inlineStr">
        <is>
          <t>RH-04</t>
        </is>
      </c>
      <c r="B19" s="7" t="inlineStr">
        <is>
          <t>Empresas / RH</t>
        </is>
      </c>
      <c r="C19" s="7" t="inlineStr">
        <is>
          <t>RH</t>
        </is>
      </c>
      <c r="D19" s="7" t="inlineStr">
        <is>
          <t>Processo</t>
        </is>
      </c>
      <c r="E19" s="7" t="inlineStr">
        <is>
          <t>Custo por contratação</t>
        </is>
      </c>
      <c r="F19" s="7" t="inlineStr">
        <is>
          <t>Quanto custa cada contratação concluída?</t>
        </is>
      </c>
      <c r="G19" s="7" t="inlineStr">
        <is>
          <t>Custos de recrutamento divididos pelas admissões.</t>
        </is>
      </c>
      <c r="H19" s="7" t="inlineStr">
        <is>
          <t>custos atribuíveis / admissões</t>
        </is>
      </c>
      <c r="I19" s="7" t="inlineStr">
        <is>
          <t>R$/contratação</t>
        </is>
      </c>
      <c r="J19" s="7" t="inlineStr">
        <is>
          <t>Menor é melhor</t>
        </is>
      </c>
      <c r="K19" s="7" t="inlineStr">
        <is>
          <t>Mensal</t>
        </is>
      </c>
      <c r="L19" s="7" t="inlineStr">
        <is>
          <t>ATS + financeiro</t>
        </is>
      </c>
      <c r="M19" s="7" t="inlineStr">
        <is>
          <t>canal, função, cohort</t>
        </is>
      </c>
      <c r="N19" s="7" t="inlineStr">
        <is>
          <t>Talent Acquisition</t>
        </is>
      </c>
      <c r="O19" s="7" t="inlineStr">
        <is>
          <t>Lagging</t>
        </is>
      </c>
      <c r="P19" s="7" t="inlineStr">
        <is>
          <t>Custo</t>
        </is>
      </c>
      <c r="Q19" s="7" t="inlineStr">
        <is>
          <t>custo baseline − custo após HUB</t>
        </is>
      </c>
      <c r="R19" s="7" t="inlineStr">
        <is>
          <t>Quase-experimental</t>
        </is>
      </c>
      <c r="S19" s="7" t="inlineStr">
        <is>
          <t>Alta</t>
        </is>
      </c>
      <c r="T19" s="7" t="inlineStr">
        <is>
          <t>M1</t>
        </is>
      </c>
    </row>
    <row r="20" ht="62" customHeight="1">
      <c r="A20" s="6" t="inlineStr">
        <is>
          <t>RH-05</t>
        </is>
      </c>
      <c r="B20" s="6" t="inlineStr">
        <is>
          <t>Empresas / RH</t>
        </is>
      </c>
      <c r="C20" s="6" t="inlineStr">
        <is>
          <t>RH</t>
        </is>
      </c>
      <c r="D20" s="6" t="inlineStr">
        <is>
          <t>Resultado</t>
        </is>
      </c>
      <c r="E20" s="6" t="inlineStr">
        <is>
          <t>Qualidade da contratação</t>
        </is>
      </c>
      <c r="F20" s="6" t="inlineStr">
        <is>
          <t>A contratação permanece e performa?</t>
        </is>
      </c>
      <c r="G20" s="6" t="inlineStr">
        <is>
          <t>Score composto de desempenho, retenção e fit em 6/12 meses.</t>
        </is>
      </c>
      <c r="H20" s="6" t="inlineStr">
        <is>
          <t>média ponderada(performance, retenção, fit)</t>
        </is>
      </c>
      <c r="I20" s="6" t="inlineStr">
        <is>
          <t>score</t>
        </is>
      </c>
      <c r="J20" s="6" t="inlineStr">
        <is>
          <t>Maior é melhor</t>
        </is>
      </c>
      <c r="K20" s="6" t="inlineStr">
        <is>
          <t>Trimestral</t>
        </is>
      </c>
      <c r="L20" s="6" t="inlineStr">
        <is>
          <t>ATS + HRIS + performance</t>
        </is>
      </c>
      <c r="M20" s="6" t="inlineStr">
        <is>
          <t>função, canal, cohort</t>
        </is>
      </c>
      <c r="N20" s="6" t="inlineStr">
        <is>
          <t>RH</t>
        </is>
      </c>
      <c r="O20" s="6" t="inlineStr">
        <is>
          <t>Lagging</t>
        </is>
      </c>
      <c r="P20" s="6" t="inlineStr">
        <is>
          <t>Produtividade / retenção</t>
        </is>
      </c>
      <c r="Q20" s="6" t="inlineStr">
        <is>
          <t>uplift × custo de reposição ou valor de produtividade</t>
        </is>
      </c>
      <c r="R20" s="6" t="inlineStr">
        <is>
          <t>Quase-experimental</t>
        </is>
      </c>
      <c r="S20" s="6" t="inlineStr">
        <is>
          <t>Alta</t>
        </is>
      </c>
      <c r="T20" s="6" t="inlineStr">
        <is>
          <t>M2</t>
        </is>
      </c>
    </row>
    <row r="21" ht="62" customHeight="1">
      <c r="A21" s="7" t="inlineStr">
        <is>
          <t>RH-06</t>
        </is>
      </c>
      <c r="B21" s="7" t="inlineStr">
        <is>
          <t>Empresas / RH</t>
        </is>
      </c>
      <c r="C21" s="7" t="inlineStr">
        <is>
          <t>RH</t>
        </is>
      </c>
      <c r="D21" s="7" t="inlineStr">
        <is>
          <t>Resultado</t>
        </is>
      </c>
      <c r="E21" s="7" t="inlineStr">
        <is>
          <t>Time-to-productivity</t>
        </is>
      </c>
      <c r="F21" s="7" t="inlineStr">
        <is>
          <t>Em quanto tempo a pessoa atinge a performance esperada?</t>
        </is>
      </c>
      <c r="G21" s="7" t="inlineStr">
        <is>
          <t>Dias da admissão até marco de produtividade.</t>
        </is>
      </c>
      <c r="H21" s="7" t="inlineStr">
        <is>
          <t>data marco − data admissão</t>
        </is>
      </c>
      <c r="I21" s="7" t="inlineStr">
        <is>
          <t>dias</t>
        </is>
      </c>
      <c r="J21" s="7" t="inlineStr">
        <is>
          <t>Menor é melhor</t>
        </is>
      </c>
      <c r="K21" s="7" t="inlineStr">
        <is>
          <t>Mensal</t>
        </is>
      </c>
      <c r="L21" s="7" t="inlineStr">
        <is>
          <t>HRIS + performance</t>
        </is>
      </c>
      <c r="M21" s="7" t="inlineStr">
        <is>
          <t>função, jornada, cohort</t>
        </is>
      </c>
      <c r="N21" s="7" t="inlineStr">
        <is>
          <t>RH / Operação</t>
        </is>
      </c>
      <c r="O21" s="7" t="inlineStr">
        <is>
          <t>Lagging</t>
        </is>
      </c>
      <c r="P21" s="7" t="inlineStr">
        <is>
          <t>Produtividade</t>
        </is>
      </c>
      <c r="Q21" s="7" t="inlineStr">
        <is>
          <t>dias reduzidos × custo diário carregado × pessoas</t>
        </is>
      </c>
      <c r="R21" s="7" t="inlineStr">
        <is>
          <t>Quase-experimental</t>
        </is>
      </c>
      <c r="S21" s="7" t="inlineStr">
        <is>
          <t>Alta</t>
        </is>
      </c>
      <c r="T21" s="7" t="inlineStr">
        <is>
          <t>M2</t>
        </is>
      </c>
    </row>
    <row r="22" ht="62" customHeight="1">
      <c r="A22" s="6" t="inlineStr">
        <is>
          <t>RH-07</t>
        </is>
      </c>
      <c r="B22" s="6" t="inlineStr">
        <is>
          <t>Empresas / RH</t>
        </is>
      </c>
      <c r="C22" s="6" t="inlineStr">
        <is>
          <t>RH</t>
        </is>
      </c>
      <c r="D22" s="6" t="inlineStr">
        <is>
          <t>Resultado</t>
        </is>
      </c>
      <c r="E22" s="6" t="inlineStr">
        <is>
          <t>Turnover evitável</t>
        </is>
      </c>
      <c r="F22" s="6" t="inlineStr">
        <is>
          <t>A intervenção reduz saídas evitáveis?</t>
        </is>
      </c>
      <c r="G22" s="6" t="inlineStr">
        <is>
          <t>Diferença ajustada de turnover entre expostos e comparáveis.</t>
        </is>
      </c>
      <c r="H22" s="6" t="inlineStr">
        <is>
          <t>turnover controle − turnover exposto</t>
        </is>
      </c>
      <c r="I22" s="6" t="inlineStr">
        <is>
          <t>p.p.</t>
        </is>
      </c>
      <c r="J22" s="6" t="inlineStr">
        <is>
          <t>Maior é melhor</t>
        </is>
      </c>
      <c r="K22" s="6" t="inlineStr">
        <is>
          <t>Trimestral</t>
        </is>
      </c>
      <c r="L22" s="6" t="inlineStr">
        <is>
          <t>HRIS + cohort</t>
        </is>
      </c>
      <c r="M22" s="6" t="inlineStr">
        <is>
          <t>função, gestor, jornada</t>
        </is>
      </c>
      <c r="N22" s="6" t="inlineStr">
        <is>
          <t>People Analytics</t>
        </is>
      </c>
      <c r="O22" s="6" t="inlineStr">
        <is>
          <t>Lagging</t>
        </is>
      </c>
      <c r="P22" s="6" t="inlineStr">
        <is>
          <t>Custo / retenção</t>
        </is>
      </c>
      <c r="Q22" s="6" t="inlineStr">
        <is>
          <t>pessoas × redução turnover × custo reposição × atribuição</t>
        </is>
      </c>
      <c r="R22" s="6" t="inlineStr">
        <is>
          <t>Quase-experimental</t>
        </is>
      </c>
      <c r="S22" s="6" t="inlineStr">
        <is>
          <t>Alta</t>
        </is>
      </c>
      <c r="T22" s="6" t="inlineStr">
        <is>
          <t>M2</t>
        </is>
      </c>
    </row>
    <row r="23" ht="62" customHeight="1">
      <c r="A23" s="7" t="inlineStr">
        <is>
          <t>RH-08</t>
        </is>
      </c>
      <c r="B23" s="7" t="inlineStr">
        <is>
          <t>Empresas / RH</t>
        </is>
      </c>
      <c r="C23" s="7" t="inlineStr">
        <is>
          <t>RH</t>
        </is>
      </c>
      <c r="D23" s="7" t="inlineStr">
        <is>
          <t>Resultado</t>
        </is>
      </c>
      <c r="E23" s="7" t="inlineStr">
        <is>
          <t>Absenteísmo evitado</t>
        </is>
      </c>
      <c r="F23" s="7" t="inlineStr">
        <is>
          <t>A ação reduz dias perdidos?</t>
        </is>
      </c>
      <c r="G23" s="7" t="inlineStr">
        <is>
          <t>Diferença de dias de ausência ajustada.</t>
        </is>
      </c>
      <c r="H23" s="7" t="inlineStr">
        <is>
          <t>dias baseline − dias após</t>
        </is>
      </c>
      <c r="I23" s="7" t="inlineStr">
        <is>
          <t>dias</t>
        </is>
      </c>
      <c r="J23" s="7" t="inlineStr">
        <is>
          <t>Maior é melhor</t>
        </is>
      </c>
      <c r="K23" s="7" t="inlineStr">
        <is>
          <t>Mensal</t>
        </is>
      </c>
      <c r="L23" s="7" t="inlineStr">
        <is>
          <t>HRIS / saúde</t>
        </is>
      </c>
      <c r="M23" s="7" t="inlineStr">
        <is>
          <t>unidade, cohort, causa</t>
        </is>
      </c>
      <c r="N23" s="7" t="inlineStr">
        <is>
          <t>RH</t>
        </is>
      </c>
      <c r="O23" s="7" t="inlineStr">
        <is>
          <t>Lagging</t>
        </is>
      </c>
      <c r="P23" s="7" t="inlineStr">
        <is>
          <t>Produtividade / custo</t>
        </is>
      </c>
      <c r="Q23" s="7" t="inlineStr">
        <is>
          <t>dias evitados × custo diário × atribuição</t>
        </is>
      </c>
      <c r="R23" s="7" t="inlineStr">
        <is>
          <t>Quase-experimental</t>
        </is>
      </c>
      <c r="S23" s="7" t="inlineStr">
        <is>
          <t>Média</t>
        </is>
      </c>
      <c r="T23" s="7" t="inlineStr">
        <is>
          <t>M2</t>
        </is>
      </c>
    </row>
    <row r="24" ht="62" customHeight="1">
      <c r="A24" s="6" t="inlineStr">
        <is>
          <t>RH-09</t>
        </is>
      </c>
      <c r="B24" s="6" t="inlineStr">
        <is>
          <t>Empresas / RH</t>
        </is>
      </c>
      <c r="C24" s="6" t="inlineStr">
        <is>
          <t>Executiva</t>
        </is>
      </c>
      <c r="D24" s="6" t="inlineStr">
        <is>
          <t>Impacto</t>
        </is>
      </c>
      <c r="E24" s="6" t="inlineStr">
        <is>
          <t>Ganho de produtividade</t>
        </is>
      </c>
      <c r="F24" s="6" t="inlineStr">
        <is>
          <t>Qual valor do tempo ou output adicional?</t>
        </is>
      </c>
      <c r="G24" s="6" t="inlineStr">
        <is>
          <t>Valor monetizado da melhoria atribuída.</t>
        </is>
      </c>
      <c r="H24" s="6" t="inlineStr">
        <is>
          <t>pessoas × custo anual × % ganho × atribuição</t>
        </is>
      </c>
      <c r="I24" s="6" t="inlineStr">
        <is>
          <t>R$</t>
        </is>
      </c>
      <c r="J24" s="6" t="inlineStr">
        <is>
          <t>Maior é melhor</t>
        </is>
      </c>
      <c r="K24" s="6" t="inlineStr">
        <is>
          <t>Trimestral</t>
        </is>
      </c>
      <c r="L24" s="6" t="inlineStr">
        <is>
          <t>Performance + financeiro</t>
        </is>
      </c>
      <c r="M24" s="6" t="inlineStr">
        <is>
          <t>unidade, programa, cohort</t>
        </is>
      </c>
      <c r="N24" s="6" t="inlineStr">
        <is>
          <t>Financeiro</t>
        </is>
      </c>
      <c r="O24" s="6" t="inlineStr">
        <is>
          <t>Lagging</t>
        </is>
      </c>
      <c r="P24" s="6" t="inlineStr">
        <is>
          <t>Lucro / produtividade</t>
        </is>
      </c>
      <c r="Q24" s="6" t="inlineStr">
        <is>
          <t>fórmula direta com teto de atribuição</t>
        </is>
      </c>
      <c r="R24" s="6" t="inlineStr">
        <is>
          <t>Quase-experimental</t>
        </is>
      </c>
      <c r="S24" s="6" t="inlineStr">
        <is>
          <t>Alta</t>
        </is>
      </c>
      <c r="T24" s="6" t="inlineStr">
        <is>
          <t>M2</t>
        </is>
      </c>
    </row>
    <row r="25" ht="62" customHeight="1">
      <c r="A25" s="7" t="inlineStr">
        <is>
          <t>RH-10</t>
        </is>
      </c>
      <c r="B25" s="7" t="inlineStr">
        <is>
          <t>Empresas / RH</t>
        </is>
      </c>
      <c r="C25" s="7" t="inlineStr">
        <is>
          <t>Executiva</t>
        </is>
      </c>
      <c r="D25" s="7" t="inlineStr">
        <is>
          <t>Impacto</t>
        </is>
      </c>
      <c r="E25" s="7" t="inlineStr">
        <is>
          <t>ROI de desenvolvimento</t>
        </is>
      </c>
      <c r="F25" s="7" t="inlineStr">
        <is>
          <t>O desenvolvimento compensa o investimento?</t>
        </is>
      </c>
      <c r="G25" s="7" t="inlineStr">
        <is>
          <t>Retorno financeiro líquido das jornadas.</t>
        </is>
      </c>
      <c r="H25" s="7" t="inlineStr">
        <is>
          <t>(benefícios atribuídos − custo total) / custo total</t>
        </is>
      </c>
      <c r="I25" s="7" t="inlineStr">
        <is>
          <t>%</t>
        </is>
      </c>
      <c r="J25" s="7" t="inlineStr">
        <is>
          <t>Maior é melhor</t>
        </is>
      </c>
      <c r="K25" s="7" t="inlineStr">
        <is>
          <t>Trimestral</t>
        </is>
      </c>
      <c r="L25" s="7" t="inlineStr">
        <is>
          <t>Financeiro + outcomes</t>
        </is>
      </c>
      <c r="M25" s="7" t="inlineStr">
        <is>
          <t>programa, unidade, cohort</t>
        </is>
      </c>
      <c r="N25" s="7" t="inlineStr">
        <is>
          <t>Financeiro / RH</t>
        </is>
      </c>
      <c r="O25" s="7" t="inlineStr">
        <is>
          <t>Lagging</t>
        </is>
      </c>
      <c r="P25" s="7" t="inlineStr">
        <is>
          <t>ROI</t>
        </is>
      </c>
      <c r="Q25" s="7" t="inlineStr">
        <is>
          <t>benefício líquido / investimento</t>
        </is>
      </c>
      <c r="R25" s="7" t="inlineStr">
        <is>
          <t>Quase-experimental</t>
        </is>
      </c>
      <c r="S25" s="7" t="inlineStr">
        <is>
          <t>Alta</t>
        </is>
      </c>
      <c r="T25" s="7" t="inlineStr">
        <is>
          <t>M2</t>
        </is>
      </c>
    </row>
    <row r="26" ht="62" customHeight="1">
      <c r="A26" s="6" t="inlineStr">
        <is>
          <t>COM-01</t>
        </is>
      </c>
      <c r="B26" s="6" t="inlineStr">
        <is>
          <t>Compras / Fornecedores</t>
        </is>
      </c>
      <c r="C26" s="6" t="inlineStr">
        <is>
          <t>Compras</t>
        </is>
      </c>
      <c r="D26" s="6" t="inlineStr">
        <is>
          <t>Insumo</t>
        </is>
      </c>
      <c r="E26" s="6" t="inlineStr">
        <is>
          <t>Cobertura de categorias</t>
        </is>
      </c>
      <c r="F26" s="6" t="inlineStr">
        <is>
          <t>Há oferta qualificada para as demandas críticas?</t>
        </is>
      </c>
      <c r="G26" s="6" t="inlineStr">
        <is>
          <t>Categorias com fornecedores elegíveis.</t>
        </is>
      </c>
      <c r="H26" s="6" t="inlineStr">
        <is>
          <t>categorias cobertas / categorias prioritárias</t>
        </is>
      </c>
      <c r="I26" s="6" t="inlineStr">
        <is>
          <t>%</t>
        </is>
      </c>
      <c r="J26" s="6" t="inlineStr">
        <is>
          <t>Maior é melhor</t>
        </is>
      </c>
      <c r="K26" s="6" t="inlineStr">
        <is>
          <t>Mensal</t>
        </is>
      </c>
      <c r="L26" s="6" t="inlineStr">
        <is>
          <t>Fornecedor + categoria</t>
        </is>
      </c>
      <c r="M26" s="6" t="inlineStr">
        <is>
          <t>categoria, região, porte</t>
        </is>
      </c>
      <c r="N26" s="6" t="inlineStr">
        <is>
          <t>Compras</t>
        </is>
      </c>
      <c r="O26" s="6" t="inlineStr">
        <is>
          <t>Leading</t>
        </is>
      </c>
      <c r="P26" s="6" t="inlineStr">
        <is>
          <t>Risco / continuidade</t>
        </is>
      </c>
      <c r="Q26" s="6" t="inlineStr">
        <is>
          <t>não monetizar isoladamente</t>
        </is>
      </c>
      <c r="R26" s="6" t="inlineStr">
        <is>
          <t>Descritivo</t>
        </is>
      </c>
      <c r="S26" s="6" t="inlineStr">
        <is>
          <t>Alta</t>
        </is>
      </c>
      <c r="T26" s="6" t="inlineStr">
        <is>
          <t>M0</t>
        </is>
      </c>
    </row>
    <row r="27" ht="62" customHeight="1">
      <c r="A27" s="7" t="inlineStr">
        <is>
          <t>COM-02</t>
        </is>
      </c>
      <c r="B27" s="7" t="inlineStr">
        <is>
          <t>Compras / Fornecedores</t>
        </is>
      </c>
      <c r="C27" s="7" t="inlineStr">
        <is>
          <t>Compras</t>
        </is>
      </c>
      <c r="D27" s="7" t="inlineStr">
        <is>
          <t>Processo</t>
        </is>
      </c>
      <c r="E27" s="7" t="inlineStr">
        <is>
          <t>Tempo de homologação</t>
        </is>
      </c>
      <c r="F27" s="7" t="inlineStr">
        <is>
          <t>Quanto tempo leva para qualificar oferta?</t>
        </is>
      </c>
      <c r="G27" s="7" t="inlineStr">
        <is>
          <t>Dias entre início e aprovação.</t>
        </is>
      </c>
      <c r="H27" s="7" t="inlineStr">
        <is>
          <t>data aprovação − data início</t>
        </is>
      </c>
      <c r="I27" s="7" t="inlineStr">
        <is>
          <t>dias</t>
        </is>
      </c>
      <c r="J27" s="7" t="inlineStr">
        <is>
          <t>Menor é melhor</t>
        </is>
      </c>
      <c r="K27" s="7" t="inlineStr">
        <is>
          <t>Mensal</t>
        </is>
      </c>
      <c r="L27" s="7" t="inlineStr">
        <is>
          <t>Compras + fornecedor</t>
        </is>
      </c>
      <c r="M27" s="7" t="inlineStr">
        <is>
          <t>categoria, complexidade</t>
        </is>
      </c>
      <c r="N27" s="7" t="inlineStr">
        <is>
          <t>Compras</t>
        </is>
      </c>
      <c r="O27" s="7" t="inlineStr">
        <is>
          <t>Lagging</t>
        </is>
      </c>
      <c r="P27" s="7" t="inlineStr">
        <is>
          <t>Custo / ciclo</t>
        </is>
      </c>
      <c r="Q27" s="7" t="inlineStr">
        <is>
          <t>dias reduzidos × custo da equipe + custo de atraso</t>
        </is>
      </c>
      <c r="R27" s="7" t="inlineStr">
        <is>
          <t>Quase-experimental</t>
        </is>
      </c>
      <c r="S27" s="7" t="inlineStr">
        <is>
          <t>Alta</t>
        </is>
      </c>
      <c r="T27" s="7" t="inlineStr">
        <is>
          <t>M1</t>
        </is>
      </c>
    </row>
    <row r="28" ht="62" customHeight="1">
      <c r="A28" s="6" t="inlineStr">
        <is>
          <t>COM-03</t>
        </is>
      </c>
      <c r="B28" s="6" t="inlineStr">
        <is>
          <t>Compras / Fornecedores</t>
        </is>
      </c>
      <c r="C28" s="6" t="inlineStr">
        <is>
          <t>Compras</t>
        </is>
      </c>
      <c r="D28" s="6" t="inlineStr">
        <is>
          <t>Processo</t>
        </is>
      </c>
      <c r="E28" s="6" t="inlineStr">
        <is>
          <t>Taxa de match elegível</t>
        </is>
      </c>
      <c r="F28" s="6" t="inlineStr">
        <is>
          <t>A plataforma encontra oferta realmente apta?</t>
        </is>
      </c>
      <c r="G28" s="6" t="inlineStr">
        <is>
          <t>Matches que atendem requisitos obrigatórios.</t>
        </is>
      </c>
      <c r="H28" s="6" t="inlineStr">
        <is>
          <t>matches elegíveis / matches gerados</t>
        </is>
      </c>
      <c r="I28" s="6" t="inlineStr">
        <is>
          <t>%</t>
        </is>
      </c>
      <c r="J28" s="6" t="inlineStr">
        <is>
          <t>Maior é melhor</t>
        </is>
      </c>
      <c r="K28" s="6" t="inlineStr">
        <is>
          <t>Semanal</t>
        </is>
      </c>
      <c r="L28" s="6" t="inlineStr">
        <is>
          <t>Match + oportunidade</t>
        </is>
      </c>
      <c r="M28" s="6" t="inlineStr">
        <is>
          <t>categoria, modelo, entidade</t>
        </is>
      </c>
      <c r="N28" s="6" t="inlineStr">
        <is>
          <t>Inteligência</t>
        </is>
      </c>
      <c r="O28" s="6" t="inlineStr">
        <is>
          <t>Leading</t>
        </is>
      </c>
      <c r="P28" s="6" t="inlineStr">
        <is>
          <t>Conversão / risco</t>
        </is>
      </c>
      <c r="Q28" s="6" t="inlineStr">
        <is>
          <t>valor de ciclo evitado por match inválido</t>
        </is>
      </c>
      <c r="R28" s="6" t="inlineStr">
        <is>
          <t>Descritivo</t>
        </is>
      </c>
      <c r="S28" s="6" t="inlineStr">
        <is>
          <t>Alta</t>
        </is>
      </c>
      <c r="T28" s="6" t="inlineStr">
        <is>
          <t>M0</t>
        </is>
      </c>
    </row>
    <row r="29" ht="62" customHeight="1">
      <c r="A29" s="7" t="inlineStr">
        <is>
          <t>COM-04</t>
        </is>
      </c>
      <c r="B29" s="7" t="inlineStr">
        <is>
          <t>Compras / Fornecedores</t>
        </is>
      </c>
      <c r="C29" s="7" t="inlineStr">
        <is>
          <t>Compras</t>
        </is>
      </c>
      <c r="D29" s="7" t="inlineStr">
        <is>
          <t>Processo</t>
        </is>
      </c>
      <c r="E29" s="7" t="inlineStr">
        <is>
          <t>Ciclo de contratação</t>
        </is>
      </c>
      <c r="F29" s="7" t="inlineStr">
        <is>
          <t>Quanto tempo do pedido ao contrato?</t>
        </is>
      </c>
      <c r="G29" s="7" t="inlineStr">
        <is>
          <t>Dias entre demanda e assinatura.</t>
        </is>
      </c>
      <c r="H29" s="7" t="inlineStr">
        <is>
          <t>data contrato − data demanda</t>
        </is>
      </c>
      <c r="I29" s="7" t="inlineStr">
        <is>
          <t>dias</t>
        </is>
      </c>
      <c r="J29" s="7" t="inlineStr">
        <is>
          <t>Menor é melhor</t>
        </is>
      </c>
      <c r="K29" s="7" t="inlineStr">
        <is>
          <t>Mensal</t>
        </is>
      </c>
      <c r="L29" s="7" t="inlineStr">
        <is>
          <t>Oportunidade + contrato</t>
        </is>
      </c>
      <c r="M29" s="7" t="inlineStr">
        <is>
          <t>categoria, valor, complexidade</t>
        </is>
      </c>
      <c r="N29" s="7" t="inlineStr">
        <is>
          <t>Compras</t>
        </is>
      </c>
      <c r="O29" s="7" t="inlineStr">
        <is>
          <t>Lagging</t>
        </is>
      </c>
      <c r="P29" s="7" t="inlineStr">
        <is>
          <t>Custo / receita</t>
        </is>
      </c>
      <c r="Q29" s="7" t="inlineStr">
        <is>
          <t>dias reduzidos × custo do atraso</t>
        </is>
      </c>
      <c r="R29" s="7" t="inlineStr">
        <is>
          <t>Quase-experimental</t>
        </is>
      </c>
      <c r="S29" s="7" t="inlineStr">
        <is>
          <t>Alta</t>
        </is>
      </c>
      <c r="T29" s="7" t="inlineStr">
        <is>
          <t>M1</t>
        </is>
      </c>
    </row>
    <row r="30" ht="62" customHeight="1">
      <c r="A30" s="6" t="inlineStr">
        <is>
          <t>COM-05</t>
        </is>
      </c>
      <c r="B30" s="6" t="inlineStr">
        <is>
          <t>Compras / Fornecedores</t>
        </is>
      </c>
      <c r="C30" s="6" t="inlineStr">
        <is>
          <t>Compras</t>
        </is>
      </c>
      <c r="D30" s="6" t="inlineStr">
        <is>
          <t>Resultado</t>
        </is>
      </c>
      <c r="E30" s="6" t="inlineStr">
        <is>
          <t>Conversão match → contrato</t>
        </is>
      </c>
      <c r="F30" s="6" t="inlineStr">
        <is>
          <t>Quantas conexões viram negócio?</t>
        </is>
      </c>
      <c r="G30" s="6" t="inlineStr">
        <is>
          <t>Contratos originados de matches aceitos.</t>
        </is>
      </c>
      <c r="H30" s="6" t="inlineStr">
        <is>
          <t>contratos / matches aceitos</t>
        </is>
      </c>
      <c r="I30" s="6" t="inlineStr">
        <is>
          <t>%</t>
        </is>
      </c>
      <c r="J30" s="6" t="inlineStr">
        <is>
          <t>Maior é melhor</t>
        </is>
      </c>
      <c r="K30" s="6" t="inlineStr">
        <is>
          <t>Mensal</t>
        </is>
      </c>
      <c r="L30" s="6" t="inlineStr">
        <is>
          <t>Match + contrato</t>
        </is>
      </c>
      <c r="M30" s="6" t="inlineStr">
        <is>
          <t>categoria, entidade, empresa</t>
        </is>
      </c>
      <c r="N30" s="6" t="inlineStr">
        <is>
          <t>Marketplace</t>
        </is>
      </c>
      <c r="O30" s="6" t="inlineStr">
        <is>
          <t>Lagging</t>
        </is>
      </c>
      <c r="P30" s="6" t="inlineStr">
        <is>
          <t>Receita / eficiência</t>
        </is>
      </c>
      <c r="Q30" s="6" t="inlineStr">
        <is>
          <t>contratos incrementais × margem média</t>
        </is>
      </c>
      <c r="R30" s="6" t="inlineStr">
        <is>
          <t>Quase-experimental</t>
        </is>
      </c>
      <c r="S30" s="6" t="inlineStr">
        <is>
          <t>Alta</t>
        </is>
      </c>
      <c r="T30" s="6" t="inlineStr">
        <is>
          <t>M1</t>
        </is>
      </c>
    </row>
    <row r="31" ht="62" customHeight="1">
      <c r="A31" s="7" t="inlineStr">
        <is>
          <t>COM-06</t>
        </is>
      </c>
      <c r="B31" s="7" t="inlineStr">
        <is>
          <t>Compras / Fornecedores</t>
        </is>
      </c>
      <c r="C31" s="7" t="inlineStr">
        <is>
          <t>Executiva</t>
        </is>
      </c>
      <c r="D31" s="7" t="inlineStr">
        <is>
          <t>Impacto</t>
        </is>
      </c>
      <c r="E31" s="7" t="inlineStr">
        <is>
          <t>Saving comprovado</t>
        </is>
      </c>
      <c r="F31" s="7" t="inlineStr">
        <is>
          <t>Quanto custo foi reduzido sem perda de qualidade?</t>
        </is>
      </c>
      <c r="G31" s="7" t="inlineStr">
        <is>
          <t>Diferença ajustada entre preço de referência e realizado.</t>
        </is>
      </c>
      <c r="H31" s="7" t="inlineStr">
        <is>
          <t>(preço referência − preço realizado) × volume × atribuição</t>
        </is>
      </c>
      <c r="I31" s="7" t="inlineStr">
        <is>
          <t>R$</t>
        </is>
      </c>
      <c r="J31" s="7" t="inlineStr">
        <is>
          <t>Maior é melhor</t>
        </is>
      </c>
      <c r="K31" s="7" t="inlineStr">
        <is>
          <t>Mensal</t>
        </is>
      </c>
      <c r="L31" s="7" t="inlineStr">
        <is>
          <t>Compras + financeiro</t>
        </is>
      </c>
      <c r="M31" s="7" t="inlineStr">
        <is>
          <t>categoria, contrato, empresa</t>
        </is>
      </c>
      <c r="N31" s="7" t="inlineStr">
        <is>
          <t>Compras / Financeiro</t>
        </is>
      </c>
      <c r="O31" s="7" t="inlineStr">
        <is>
          <t>Lagging</t>
        </is>
      </c>
      <c r="P31" s="7" t="inlineStr">
        <is>
          <t>Custo / margem</t>
        </is>
      </c>
      <c r="Q31" s="7" t="inlineStr">
        <is>
          <t>saving validado pela controladoria</t>
        </is>
      </c>
      <c r="R31" s="7" t="inlineStr">
        <is>
          <t>Quase-experimental</t>
        </is>
      </c>
      <c r="S31" s="7" t="inlineStr">
        <is>
          <t>Alta</t>
        </is>
      </c>
      <c r="T31" s="7" t="inlineStr">
        <is>
          <t>M2</t>
        </is>
      </c>
    </row>
    <row r="32" ht="62" customHeight="1">
      <c r="A32" s="6" t="inlineStr">
        <is>
          <t>COM-07</t>
        </is>
      </c>
      <c r="B32" s="6" t="inlineStr">
        <is>
          <t>Compras / Fornecedores</t>
        </is>
      </c>
      <c r="C32" s="6" t="inlineStr">
        <is>
          <t>Compras</t>
        </is>
      </c>
      <c r="D32" s="6" t="inlineStr">
        <is>
          <t>Resultado</t>
        </is>
      </c>
      <c r="E32" s="6" t="inlineStr">
        <is>
          <t>Desempenho do fornecedor</t>
        </is>
      </c>
      <c r="F32" s="6" t="inlineStr">
        <is>
          <t>A nova oferta entrega qualidade, prazo e serviço?</t>
        </is>
      </c>
      <c r="G32" s="6" t="inlineStr">
        <is>
          <t>Score pós-contratação.</t>
        </is>
      </c>
      <c r="H32" s="6" t="inlineStr">
        <is>
          <t>média ponderada(qualidade, prazo, SLA, risco)</t>
        </is>
      </c>
      <c r="I32" s="6" t="inlineStr">
        <is>
          <t>score</t>
        </is>
      </c>
      <c r="J32" s="6" t="inlineStr">
        <is>
          <t>Maior é melhor</t>
        </is>
      </c>
      <c r="K32" s="6" t="inlineStr">
        <is>
          <t>Mensal</t>
        </is>
      </c>
      <c r="L32" s="6" t="inlineStr">
        <is>
          <t>SRM / contrato</t>
        </is>
      </c>
      <c r="M32" s="6" t="inlineStr">
        <is>
          <t>categoria, fornecedor</t>
        </is>
      </c>
      <c r="N32" s="6" t="inlineStr">
        <is>
          <t>Compras</t>
        </is>
      </c>
      <c r="O32" s="6" t="inlineStr">
        <is>
          <t>Lagging</t>
        </is>
      </c>
      <c r="P32" s="6" t="inlineStr">
        <is>
          <t>Risco / custo</t>
        </is>
      </c>
      <c r="Q32" s="6" t="inlineStr">
        <is>
          <t>falhas evitadas × custo médio</t>
        </is>
      </c>
      <c r="R32" s="6" t="inlineStr">
        <is>
          <t>Correlação</t>
        </is>
      </c>
      <c r="S32" s="6" t="inlineStr">
        <is>
          <t>Média</t>
        </is>
      </c>
      <c r="T32" s="6" t="inlineStr">
        <is>
          <t>M2</t>
        </is>
      </c>
    </row>
    <row r="33" ht="62" customHeight="1">
      <c r="A33" s="7" t="inlineStr">
        <is>
          <t>COM-08</t>
        </is>
      </c>
      <c r="B33" s="7" t="inlineStr">
        <is>
          <t>Compras / Fornecedores</t>
        </is>
      </c>
      <c r="C33" s="7" t="inlineStr">
        <is>
          <t>Executiva</t>
        </is>
      </c>
      <c r="D33" s="7" t="inlineStr">
        <is>
          <t>Impacto</t>
        </is>
      </c>
      <c r="E33" s="7" t="inlineStr">
        <is>
          <t>Spend influenciado pela HUB</t>
        </is>
      </c>
      <c r="F33" s="7" t="inlineStr">
        <is>
          <t>Qual volume de compras passou pela inteligência?</t>
        </is>
      </c>
      <c r="G33" s="7" t="inlineStr">
        <is>
          <t>Valor de contratos com touchpoint rastreado.</t>
        </is>
      </c>
      <c r="H33" s="7" t="inlineStr">
        <is>
          <t>Σ valor dos contratos influenciados</t>
        </is>
      </c>
      <c r="I33" s="7" t="inlineStr">
        <is>
          <t>R$</t>
        </is>
      </c>
      <c r="J33" s="7" t="inlineStr">
        <is>
          <t>Contextual</t>
        </is>
      </c>
      <c r="K33" s="7" t="inlineStr">
        <is>
          <t>Mensal</t>
        </is>
      </c>
      <c r="L33" s="7" t="inlineStr">
        <is>
          <t>Contrato + atribuição</t>
        </is>
      </c>
      <c r="M33" s="7" t="inlineStr">
        <is>
          <t>categoria, empresa, entidade</t>
        </is>
      </c>
      <c r="N33" s="7" t="inlineStr">
        <is>
          <t>Marketplace</t>
        </is>
      </c>
      <c r="O33" s="7" t="inlineStr">
        <is>
          <t>Lagging</t>
        </is>
      </c>
      <c r="P33" s="7" t="inlineStr">
        <is>
          <t>GMV / take rate</t>
        </is>
      </c>
      <c r="Q33" s="7" t="inlineStr">
        <is>
          <t>spend influenciado × take rate</t>
        </is>
      </c>
      <c r="R33" s="7" t="inlineStr">
        <is>
          <t>Descritivo</t>
        </is>
      </c>
      <c r="S33" s="7" t="inlineStr">
        <is>
          <t>Alta</t>
        </is>
      </c>
      <c r="T33" s="7" t="inlineStr">
        <is>
          <t>M1</t>
        </is>
      </c>
    </row>
    <row r="34" ht="62" customHeight="1">
      <c r="A34" s="6" t="inlineStr">
        <is>
          <t>COM-09</t>
        </is>
      </c>
      <c r="B34" s="6" t="inlineStr">
        <is>
          <t>Compras / Fornecedores</t>
        </is>
      </c>
      <c r="C34" s="6" t="inlineStr">
        <is>
          <t>Executiva</t>
        </is>
      </c>
      <c r="D34" s="6" t="inlineStr">
        <is>
          <t>Impacto</t>
        </is>
      </c>
      <c r="E34" s="6" t="inlineStr">
        <is>
          <t>Risco de fornecimento evitado</t>
        </is>
      </c>
      <c r="F34" s="6" t="inlineStr">
        <is>
          <t>Qual perda esperada foi reduzida?</t>
        </is>
      </c>
      <c r="G34" s="6" t="inlineStr">
        <is>
          <t>Redução de probabilidade/impacto após mitigação.</t>
        </is>
      </c>
      <c r="H34" s="6" t="inlineStr">
        <is>
          <t>perda esperada baseline × redução × atribuição</t>
        </is>
      </c>
      <c r="I34" s="6" t="inlineStr">
        <is>
          <t>R$</t>
        </is>
      </c>
      <c r="J34" s="6" t="inlineStr">
        <is>
          <t>Maior é melhor</t>
        </is>
      </c>
      <c r="K34" s="6" t="inlineStr">
        <is>
          <t>Trimestral</t>
        </is>
      </c>
      <c r="L34" s="6" t="inlineStr">
        <is>
          <t>GRC + SRM</t>
        </is>
      </c>
      <c r="M34" s="6" t="inlineStr">
        <is>
          <t>categoria, risco, empresa</t>
        </is>
      </c>
      <c r="N34" s="6" t="inlineStr">
        <is>
          <t>Riscos</t>
        </is>
      </c>
      <c r="O34" s="6" t="inlineStr">
        <is>
          <t>Lagging</t>
        </is>
      </c>
      <c r="P34" s="6" t="inlineStr">
        <is>
          <t>Risco evitado</t>
        </is>
      </c>
      <c r="Q34" s="6" t="inlineStr">
        <is>
          <t>probabilidade × impacto × delta × atribuição</t>
        </is>
      </c>
      <c r="R34" s="6" t="inlineStr">
        <is>
          <t>Quase-experimental</t>
        </is>
      </c>
      <c r="S34" s="6" t="inlineStr">
        <is>
          <t>Média</t>
        </is>
      </c>
      <c r="T34" s="6" t="inlineStr">
        <is>
          <t>M2</t>
        </is>
      </c>
    </row>
    <row r="35" ht="62" customHeight="1">
      <c r="A35" s="7" t="inlineStr">
        <is>
          <t>ENT-01</t>
        </is>
      </c>
      <c r="B35" s="7" t="inlineStr">
        <is>
          <t>Entidades / Ecossistema</t>
        </is>
      </c>
      <c r="C35" s="7" t="inlineStr">
        <is>
          <t>Entidade</t>
        </is>
      </c>
      <c r="D35" s="7" t="inlineStr">
        <is>
          <t>Insumo</t>
        </is>
      </c>
      <c r="E35" s="7" t="inlineStr">
        <is>
          <t>Cobertura de associados</t>
        </is>
      </c>
      <c r="F35" s="7" t="inlineStr">
        <is>
          <t>Quanto do ecossistema possui dados utilizáveis?</t>
        </is>
      </c>
      <c r="G35" s="7" t="inlineStr">
        <is>
          <t>Associados ativos integrados.</t>
        </is>
      </c>
      <c r="H35" s="7" t="inlineStr">
        <is>
          <t>associados com dados / associados ativos</t>
        </is>
      </c>
      <c r="I35" s="7" t="inlineStr">
        <is>
          <t>%</t>
        </is>
      </c>
      <c r="J35" s="7" t="inlineStr">
        <is>
          <t>Maior é melhor</t>
        </is>
      </c>
      <c r="K35" s="7" t="inlineStr">
        <is>
          <t>Mensal</t>
        </is>
      </c>
      <c r="L35" s="7" t="inlineStr">
        <is>
          <t>CRM + vínculo</t>
        </is>
      </c>
      <c r="M35" s="7" t="inlineStr">
        <is>
          <t>setor, região, porte</t>
        </is>
      </c>
      <c r="N35" s="7" t="inlineStr">
        <is>
          <t>Entidade</t>
        </is>
      </c>
      <c r="O35" s="7" t="inlineStr">
        <is>
          <t>Leading</t>
        </is>
      </c>
      <c r="P35" s="7" t="inlineStr">
        <is>
          <t>Retenção / inteligência</t>
        </is>
      </c>
      <c r="Q35" s="7" t="inlineStr">
        <is>
          <t>não monetizar isoladamente</t>
        </is>
      </c>
      <c r="R35" s="7" t="inlineStr">
        <is>
          <t>Descritivo</t>
        </is>
      </c>
      <c r="S35" s="7" t="inlineStr">
        <is>
          <t>Alta</t>
        </is>
      </c>
      <c r="T35" s="7" t="inlineStr">
        <is>
          <t>M0</t>
        </is>
      </c>
    </row>
    <row r="36" ht="62" customHeight="1">
      <c r="A36" s="6" t="inlineStr">
        <is>
          <t>ENT-02</t>
        </is>
      </c>
      <c r="B36" s="6" t="inlineStr">
        <is>
          <t>Entidades / Ecossistema</t>
        </is>
      </c>
      <c r="C36" s="6" t="inlineStr">
        <is>
          <t>Entidade</t>
        </is>
      </c>
      <c r="D36" s="6" t="inlineStr">
        <is>
          <t>Ação</t>
        </is>
      </c>
      <c r="E36" s="6" t="inlineStr">
        <is>
          <t>Ativação de associados</t>
        </is>
      </c>
      <c r="F36" s="6" t="inlineStr">
        <is>
          <t>Quantos associados usam ao menos um serviço de valor?</t>
        </is>
      </c>
      <c r="G36" s="6" t="inlineStr">
        <is>
          <t>Associados ativos em 30 dias.</t>
        </is>
      </c>
      <c r="H36" s="6" t="inlineStr">
        <is>
          <t>associados com evento-chave / associados elegíveis</t>
        </is>
      </c>
      <c r="I36" s="6" t="inlineStr">
        <is>
          <t>%</t>
        </is>
      </c>
      <c r="J36" s="6" t="inlineStr">
        <is>
          <t>Maior é melhor</t>
        </is>
      </c>
      <c r="K36" s="6" t="inlineStr">
        <is>
          <t>Mensal</t>
        </is>
      </c>
      <c r="L36" s="6" t="inlineStr">
        <is>
          <t>Eventos + CRM</t>
        </is>
      </c>
      <c r="M36" s="6" t="inlineStr">
        <is>
          <t>serviço, segmento</t>
        </is>
      </c>
      <c r="N36" s="6" t="inlineStr">
        <is>
          <t>CS</t>
        </is>
      </c>
      <c r="O36" s="6" t="inlineStr">
        <is>
          <t>Leading</t>
        </is>
      </c>
      <c r="P36" s="6" t="inlineStr">
        <is>
          <t>Retenção / expansão</t>
        </is>
      </c>
      <c r="Q36" s="6" t="inlineStr">
        <is>
          <t>uplift de renovação × receita média</t>
        </is>
      </c>
      <c r="R36" s="6" t="inlineStr">
        <is>
          <t>Descritivo</t>
        </is>
      </c>
      <c r="S36" s="6" t="inlineStr">
        <is>
          <t>Alta</t>
        </is>
      </c>
      <c r="T36" s="6" t="inlineStr">
        <is>
          <t>M0</t>
        </is>
      </c>
    </row>
    <row r="37" ht="62" customHeight="1">
      <c r="A37" s="7" t="inlineStr">
        <is>
          <t>ENT-03</t>
        </is>
      </c>
      <c r="B37" s="7" t="inlineStr">
        <is>
          <t>Entidades / Ecossistema</t>
        </is>
      </c>
      <c r="C37" s="7" t="inlineStr">
        <is>
          <t>Entidade</t>
        </is>
      </c>
      <c r="D37" s="7" t="inlineStr">
        <is>
          <t>Resultado</t>
        </is>
      </c>
      <c r="E37" s="7" t="inlineStr">
        <is>
          <t>Densidade da rede</t>
        </is>
      </c>
      <c r="F37" s="7" t="inlineStr">
        <is>
          <t>O ecossistema cria conexões úteis?</t>
        </is>
      </c>
      <c r="G37" s="7" t="inlineStr">
        <is>
          <t>Conexões efetivas sobre conexões possíveis/qualificadas.</t>
        </is>
      </c>
      <c r="H37" s="7" t="inlineStr">
        <is>
          <t>conexões efetivas / conexões qualificadas possíveis</t>
        </is>
      </c>
      <c r="I37" s="7" t="inlineStr">
        <is>
          <t>%</t>
        </is>
      </c>
      <c r="J37" s="7" t="inlineStr">
        <is>
          <t>Maior é melhor</t>
        </is>
      </c>
      <c r="K37" s="7" t="inlineStr">
        <is>
          <t>Mensal</t>
        </is>
      </c>
      <c r="L37" s="7" t="inlineStr">
        <is>
          <t>Match + vínculo</t>
        </is>
      </c>
      <c r="M37" s="7" t="inlineStr">
        <is>
          <t>tipo de conexão, setor</t>
        </is>
      </c>
      <c r="N37" s="7" t="inlineStr">
        <is>
          <t>Inteligência</t>
        </is>
      </c>
      <c r="O37" s="7" t="inlineStr">
        <is>
          <t>Lagging</t>
        </is>
      </c>
      <c r="P37" s="7" t="inlineStr">
        <is>
          <t>Receita / inovação</t>
        </is>
      </c>
      <c r="Q37" s="7" t="inlineStr">
        <is>
          <t>conexões incrementais × valor médio</t>
        </is>
      </c>
      <c r="R37" s="7" t="inlineStr">
        <is>
          <t>Correlação</t>
        </is>
      </c>
      <c r="S37" s="7" t="inlineStr">
        <is>
          <t>Média</t>
        </is>
      </c>
      <c r="T37" s="7" t="inlineStr">
        <is>
          <t>M1</t>
        </is>
      </c>
    </row>
    <row r="38" ht="62" customHeight="1">
      <c r="A38" s="6" t="inlineStr">
        <is>
          <t>ENT-04</t>
        </is>
      </c>
      <c r="B38" s="6" t="inlineStr">
        <is>
          <t>Entidades / Ecossistema</t>
        </is>
      </c>
      <c r="C38" s="6" t="inlineStr">
        <is>
          <t>Entidade</t>
        </is>
      </c>
      <c r="D38" s="6" t="inlineStr">
        <is>
          <t>Resultado</t>
        </is>
      </c>
      <c r="E38" s="6" t="inlineStr">
        <is>
          <t>Valor entregue por associado</t>
        </is>
      </c>
      <c r="F38" s="6" t="inlineStr">
        <is>
          <t>Quanto benefício mensurável chega a cada associado?</t>
        </is>
      </c>
      <c r="G38" s="6" t="inlineStr">
        <is>
          <t>Benefício atribuído por associado ativo.</t>
        </is>
      </c>
      <c r="H38" s="6" t="inlineStr">
        <is>
          <t>benefício atribuído / associados ativos</t>
        </is>
      </c>
      <c r="I38" s="6" t="inlineStr">
        <is>
          <t>R$/associado</t>
        </is>
      </c>
      <c r="J38" s="6" t="inlineStr">
        <is>
          <t>Maior é melhor</t>
        </is>
      </c>
      <c r="K38" s="6" t="inlineStr">
        <is>
          <t>Trimestral</t>
        </is>
      </c>
      <c r="L38" s="6" t="inlineStr">
        <is>
          <t>Outcomes + financeiro</t>
        </is>
      </c>
      <c r="M38" s="6" t="inlineStr">
        <is>
          <t>segmento, serviço</t>
        </is>
      </c>
      <c r="N38" s="6" t="inlineStr">
        <is>
          <t>Financeiro / Entidade</t>
        </is>
      </c>
      <c r="O38" s="6" t="inlineStr">
        <is>
          <t>Lagging</t>
        </is>
      </c>
      <c r="P38" s="6" t="inlineStr">
        <is>
          <t>Retenção / receita</t>
        </is>
      </c>
      <c r="Q38" s="6" t="inlineStr">
        <is>
          <t>benefício deduplicado / associados</t>
        </is>
      </c>
      <c r="R38" s="6" t="inlineStr">
        <is>
          <t>Quase-experimental</t>
        </is>
      </c>
      <c r="S38" s="6" t="inlineStr">
        <is>
          <t>Alta</t>
        </is>
      </c>
      <c r="T38" s="6" t="inlineStr">
        <is>
          <t>M2</t>
        </is>
      </c>
    </row>
    <row r="39" ht="62" customHeight="1">
      <c r="A39" s="7" t="inlineStr">
        <is>
          <t>ENT-05</t>
        </is>
      </c>
      <c r="B39" s="7" t="inlineStr">
        <is>
          <t>Entidades / Ecossistema</t>
        </is>
      </c>
      <c r="C39" s="7" t="inlineStr">
        <is>
          <t>Entidade</t>
        </is>
      </c>
      <c r="D39" s="7" t="inlineStr">
        <is>
          <t>Resultado</t>
        </is>
      </c>
      <c r="E39" s="7" t="inlineStr">
        <is>
          <t>Renovação de associados</t>
        </is>
      </c>
      <c r="F39" s="7" t="inlineStr">
        <is>
          <t>O valor percebido aumenta permanência?</t>
        </is>
      </c>
      <c r="G39" s="7" t="inlineStr">
        <is>
          <t>Taxa de renovação elegível.</t>
        </is>
      </c>
      <c r="H39" s="7" t="inlineStr">
        <is>
          <t>renovações / contratos elegíveis</t>
        </is>
      </c>
      <c r="I39" s="7" t="inlineStr">
        <is>
          <t>%</t>
        </is>
      </c>
      <c r="J39" s="7" t="inlineStr">
        <is>
          <t>Maior é melhor</t>
        </is>
      </c>
      <c r="K39" s="7" t="inlineStr">
        <is>
          <t>Mensal</t>
        </is>
      </c>
      <c r="L39" s="7" t="inlineStr">
        <is>
          <t>CRM + contrato</t>
        </is>
      </c>
      <c r="M39" s="7" t="inlineStr">
        <is>
          <t>tier, segmento, uso</t>
        </is>
      </c>
      <c r="N39" s="7" t="inlineStr">
        <is>
          <t>CS</t>
        </is>
      </c>
      <c r="O39" s="7" t="inlineStr">
        <is>
          <t>Lagging</t>
        </is>
      </c>
      <c r="P39" s="7" t="inlineStr">
        <is>
          <t>Receita recorrente</t>
        </is>
      </c>
      <c r="Q39" s="7" t="inlineStr">
        <is>
          <t>renovações incrementais × ARR médio × margem</t>
        </is>
      </c>
      <c r="R39" s="7" t="inlineStr">
        <is>
          <t>Quase-experimental</t>
        </is>
      </c>
      <c r="S39" s="7" t="inlineStr">
        <is>
          <t>Alta</t>
        </is>
      </c>
      <c r="T39" s="7" t="inlineStr">
        <is>
          <t>M2</t>
        </is>
      </c>
    </row>
    <row r="40" ht="62" customHeight="1">
      <c r="A40" s="6" t="inlineStr">
        <is>
          <t>ENT-06</t>
        </is>
      </c>
      <c r="B40" s="6" t="inlineStr">
        <is>
          <t>Entidades / Ecossistema</t>
        </is>
      </c>
      <c r="C40" s="6" t="inlineStr">
        <is>
          <t>Executiva</t>
        </is>
      </c>
      <c r="D40" s="6" t="inlineStr">
        <is>
          <t>Impacto</t>
        </is>
      </c>
      <c r="E40" s="6" t="inlineStr">
        <is>
          <t>Receita de novos serviços</t>
        </is>
      </c>
      <c r="F40" s="6" t="inlineStr">
        <is>
          <t>A inteligência cria ofertas monetizáveis?</t>
        </is>
      </c>
      <c r="G40" s="6" t="inlineStr">
        <is>
          <t>Receita de serviços originados por insights da plataforma.</t>
        </is>
      </c>
      <c r="H40" s="6" t="inlineStr">
        <is>
          <t>Σ receita reconhecida de serviços com origem HUB</t>
        </is>
      </c>
      <c r="I40" s="6" t="inlineStr">
        <is>
          <t>R$</t>
        </is>
      </c>
      <c r="J40" s="6" t="inlineStr">
        <is>
          <t>Maior é melhor</t>
        </is>
      </c>
      <c r="K40" s="6" t="inlineStr">
        <is>
          <t>Mensal</t>
        </is>
      </c>
      <c r="L40" s="6" t="inlineStr">
        <is>
          <t>Contrato + origem</t>
        </is>
      </c>
      <c r="M40" s="6" t="inlineStr">
        <is>
          <t>serviço, entidade, segmento</t>
        </is>
      </c>
      <c r="N40" s="6" t="inlineStr">
        <is>
          <t>Comercial</t>
        </is>
      </c>
      <c r="O40" s="6" t="inlineStr">
        <is>
          <t>Lagging</t>
        </is>
      </c>
      <c r="P40" s="6" t="inlineStr">
        <is>
          <t>Receita / margem</t>
        </is>
      </c>
      <c r="Q40" s="6" t="inlineStr">
        <is>
          <t>receita × margem de contribuição</t>
        </is>
      </c>
      <c r="R40" s="6" t="inlineStr">
        <is>
          <t>Descritivo</t>
        </is>
      </c>
      <c r="S40" s="6" t="inlineStr">
        <is>
          <t>Alta</t>
        </is>
      </c>
      <c r="T40" s="6" t="inlineStr">
        <is>
          <t>M1</t>
        </is>
      </c>
    </row>
    <row r="41" ht="62" customHeight="1">
      <c r="A41" s="7" t="inlineStr">
        <is>
          <t>ENT-07</t>
        </is>
      </c>
      <c r="B41" s="7" t="inlineStr">
        <is>
          <t>Entidades / Ecossistema</t>
        </is>
      </c>
      <c r="C41" s="7" t="inlineStr">
        <is>
          <t>Entidade</t>
        </is>
      </c>
      <c r="D41" s="7" t="inlineStr">
        <is>
          <t>Resultado</t>
        </is>
      </c>
      <c r="E41" s="7" t="inlineStr">
        <is>
          <t>Adoção de benchmark</t>
        </is>
      </c>
      <c r="F41" s="7" t="inlineStr">
        <is>
          <t>O associado usa inteligência para decidir?</t>
        </is>
      </c>
      <c r="G41" s="7" t="inlineStr">
        <is>
          <t>Empresas que consultam e executam ação após benchmark.</t>
        </is>
      </c>
      <c r="H41" s="7" t="inlineStr">
        <is>
          <t>associados com ação / associados expostos</t>
        </is>
      </c>
      <c r="I41" s="7" t="inlineStr">
        <is>
          <t>%</t>
        </is>
      </c>
      <c r="J41" s="7" t="inlineStr">
        <is>
          <t>Maior é melhor</t>
        </is>
      </c>
      <c r="K41" s="7" t="inlineStr">
        <is>
          <t>Trimestral</t>
        </is>
      </c>
      <c r="L41" s="7" t="inlineStr">
        <is>
          <t>Benchmark + eventos</t>
        </is>
      </c>
      <c r="M41" s="7" t="inlineStr">
        <is>
          <t>tema, segmento</t>
        </is>
      </c>
      <c r="N41" s="7" t="inlineStr">
        <is>
          <t>Inteligência</t>
        </is>
      </c>
      <c r="O41" s="7" t="inlineStr">
        <is>
          <t>Lagging</t>
        </is>
      </c>
      <c r="P41" s="7" t="inlineStr">
        <is>
          <t>Produtividade / risco</t>
        </is>
      </c>
      <c r="Q41" s="7" t="inlineStr">
        <is>
          <t>ações incrementais × valor médio validado</t>
        </is>
      </c>
      <c r="R41" s="7" t="inlineStr">
        <is>
          <t>Correlação</t>
        </is>
      </c>
      <c r="S41" s="7" t="inlineStr">
        <is>
          <t>Média</t>
        </is>
      </c>
      <c r="T41" s="7" t="inlineStr">
        <is>
          <t>M2</t>
        </is>
      </c>
    </row>
    <row r="42" ht="62" customHeight="1">
      <c r="A42" s="6" t="inlineStr">
        <is>
          <t>ENT-08</t>
        </is>
      </c>
      <c r="B42" s="6" t="inlineStr">
        <is>
          <t>Entidades / Ecossistema</t>
        </is>
      </c>
      <c r="C42" s="6" t="inlineStr">
        <is>
          <t>Executiva</t>
        </is>
      </c>
      <c r="D42" s="6" t="inlineStr">
        <is>
          <t>Impacto</t>
        </is>
      </c>
      <c r="E42" s="6" t="inlineStr">
        <is>
          <t>Impacto econômico do ecossistema</t>
        </is>
      </c>
      <c r="F42" s="6" t="inlineStr">
        <is>
          <t>Quanto valor total a rede gerou?</t>
        </is>
      </c>
      <c r="G42" s="6" t="inlineStr">
        <is>
          <t>Soma deduplicada de margem, saving, produtividade e risco atribuídos.</t>
        </is>
      </c>
      <c r="H42" s="6" t="inlineStr">
        <is>
          <t>Σ benefícios atribuídos e deduplicados</t>
        </is>
      </c>
      <c r="I42" s="6" t="inlineStr">
        <is>
          <t>R$</t>
        </is>
      </c>
      <c r="J42" s="6" t="inlineStr">
        <is>
          <t>Maior é melhor</t>
        </is>
      </c>
      <c r="K42" s="6" t="inlineStr">
        <is>
          <t>Semestral</t>
        </is>
      </c>
      <c r="L42" s="6" t="inlineStr">
        <is>
          <t>Data mart financeiro</t>
        </is>
      </c>
      <c r="M42" s="6" t="inlineStr">
        <is>
          <t>entidade, setor, região</t>
        </is>
      </c>
      <c r="N42" s="6" t="inlineStr">
        <is>
          <t>Financeiro</t>
        </is>
      </c>
      <c r="O42" s="6" t="inlineStr">
        <is>
          <t>Lagging</t>
        </is>
      </c>
      <c r="P42" s="6" t="inlineStr">
        <is>
          <t>Impacto / retenção</t>
        </is>
      </c>
      <c r="Q42" s="6" t="inlineStr">
        <is>
          <t>soma por alavanca após regras de não dupla contagem</t>
        </is>
      </c>
      <c r="R42" s="6" t="inlineStr">
        <is>
          <t>Quase-experimental</t>
        </is>
      </c>
      <c r="S42" s="6" t="inlineStr">
        <is>
          <t>Alta</t>
        </is>
      </c>
      <c r="T42" s="6" t="inlineStr">
        <is>
          <t>M2</t>
        </is>
      </c>
    </row>
    <row r="43" ht="62" customHeight="1">
      <c r="A43" s="7" t="inlineStr">
        <is>
          <t>MKT-01</t>
        </is>
      </c>
      <c r="B43" s="7" t="inlineStr">
        <is>
          <t>Marketing / Mídia</t>
        </is>
      </c>
      <c r="C43" s="7" t="inlineStr">
        <is>
          <t>Marketing</t>
        </is>
      </c>
      <c r="D43" s="7" t="inlineStr">
        <is>
          <t>Insumo</t>
        </is>
      </c>
      <c r="E43" s="7" t="inlineStr">
        <is>
          <t>Alcance qualificado</t>
        </is>
      </c>
      <c r="F43" s="7" t="inlineStr">
        <is>
          <t>A mensagem chegou ao público elegível?</t>
        </is>
      </c>
      <c r="G43" s="7" t="inlineStr">
        <is>
          <t>Pessoas/empresas únicas dentro do ICP.</t>
        </is>
      </c>
      <c r="H43" s="7" t="inlineStr">
        <is>
          <t>usuários únicos elegíveis alcançados</t>
        </is>
      </c>
      <c r="I43" s="7" t="inlineStr">
        <is>
          <t>pessoas/empresas</t>
        </is>
      </c>
      <c r="J43" s="7" t="inlineStr">
        <is>
          <t>Maior é melhor</t>
        </is>
      </c>
      <c r="K43" s="7" t="inlineStr">
        <is>
          <t>Semanal</t>
        </is>
      </c>
      <c r="L43" s="7" t="inlineStr">
        <is>
          <t>Mídia + CRM</t>
        </is>
      </c>
      <c r="M43" s="7" t="inlineStr">
        <is>
          <t>canal, campanha, segmento</t>
        </is>
      </c>
      <c r="N43" s="7" t="inlineStr">
        <is>
          <t>Marketing</t>
        </is>
      </c>
      <c r="O43" s="7" t="inlineStr">
        <is>
          <t>Leading</t>
        </is>
      </c>
      <c r="P43" s="7" t="inlineStr">
        <is>
          <t>Pipeline</t>
        </is>
      </c>
      <c r="Q43" s="7" t="inlineStr">
        <is>
          <t>não monetizar isoladamente</t>
        </is>
      </c>
      <c r="R43" s="7" t="inlineStr">
        <is>
          <t>Descritivo</t>
        </is>
      </c>
      <c r="S43" s="7" t="inlineStr">
        <is>
          <t>Média</t>
        </is>
      </c>
      <c r="T43" s="7" t="inlineStr">
        <is>
          <t>M0</t>
        </is>
      </c>
    </row>
    <row r="44" ht="62" customHeight="1">
      <c r="A44" s="6" t="inlineStr">
        <is>
          <t>MKT-02</t>
        </is>
      </c>
      <c r="B44" s="6" t="inlineStr">
        <is>
          <t>Marketing / Mídia</t>
        </is>
      </c>
      <c r="C44" s="6" t="inlineStr">
        <is>
          <t>Marketing</t>
        </is>
      </c>
      <c r="D44" s="6" t="inlineStr">
        <is>
          <t>Ação</t>
        </is>
      </c>
      <c r="E44" s="6" t="inlineStr">
        <is>
          <t>Custo por lead qualificado</t>
        </is>
      </c>
      <c r="F44" s="6" t="inlineStr">
        <is>
          <t>Quanto custa gerar demanda realmente útil?</t>
        </is>
      </c>
      <c r="G44" s="6" t="inlineStr">
        <is>
          <t>Investimento por lead que atende ICP.</t>
        </is>
      </c>
      <c r="H44" s="6" t="inlineStr">
        <is>
          <t>custo de mídia / leads qualificados</t>
        </is>
      </c>
      <c r="I44" s="6" t="inlineStr">
        <is>
          <t>R$/lead</t>
        </is>
      </c>
      <c r="J44" s="6" t="inlineStr">
        <is>
          <t>Menor é melhor</t>
        </is>
      </c>
      <c r="K44" s="6" t="inlineStr">
        <is>
          <t>Semanal</t>
        </is>
      </c>
      <c r="L44" s="6" t="inlineStr">
        <is>
          <t>Mídia + CRM</t>
        </is>
      </c>
      <c r="M44" s="6" t="inlineStr">
        <is>
          <t>canal, campanha, ICP</t>
        </is>
      </c>
      <c r="N44" s="6" t="inlineStr">
        <is>
          <t>Marketing</t>
        </is>
      </c>
      <c r="O44" s="6" t="inlineStr">
        <is>
          <t>Lagging</t>
        </is>
      </c>
      <c r="P44" s="6" t="inlineStr">
        <is>
          <t>CAC / custo</t>
        </is>
      </c>
      <c r="Q44" s="6" t="inlineStr">
        <is>
          <t>baseline CPL − CPL atual × volume</t>
        </is>
      </c>
      <c r="R44" s="6" t="inlineStr">
        <is>
          <t>Descritivo</t>
        </is>
      </c>
      <c r="S44" s="6" t="inlineStr">
        <is>
          <t>Alta</t>
        </is>
      </c>
      <c r="T44" s="6" t="inlineStr">
        <is>
          <t>M0</t>
        </is>
      </c>
    </row>
    <row r="45" ht="62" customHeight="1">
      <c r="A45" s="7" t="inlineStr">
        <is>
          <t>MKT-03</t>
        </is>
      </c>
      <c r="B45" s="7" t="inlineStr">
        <is>
          <t>Marketing / Mídia</t>
        </is>
      </c>
      <c r="C45" s="7" t="inlineStr">
        <is>
          <t>Marketing</t>
        </is>
      </c>
      <c r="D45" s="7" t="inlineStr">
        <is>
          <t>Resultado</t>
        </is>
      </c>
      <c r="E45" s="7" t="inlineStr">
        <is>
          <t>Conversão lead → oportunidade</t>
        </is>
      </c>
      <c r="F45" s="7" t="inlineStr">
        <is>
          <t>A demanda vira conversa comercial?</t>
        </is>
      </c>
      <c r="G45" s="7" t="inlineStr">
        <is>
          <t>Oportunidades criadas entre leads qualificados.</t>
        </is>
      </c>
      <c r="H45" s="7" t="inlineStr">
        <is>
          <t>oportunidades / leads qualificados</t>
        </is>
      </c>
      <c r="I45" s="7" t="inlineStr">
        <is>
          <t>%</t>
        </is>
      </c>
      <c r="J45" s="7" t="inlineStr">
        <is>
          <t>Maior é melhor</t>
        </is>
      </c>
      <c r="K45" s="7" t="inlineStr">
        <is>
          <t>Semanal</t>
        </is>
      </c>
      <c r="L45" s="7" t="inlineStr">
        <is>
          <t>CRM</t>
        </is>
      </c>
      <c r="M45" s="7" t="inlineStr">
        <is>
          <t>canal, campanha, segmento</t>
        </is>
      </c>
      <c r="N45" s="7" t="inlineStr">
        <is>
          <t>Marketing / Vendas</t>
        </is>
      </c>
      <c r="O45" s="7" t="inlineStr">
        <is>
          <t>Lagging</t>
        </is>
      </c>
      <c r="P45" s="7" t="inlineStr">
        <is>
          <t>Pipeline / receita</t>
        </is>
      </c>
      <c r="Q45" s="7" t="inlineStr">
        <is>
          <t>oportunidades incrementais × win rate × margem média</t>
        </is>
      </c>
      <c r="R45" s="7" t="inlineStr">
        <is>
          <t>Descritivo</t>
        </is>
      </c>
      <c r="S45" s="7" t="inlineStr">
        <is>
          <t>Alta</t>
        </is>
      </c>
      <c r="T45" s="7" t="inlineStr">
        <is>
          <t>M0</t>
        </is>
      </c>
    </row>
    <row r="46" ht="62" customHeight="1">
      <c r="A46" s="6" t="inlineStr">
        <is>
          <t>MKT-04</t>
        </is>
      </c>
      <c r="B46" s="6" t="inlineStr">
        <is>
          <t>Marketing / Mídia</t>
        </is>
      </c>
      <c r="C46" s="6" t="inlineStr">
        <is>
          <t>Executiva</t>
        </is>
      </c>
      <c r="D46" s="6" t="inlineStr">
        <is>
          <t>Impacto</t>
        </is>
      </c>
      <c r="E46" s="6" t="inlineStr">
        <is>
          <t>Pipeline influenciado</t>
        </is>
      </c>
      <c r="F46" s="6" t="inlineStr">
        <is>
          <t>Qual valor de oportunidades recebeu influência rastreada?</t>
        </is>
      </c>
      <c r="G46" s="6" t="inlineStr">
        <is>
          <t>Valor ponderado das oportunidades com touchpoint válido.</t>
        </is>
      </c>
      <c r="H46" s="6" t="inlineStr">
        <is>
          <t>Σ valor oportunidade × probabilidade × peso de atribuição</t>
        </is>
      </c>
      <c r="I46" s="6" t="inlineStr">
        <is>
          <t>R$</t>
        </is>
      </c>
      <c r="J46" s="6" t="inlineStr">
        <is>
          <t>Maior é melhor</t>
        </is>
      </c>
      <c r="K46" s="6" t="inlineStr">
        <is>
          <t>Mensal</t>
        </is>
      </c>
      <c r="L46" s="6" t="inlineStr">
        <is>
          <t>CRM + touchpoint</t>
        </is>
      </c>
      <c r="M46" s="6" t="inlineStr">
        <is>
          <t>canal, campanha, produto</t>
        </is>
      </c>
      <c r="N46" s="6" t="inlineStr">
        <is>
          <t>RevOps</t>
        </is>
      </c>
      <c r="O46" s="6" t="inlineStr">
        <is>
          <t>Lagging</t>
        </is>
      </c>
      <c r="P46" s="6" t="inlineStr">
        <is>
          <t>Receita</t>
        </is>
      </c>
      <c r="Q46" s="6" t="inlineStr">
        <is>
          <t>pipeline ponderado; não somar à receita fechada</t>
        </is>
      </c>
      <c r="R46" s="6" t="inlineStr">
        <is>
          <t>Descritivo</t>
        </is>
      </c>
      <c r="S46" s="6" t="inlineStr">
        <is>
          <t>Alta</t>
        </is>
      </c>
      <c r="T46" s="6" t="inlineStr">
        <is>
          <t>M1</t>
        </is>
      </c>
    </row>
    <row r="47" ht="62" customHeight="1">
      <c r="A47" s="7" t="inlineStr">
        <is>
          <t>MKT-05</t>
        </is>
      </c>
      <c r="B47" s="7" t="inlineStr">
        <is>
          <t>Marketing / Mídia</t>
        </is>
      </c>
      <c r="C47" s="7" t="inlineStr">
        <is>
          <t>Executiva</t>
        </is>
      </c>
      <c r="D47" s="7" t="inlineStr">
        <is>
          <t>Impacto</t>
        </is>
      </c>
      <c r="E47" s="7" t="inlineStr">
        <is>
          <t>Margem incremental de campanha</t>
        </is>
      </c>
      <c r="F47" s="7" t="inlineStr">
        <is>
          <t>Qual lucro adicional foi atribuído à campanha?</t>
        </is>
      </c>
      <c r="G47" s="7" t="inlineStr">
        <is>
          <t>Margem de negócios incrementais após comparação.</t>
        </is>
      </c>
      <c r="H47" s="7" t="inlineStr">
        <is>
          <t>receita incremental × margem × atribuição</t>
        </is>
      </c>
      <c r="I47" s="7" t="inlineStr">
        <is>
          <t>R$</t>
        </is>
      </c>
      <c r="J47" s="7" t="inlineStr">
        <is>
          <t>Maior é melhor</t>
        </is>
      </c>
      <c r="K47" s="7" t="inlineStr">
        <is>
          <t>Mensal</t>
        </is>
      </c>
      <c r="L47" s="7" t="inlineStr">
        <is>
          <t>CRM + financeiro</t>
        </is>
      </c>
      <c r="M47" s="7" t="inlineStr">
        <is>
          <t>canal, campanha, cohort</t>
        </is>
      </c>
      <c r="N47" s="7" t="inlineStr">
        <is>
          <t>Financeiro / Marketing</t>
        </is>
      </c>
      <c r="O47" s="7" t="inlineStr">
        <is>
          <t>Lagging</t>
        </is>
      </c>
      <c r="P47" s="7" t="inlineStr">
        <is>
          <t>Lucro</t>
        </is>
      </c>
      <c r="Q47" s="7" t="inlineStr">
        <is>
          <t>delta de conversão × volume × ticket × margem</t>
        </is>
      </c>
      <c r="R47" s="7" t="inlineStr">
        <is>
          <t>Quase-experimental</t>
        </is>
      </c>
      <c r="S47" s="7" t="inlineStr">
        <is>
          <t>Alta</t>
        </is>
      </c>
      <c r="T47" s="7" t="inlineStr">
        <is>
          <t>M2</t>
        </is>
      </c>
    </row>
    <row r="48" ht="62" customHeight="1">
      <c r="A48" s="6" t="inlineStr">
        <is>
          <t>MKT-06</t>
        </is>
      </c>
      <c r="B48" s="6" t="inlineStr">
        <is>
          <t>Marketing / Mídia</t>
        </is>
      </c>
      <c r="C48" s="6" t="inlineStr">
        <is>
          <t>Marketing</t>
        </is>
      </c>
      <c r="D48" s="6" t="inlineStr">
        <is>
          <t>Impacto</t>
        </is>
      </c>
      <c r="E48" s="6" t="inlineStr">
        <is>
          <t>ROAS de margem</t>
        </is>
      </c>
      <c r="F48" s="6" t="inlineStr">
        <is>
          <t>O retorno de mídia supera o investimento?</t>
        </is>
      </c>
      <c r="G48" s="6" t="inlineStr">
        <is>
          <t>Margem atribuída por real de mídia.</t>
        </is>
      </c>
      <c r="H48" s="6" t="inlineStr">
        <is>
          <t>margem atribuída / investimento de mídia</t>
        </is>
      </c>
      <c r="I48" s="6" t="inlineStr">
        <is>
          <t>x</t>
        </is>
      </c>
      <c r="J48" s="6" t="inlineStr">
        <is>
          <t>Maior é melhor</t>
        </is>
      </c>
      <c r="K48" s="6" t="inlineStr">
        <is>
          <t>Mensal</t>
        </is>
      </c>
      <c r="L48" s="6" t="inlineStr">
        <is>
          <t>Financeiro + mídia</t>
        </is>
      </c>
      <c r="M48" s="6" t="inlineStr">
        <is>
          <t>canal, campanha</t>
        </is>
      </c>
      <c r="N48" s="6" t="inlineStr">
        <is>
          <t>Marketing</t>
        </is>
      </c>
      <c r="O48" s="6" t="inlineStr">
        <is>
          <t>Lagging</t>
        </is>
      </c>
      <c r="P48" s="6" t="inlineStr">
        <is>
          <t>ROI</t>
        </is>
      </c>
      <c r="Q48" s="6" t="inlineStr">
        <is>
          <t>usar margem, não receita bruta</t>
        </is>
      </c>
      <c r="R48" s="6" t="inlineStr">
        <is>
          <t>Quase-experimental</t>
        </is>
      </c>
      <c r="S48" s="6" t="inlineStr">
        <is>
          <t>Alta</t>
        </is>
      </c>
      <c r="T48" s="6" t="inlineStr">
        <is>
          <t>M2</t>
        </is>
      </c>
    </row>
    <row r="49" ht="62" customHeight="1">
      <c r="A49" s="7" t="inlineStr">
        <is>
          <t>MKT-07</t>
        </is>
      </c>
      <c r="B49" s="7" t="inlineStr">
        <is>
          <t>Marketing / Mídia</t>
        </is>
      </c>
      <c r="C49" s="7" t="inlineStr">
        <is>
          <t>Marketing</t>
        </is>
      </c>
      <c r="D49" s="7" t="inlineStr">
        <is>
          <t>Resultado</t>
        </is>
      </c>
      <c r="E49" s="7" t="inlineStr">
        <is>
          <t>CAC por produto</t>
        </is>
      </c>
      <c r="F49" s="7" t="inlineStr">
        <is>
          <t>Quanto custa conquistar um novo cliente?</t>
        </is>
      </c>
      <c r="G49" s="7" t="inlineStr">
        <is>
          <t>Custos de aquisição por novo cliente.</t>
        </is>
      </c>
      <c r="H49" s="7" t="inlineStr">
        <is>
          <t>custos de marketing e vendas / novos clientes</t>
        </is>
      </c>
      <c r="I49" s="7" t="inlineStr">
        <is>
          <t>R$/cliente</t>
        </is>
      </c>
      <c r="J49" s="7" t="inlineStr">
        <is>
          <t>Menor é melhor</t>
        </is>
      </c>
      <c r="K49" s="7" t="inlineStr">
        <is>
          <t>Mensal</t>
        </is>
      </c>
      <c r="L49" s="7" t="inlineStr">
        <is>
          <t>Financeiro + CRM</t>
        </is>
      </c>
      <c r="M49" s="7" t="inlineStr">
        <is>
          <t>produto, canal, segmento</t>
        </is>
      </c>
      <c r="N49" s="7" t="inlineStr">
        <is>
          <t>RevOps</t>
        </is>
      </c>
      <c r="O49" s="7" t="inlineStr">
        <is>
          <t>Lagging</t>
        </is>
      </c>
      <c r="P49" s="7" t="inlineStr">
        <is>
          <t>Unit economics</t>
        </is>
      </c>
      <c r="Q49" s="7" t="inlineStr">
        <is>
          <t>CAC real por cohort</t>
        </is>
      </c>
      <c r="R49" s="7" t="inlineStr">
        <is>
          <t>Descritivo</t>
        </is>
      </c>
      <c r="S49" s="7" t="inlineStr">
        <is>
          <t>Alta</t>
        </is>
      </c>
      <c r="T49" s="7" t="inlineStr">
        <is>
          <t>M1</t>
        </is>
      </c>
    </row>
    <row r="50" ht="62" customHeight="1">
      <c r="A50" s="6" t="inlineStr">
        <is>
          <t>MKT-08</t>
        </is>
      </c>
      <c r="B50" s="6" t="inlineStr">
        <is>
          <t>Marketing / Mídia</t>
        </is>
      </c>
      <c r="C50" s="6" t="inlineStr">
        <is>
          <t>Marketing</t>
        </is>
      </c>
      <c r="D50" s="6" t="inlineStr">
        <is>
          <t>Resultado</t>
        </is>
      </c>
      <c r="E50" s="6" t="inlineStr">
        <is>
          <t>Conteúdo → ação</t>
        </is>
      </c>
      <c r="F50" s="6" t="inlineStr">
        <is>
          <t>Que conteúdo provoca comportamento de valor?</t>
        </is>
      </c>
      <c r="G50" s="6" t="inlineStr">
        <is>
          <t>Sessões com evento-chave após exposição.</t>
        </is>
      </c>
      <c r="H50" s="6" t="inlineStr">
        <is>
          <t>usuários com evento-chave / usuários expostos</t>
        </is>
      </c>
      <c r="I50" s="6" t="inlineStr">
        <is>
          <t>%</t>
        </is>
      </c>
      <c r="J50" s="6" t="inlineStr">
        <is>
          <t>Maior é melhor</t>
        </is>
      </c>
      <c r="K50" s="6" t="inlineStr">
        <is>
          <t>Semanal</t>
        </is>
      </c>
      <c r="L50" s="6" t="inlineStr">
        <is>
          <t>Conteúdo + eventos</t>
        </is>
      </c>
      <c r="M50" s="6" t="inlineStr">
        <is>
          <t>tema, canal, persona</t>
        </is>
      </c>
      <c r="N50" s="6" t="inlineStr">
        <is>
          <t>Conteúdo</t>
        </is>
      </c>
      <c r="O50" s="6" t="inlineStr">
        <is>
          <t>Leading</t>
        </is>
      </c>
      <c r="P50" s="6" t="inlineStr">
        <is>
          <t>Conversão</t>
        </is>
      </c>
      <c r="Q50" s="6" t="inlineStr">
        <is>
          <t>uplift de evento × valor médio</t>
        </is>
      </c>
      <c r="R50" s="6" t="inlineStr">
        <is>
          <t>Correlação</t>
        </is>
      </c>
      <c r="S50" s="6" t="inlineStr">
        <is>
          <t>Média</t>
        </is>
      </c>
      <c r="T50" s="6" t="inlineStr">
        <is>
          <t>M1</t>
        </is>
      </c>
    </row>
    <row r="51" ht="62" customHeight="1">
      <c r="A51" s="7" t="inlineStr">
        <is>
          <t>PRO-01</t>
        </is>
      </c>
      <c r="B51" s="7" t="inlineStr">
        <is>
          <t>Produto / Plataforma</t>
        </is>
      </c>
      <c r="C51" s="7" t="inlineStr">
        <is>
          <t>Produto</t>
        </is>
      </c>
      <c r="D51" s="7" t="inlineStr">
        <is>
          <t>Insumo</t>
        </is>
      </c>
      <c r="E51" s="7" t="inlineStr">
        <is>
          <t>Ativação</t>
        </is>
      </c>
      <c r="F51" s="7" t="inlineStr">
        <is>
          <t>O usuário chega ao primeiro valor?</t>
        </is>
      </c>
      <c r="G51" s="7" t="inlineStr">
        <is>
          <t>Usuários que completam o evento-chave no prazo.</t>
        </is>
      </c>
      <c r="H51" s="7" t="inlineStr">
        <is>
          <t>usuários ativados / novos usuários</t>
        </is>
      </c>
      <c r="I51" s="7" t="inlineStr">
        <is>
          <t>%</t>
        </is>
      </c>
      <c r="J51" s="7" t="inlineStr">
        <is>
          <t>Maior é melhor</t>
        </is>
      </c>
      <c r="K51" s="7" t="inlineStr">
        <is>
          <t>Diária</t>
        </is>
      </c>
      <c r="L51" s="7" t="inlineStr">
        <is>
          <t>Eventos</t>
        </is>
      </c>
      <c r="M51" s="7" t="inlineStr">
        <is>
          <t>persona, origem, empresa</t>
        </is>
      </c>
      <c r="N51" s="7" t="inlineStr">
        <is>
          <t>Produto</t>
        </is>
      </c>
      <c r="O51" s="7" t="inlineStr">
        <is>
          <t>Leading</t>
        </is>
      </c>
      <c r="P51" s="7" t="inlineStr">
        <is>
          <t>Retenção / conversão</t>
        </is>
      </c>
      <c r="Q51" s="7" t="inlineStr">
        <is>
          <t>uplift de retenção × LTV</t>
        </is>
      </c>
      <c r="R51" s="7" t="inlineStr">
        <is>
          <t>Descritivo</t>
        </is>
      </c>
      <c r="S51" s="7" t="inlineStr">
        <is>
          <t>Alta</t>
        </is>
      </c>
      <c r="T51" s="7" t="inlineStr">
        <is>
          <t>M0</t>
        </is>
      </c>
    </row>
    <row r="52" ht="62" customHeight="1">
      <c r="A52" s="6" t="inlineStr">
        <is>
          <t>PRO-02</t>
        </is>
      </c>
      <c r="B52" s="6" t="inlineStr">
        <is>
          <t>Produto / Plataforma</t>
        </is>
      </c>
      <c r="C52" s="6" t="inlineStr">
        <is>
          <t>Produto</t>
        </is>
      </c>
      <c r="D52" s="6" t="inlineStr">
        <is>
          <t>Ação</t>
        </is>
      </c>
      <c r="E52" s="6" t="inlineStr">
        <is>
          <t>WAU/MAU</t>
        </is>
      </c>
      <c r="F52" s="6" t="inlineStr">
        <is>
          <t>O uso é recorrente?</t>
        </is>
      </c>
      <c r="G52" s="6" t="inlineStr">
        <is>
          <t>Usuários semanais sobre mensais.</t>
        </is>
      </c>
      <c r="H52" s="6" t="inlineStr">
        <is>
          <t>WAU / MAU</t>
        </is>
      </c>
      <c r="I52" s="6" t="inlineStr">
        <is>
          <t>%</t>
        </is>
      </c>
      <c r="J52" s="6" t="inlineStr">
        <is>
          <t>Faixa ótima</t>
        </is>
      </c>
      <c r="K52" s="6" t="inlineStr">
        <is>
          <t>Semanal</t>
        </is>
      </c>
      <c r="L52" s="6" t="inlineStr">
        <is>
          <t>Eventos</t>
        </is>
      </c>
      <c r="M52" s="6" t="inlineStr">
        <is>
          <t>persona, módulo, empresa</t>
        </is>
      </c>
      <c r="N52" s="6" t="inlineStr">
        <is>
          <t>Produto</t>
        </is>
      </c>
      <c r="O52" s="6" t="inlineStr">
        <is>
          <t>Leading</t>
        </is>
      </c>
      <c r="P52" s="6" t="inlineStr">
        <is>
          <t>Retenção</t>
        </is>
      </c>
      <c r="Q52" s="6" t="inlineStr">
        <is>
          <t>relacionar a churn antes de monetizar</t>
        </is>
      </c>
      <c r="R52" s="6" t="inlineStr">
        <is>
          <t>Descritivo</t>
        </is>
      </c>
      <c r="S52" s="6" t="inlineStr">
        <is>
          <t>Alta</t>
        </is>
      </c>
      <c r="T52" s="6" t="inlineStr">
        <is>
          <t>M0</t>
        </is>
      </c>
    </row>
    <row r="53" ht="62" customHeight="1">
      <c r="A53" s="7" t="inlineStr">
        <is>
          <t>PRO-03</t>
        </is>
      </c>
      <c r="B53" s="7" t="inlineStr">
        <is>
          <t>Produto / Plataforma</t>
        </is>
      </c>
      <c r="C53" s="7" t="inlineStr">
        <is>
          <t>Produto</t>
        </is>
      </c>
      <c r="D53" s="7" t="inlineStr">
        <is>
          <t>Ação</t>
        </is>
      </c>
      <c r="E53" s="7" t="inlineStr">
        <is>
          <t>Adoção por módulo</t>
        </is>
      </c>
      <c r="F53" s="7" t="inlineStr">
        <is>
          <t>Quais módulos geram uso real?</t>
        </is>
      </c>
      <c r="G53" s="7" t="inlineStr">
        <is>
          <t>Clientes/usuários com evento-chave do módulo.</t>
        </is>
      </c>
      <c r="H53" s="7" t="inlineStr">
        <is>
          <t>ativos no módulo / elegíveis</t>
        </is>
      </c>
      <c r="I53" s="7" t="inlineStr">
        <is>
          <t>%</t>
        </is>
      </c>
      <c r="J53" s="7" t="inlineStr">
        <is>
          <t>Maior é melhor</t>
        </is>
      </c>
      <c r="K53" s="7" t="inlineStr">
        <is>
          <t>Semanal</t>
        </is>
      </c>
      <c r="L53" s="7" t="inlineStr">
        <is>
          <t>Eventos + elegibilidade</t>
        </is>
      </c>
      <c r="M53" s="7" t="inlineStr">
        <is>
          <t>módulo, persona, plano</t>
        </is>
      </c>
      <c r="N53" s="7" t="inlineStr">
        <is>
          <t>Produto</t>
        </is>
      </c>
      <c r="O53" s="7" t="inlineStr">
        <is>
          <t>Leading</t>
        </is>
      </c>
      <c r="P53" s="7" t="inlineStr">
        <is>
          <t>Expansão / churn</t>
        </is>
      </c>
      <c r="Q53" s="7" t="inlineStr">
        <is>
          <t>expansão incremental × ARR</t>
        </is>
      </c>
      <c r="R53" s="7" t="inlineStr">
        <is>
          <t>Descritivo</t>
        </is>
      </c>
      <c r="S53" s="7" t="inlineStr">
        <is>
          <t>Alta</t>
        </is>
      </c>
      <c r="T53" s="7" t="inlineStr">
        <is>
          <t>M0</t>
        </is>
      </c>
    </row>
    <row r="54" ht="62" customHeight="1">
      <c r="A54" s="6" t="inlineStr">
        <is>
          <t>PRO-04</t>
        </is>
      </c>
      <c r="B54" s="6" t="inlineStr">
        <is>
          <t>Produto / Plataforma</t>
        </is>
      </c>
      <c r="C54" s="6" t="inlineStr">
        <is>
          <t>Produto</t>
        </is>
      </c>
      <c r="D54" s="6" t="inlineStr">
        <is>
          <t>Processo</t>
        </is>
      </c>
      <c r="E54" s="6" t="inlineStr">
        <is>
          <t>Time-to-value</t>
        </is>
      </c>
      <c r="F54" s="6" t="inlineStr">
        <is>
          <t>Quanto tempo até o primeiro resultado?</t>
        </is>
      </c>
      <c r="G54" s="6" t="inlineStr">
        <is>
          <t>Dias do onboarding ao outcome mínimo.</t>
        </is>
      </c>
      <c r="H54" s="6" t="inlineStr">
        <is>
          <t>data primeiro valor − data início</t>
        </is>
      </c>
      <c r="I54" s="6" t="inlineStr">
        <is>
          <t>dias</t>
        </is>
      </c>
      <c r="J54" s="6" t="inlineStr">
        <is>
          <t>Menor é melhor</t>
        </is>
      </c>
      <c r="K54" s="6" t="inlineStr">
        <is>
          <t>Semanal</t>
        </is>
      </c>
      <c r="L54" s="6" t="inlineStr">
        <is>
          <t>Eventos + outcome</t>
        </is>
      </c>
      <c r="M54" s="6" t="inlineStr">
        <is>
          <t>persona, produto, implantação</t>
        </is>
      </c>
      <c r="N54" s="6" t="inlineStr">
        <is>
          <t>CS / Produto</t>
        </is>
      </c>
      <c r="O54" s="6" t="inlineStr">
        <is>
          <t>Lagging</t>
        </is>
      </c>
      <c r="P54" s="6" t="inlineStr">
        <is>
          <t>Churn / custo</t>
        </is>
      </c>
      <c r="Q54" s="6" t="inlineStr">
        <is>
          <t>redução de churn × ARR + horas de CS evitadas</t>
        </is>
      </c>
      <c r="R54" s="6" t="inlineStr">
        <is>
          <t>Correlação</t>
        </is>
      </c>
      <c r="S54" s="6" t="inlineStr">
        <is>
          <t>Alta</t>
        </is>
      </c>
      <c r="T54" s="6" t="inlineStr">
        <is>
          <t>M1</t>
        </is>
      </c>
    </row>
    <row r="55" ht="62" customHeight="1">
      <c r="A55" s="7" t="inlineStr">
        <is>
          <t>PRO-05</t>
        </is>
      </c>
      <c r="B55" s="7" t="inlineStr">
        <is>
          <t>Produto / Plataforma</t>
        </is>
      </c>
      <c r="C55" s="7" t="inlineStr">
        <is>
          <t>Produto</t>
        </is>
      </c>
      <c r="D55" s="7" t="inlineStr">
        <is>
          <t>Resultado</t>
        </is>
      </c>
      <c r="E55" s="7" t="inlineStr">
        <is>
          <t>Retenção de cohort</t>
        </is>
      </c>
      <c r="F55" s="7" t="inlineStr">
        <is>
          <t>O usuário continua ativo após receber valor?</t>
        </is>
      </c>
      <c r="G55" s="7" t="inlineStr">
        <is>
          <t>Percentual ativo em D30/D90/D180.</t>
        </is>
      </c>
      <c r="H55" s="7" t="inlineStr">
        <is>
          <t>ativos no período / cohort inicial</t>
        </is>
      </c>
      <c r="I55" s="7" t="inlineStr">
        <is>
          <t>%</t>
        </is>
      </c>
      <c r="J55" s="7" t="inlineStr">
        <is>
          <t>Maior é melhor</t>
        </is>
      </c>
      <c r="K55" s="7" t="inlineStr">
        <is>
          <t>Mensal</t>
        </is>
      </c>
      <c r="L55" s="7" t="inlineStr">
        <is>
          <t>Eventos</t>
        </is>
      </c>
      <c r="M55" s="7" t="inlineStr">
        <is>
          <t>cohort, plano, módulo</t>
        </is>
      </c>
      <c r="N55" s="7" t="inlineStr">
        <is>
          <t>Produto</t>
        </is>
      </c>
      <c r="O55" s="7" t="inlineStr">
        <is>
          <t>Lagging</t>
        </is>
      </c>
      <c r="P55" s="7" t="inlineStr">
        <is>
          <t>LTV / receita</t>
        </is>
      </c>
      <c r="Q55" s="7" t="inlineStr">
        <is>
          <t>retenção incremental × receita média</t>
        </is>
      </c>
      <c r="R55" s="7" t="inlineStr">
        <is>
          <t>Descritivo</t>
        </is>
      </c>
      <c r="S55" s="7" t="inlineStr">
        <is>
          <t>Alta</t>
        </is>
      </c>
      <c r="T55" s="7" t="inlineStr">
        <is>
          <t>M1</t>
        </is>
      </c>
    </row>
    <row r="56" ht="62" customHeight="1">
      <c r="A56" s="6" t="inlineStr">
        <is>
          <t>PRO-06</t>
        </is>
      </c>
      <c r="B56" s="6" t="inlineStr">
        <is>
          <t>Produto / Plataforma</t>
        </is>
      </c>
      <c r="C56" s="6" t="inlineStr">
        <is>
          <t>Produto</t>
        </is>
      </c>
      <c r="D56" s="6" t="inlineStr">
        <is>
          <t>Resultado</t>
        </is>
      </c>
      <c r="E56" s="6" t="inlineStr">
        <is>
          <t>Churn de clientes</t>
        </is>
      </c>
      <c r="F56" s="6" t="inlineStr">
        <is>
          <t>Quais clientes cancelam e por quê?</t>
        </is>
      </c>
      <c r="G56" s="6" t="inlineStr">
        <is>
          <t>Clientes perdidos sobre base inicial.</t>
        </is>
      </c>
      <c r="H56" s="6" t="inlineStr">
        <is>
          <t>clientes cancelados / clientes no início</t>
        </is>
      </c>
      <c r="I56" s="6" t="inlineStr">
        <is>
          <t>%</t>
        </is>
      </c>
      <c r="J56" s="6" t="inlineStr">
        <is>
          <t>Menor é melhor</t>
        </is>
      </c>
      <c r="K56" s="6" t="inlineStr">
        <is>
          <t>Mensal</t>
        </is>
      </c>
      <c r="L56" s="6" t="inlineStr">
        <is>
          <t>CRM + contrato</t>
        </is>
      </c>
      <c r="M56" s="6" t="inlineStr">
        <is>
          <t>produto, segmento, uso</t>
        </is>
      </c>
      <c r="N56" s="6" t="inlineStr">
        <is>
          <t>CS</t>
        </is>
      </c>
      <c r="O56" s="6" t="inlineStr">
        <is>
          <t>Lagging</t>
        </is>
      </c>
      <c r="P56" s="6" t="inlineStr">
        <is>
          <t>Receita recorrente</t>
        </is>
      </c>
      <c r="Q56" s="6" t="inlineStr">
        <is>
          <t>ARR preservado × margem</t>
        </is>
      </c>
      <c r="R56" s="6" t="inlineStr">
        <is>
          <t>Descritivo</t>
        </is>
      </c>
      <c r="S56" s="6" t="inlineStr">
        <is>
          <t>Alta</t>
        </is>
      </c>
      <c r="T56" s="6" t="inlineStr">
        <is>
          <t>M1</t>
        </is>
      </c>
    </row>
    <row r="57" ht="62" customHeight="1">
      <c r="A57" s="7" t="inlineStr">
        <is>
          <t>PRO-07</t>
        </is>
      </c>
      <c r="B57" s="7" t="inlineStr">
        <is>
          <t>Produto / Plataforma</t>
        </is>
      </c>
      <c r="C57" s="7" t="inlineStr">
        <is>
          <t>Inteligência</t>
        </is>
      </c>
      <c r="D57" s="7" t="inlineStr">
        <is>
          <t>Resultado</t>
        </is>
      </c>
      <c r="E57" s="7" t="inlineStr">
        <is>
          <t>Precisão do match</t>
        </is>
      </c>
      <c r="F57" s="7" t="inlineStr">
        <is>
          <t>O ranking coloca opções relevantes no topo?</t>
        </is>
      </c>
      <c r="G57" s="7" t="inlineStr">
        <is>
          <t>Qualidade do ranking por decisão real.</t>
        </is>
      </c>
      <c r="H57" s="7" t="inlineStr">
        <is>
          <t>NDCG@k, precision@k ou aceitos/top k</t>
        </is>
      </c>
      <c r="I57" s="7" t="inlineStr">
        <is>
          <t>score</t>
        </is>
      </c>
      <c r="J57" s="7" t="inlineStr">
        <is>
          <t>Maior é melhor</t>
        </is>
      </c>
      <c r="K57" s="7" t="inlineStr">
        <is>
          <t>Semanal</t>
        </is>
      </c>
      <c r="L57" s="7" t="inlineStr">
        <is>
          <t>Match + decisão</t>
        </is>
      </c>
      <c r="M57" s="7" t="inlineStr">
        <is>
          <t>modelo, oportunidade, segmento</t>
        </is>
      </c>
      <c r="N57" s="7" t="inlineStr">
        <is>
          <t>Data Science</t>
        </is>
      </c>
      <c r="O57" s="7" t="inlineStr">
        <is>
          <t>Lagging</t>
        </is>
      </c>
      <c r="P57" s="7" t="inlineStr">
        <is>
          <t>Conversão / ciclo</t>
        </is>
      </c>
      <c r="Q57" s="7" t="inlineStr">
        <is>
          <t>uplift de contratos × margem ou tempo evitado</t>
        </is>
      </c>
      <c r="R57" s="7" t="inlineStr">
        <is>
          <t>Quase-experimental</t>
        </is>
      </c>
      <c r="S57" s="7" t="inlineStr">
        <is>
          <t>Alta</t>
        </is>
      </c>
      <c r="T57" s="7" t="inlineStr">
        <is>
          <t>M1</t>
        </is>
      </c>
    </row>
    <row r="58" ht="62" customHeight="1">
      <c r="A58" s="6" t="inlineStr">
        <is>
          <t>PRO-08</t>
        </is>
      </c>
      <c r="B58" s="6" t="inlineStr">
        <is>
          <t>Produto / Plataforma</t>
        </is>
      </c>
      <c r="C58" s="6" t="inlineStr">
        <is>
          <t>Inteligência</t>
        </is>
      </c>
      <c r="D58" s="6" t="inlineStr">
        <is>
          <t>Resultado</t>
        </is>
      </c>
      <c r="E58" s="6" t="inlineStr">
        <is>
          <t>Uplift da recomendação</t>
        </is>
      </c>
      <c r="F58" s="6" t="inlineStr">
        <is>
          <t>A recomendação melhora o resultado versus não recomendar?</t>
        </is>
      </c>
      <c r="G58" s="6" t="inlineStr">
        <is>
          <t>Diferença de outcome entre tratamento e comparável.</t>
        </is>
      </c>
      <c r="H58" s="6" t="inlineStr">
        <is>
          <t>outcome tratamento − outcome controle</t>
        </is>
      </c>
      <c r="I58" s="6" t="inlineStr">
        <is>
          <t>p.p.</t>
        </is>
      </c>
      <c r="J58" s="6" t="inlineStr">
        <is>
          <t>Maior é melhor</t>
        </is>
      </c>
      <c r="K58" s="6" t="inlineStr">
        <is>
          <t>Mensal</t>
        </is>
      </c>
      <c r="L58" s="6" t="inlineStr">
        <is>
          <t>Experimento / cohort</t>
        </is>
      </c>
      <c r="M58" s="6" t="inlineStr">
        <is>
          <t>modelo, ação, segmento</t>
        </is>
      </c>
      <c r="N58" s="6" t="inlineStr">
        <is>
          <t>Data Science</t>
        </is>
      </c>
      <c r="O58" s="6" t="inlineStr">
        <is>
          <t>Lagging</t>
        </is>
      </c>
      <c r="P58" s="6" t="inlineStr">
        <is>
          <t>Receita / custo</t>
        </is>
      </c>
      <c r="Q58" s="6" t="inlineStr">
        <is>
          <t>uplift × população × valor por outcome</t>
        </is>
      </c>
      <c r="R58" s="6" t="inlineStr">
        <is>
          <t>Experimental</t>
        </is>
      </c>
      <c r="S58" s="6" t="inlineStr">
        <is>
          <t>Alta</t>
        </is>
      </c>
      <c r="T58" s="6" t="inlineStr">
        <is>
          <t>M2</t>
        </is>
      </c>
    </row>
    <row r="59" ht="62" customHeight="1">
      <c r="A59" s="7" t="inlineStr">
        <is>
          <t>PRO-09</t>
        </is>
      </c>
      <c r="B59" s="7" t="inlineStr">
        <is>
          <t>Produto / Plataforma</t>
        </is>
      </c>
      <c r="C59" s="7" t="inlineStr">
        <is>
          <t>Executiva</t>
        </is>
      </c>
      <c r="D59" s="7" t="inlineStr">
        <is>
          <t>Impacto</t>
        </is>
      </c>
      <c r="E59" s="7" t="inlineStr">
        <is>
          <t>ARR</t>
        </is>
      </c>
      <c r="F59" s="7" t="inlineStr">
        <is>
          <t>Qual receita recorrente anual está contratada?</t>
        </is>
      </c>
      <c r="G59" s="7" t="inlineStr">
        <is>
          <t>Receita recorrente anualizada.</t>
        </is>
      </c>
      <c r="H59" s="7" t="inlineStr">
        <is>
          <t>MRR recorrente × 12</t>
        </is>
      </c>
      <c r="I59" s="7" t="inlineStr">
        <is>
          <t>R$</t>
        </is>
      </c>
      <c r="J59" s="7" t="inlineStr">
        <is>
          <t>Maior é melhor</t>
        </is>
      </c>
      <c r="K59" s="7" t="inlineStr">
        <is>
          <t>Mensal</t>
        </is>
      </c>
      <c r="L59" s="7" t="inlineStr">
        <is>
          <t>Contrato + financeiro</t>
        </is>
      </c>
      <c r="M59" s="7" t="inlineStr">
        <is>
          <t>produto, entidade, segmento</t>
        </is>
      </c>
      <c r="N59" s="7" t="inlineStr">
        <is>
          <t>Financeiro</t>
        </is>
      </c>
      <c r="O59" s="7" t="inlineStr">
        <is>
          <t>Lagging</t>
        </is>
      </c>
      <c r="P59" s="7" t="inlineStr">
        <is>
          <t>Receita recorrente</t>
        </is>
      </c>
      <c r="Q59" s="7" t="inlineStr">
        <is>
          <t>valor contratual anual</t>
        </is>
      </c>
      <c r="R59" s="7" t="inlineStr">
        <is>
          <t>Descritivo</t>
        </is>
      </c>
      <c r="S59" s="7" t="inlineStr">
        <is>
          <t>Alta</t>
        </is>
      </c>
      <c r="T59" s="7" t="inlineStr">
        <is>
          <t>M0</t>
        </is>
      </c>
    </row>
    <row r="60" ht="62" customHeight="1">
      <c r="A60" s="6" t="inlineStr">
        <is>
          <t>PRO-10</t>
        </is>
      </c>
      <c r="B60" s="6" t="inlineStr">
        <is>
          <t>Produto / Plataforma</t>
        </is>
      </c>
      <c r="C60" s="6" t="inlineStr">
        <is>
          <t>Executiva</t>
        </is>
      </c>
      <c r="D60" s="6" t="inlineStr">
        <is>
          <t>Impacto</t>
        </is>
      </c>
      <c r="E60" s="6" t="inlineStr">
        <is>
          <t>LTV/CAC</t>
        </is>
      </c>
      <c r="F60" s="6" t="inlineStr">
        <is>
          <t>O crescimento gera valor econômico?</t>
        </is>
      </c>
      <c r="G60" s="6" t="inlineStr">
        <is>
          <t>Valor de vida do cliente sobre custo de aquisição.</t>
        </is>
      </c>
      <c r="H60" s="6" t="inlineStr">
        <is>
          <t>((ARPA × margem bruta) / churn mensal) / CAC</t>
        </is>
      </c>
      <c r="I60" s="6" t="inlineStr">
        <is>
          <t>x</t>
        </is>
      </c>
      <c r="J60" s="6" t="inlineStr">
        <is>
          <t>Maior é melhor</t>
        </is>
      </c>
      <c r="K60" s="6" t="inlineStr">
        <is>
          <t>Mensal</t>
        </is>
      </c>
      <c r="L60" s="6" t="inlineStr">
        <is>
          <t>Financeiro + CRM</t>
        </is>
      </c>
      <c r="M60" s="6" t="inlineStr">
        <is>
          <t>produto, cohort, segmento</t>
        </is>
      </c>
      <c r="N60" s="6" t="inlineStr">
        <is>
          <t>Financeiro</t>
        </is>
      </c>
      <c r="O60" s="6" t="inlineStr">
        <is>
          <t>Lagging</t>
        </is>
      </c>
      <c r="P60" s="6" t="inlineStr">
        <is>
          <t>Unit economics</t>
        </is>
      </c>
      <c r="Q60" s="6" t="inlineStr">
        <is>
          <t>LTV / CAC</t>
        </is>
      </c>
      <c r="R60" s="6" t="inlineStr">
        <is>
          <t>Descritivo</t>
        </is>
      </c>
      <c r="S60" s="6" t="inlineStr">
        <is>
          <t>Alta</t>
        </is>
      </c>
      <c r="T60" s="6" t="inlineStr">
        <is>
          <t>M2</t>
        </is>
      </c>
    </row>
    <row r="61" ht="62" customHeight="1">
      <c r="A61" s="7" t="inlineStr">
        <is>
          <t>FIN-01</t>
        </is>
      </c>
      <c r="B61" s="7" t="inlineStr">
        <is>
          <t>Financeiro / Impacto</t>
        </is>
      </c>
      <c r="C61" s="7" t="inlineStr">
        <is>
          <t>Executiva</t>
        </is>
      </c>
      <c r="D61" s="7" t="inlineStr">
        <is>
          <t>Impacto</t>
        </is>
      </c>
      <c r="E61" s="7" t="inlineStr">
        <is>
          <t>Benefício bruto atribuído</t>
        </is>
      </c>
      <c r="F61" s="7" t="inlineStr">
        <is>
          <t>Quanto valor total foi provado antes do investimento?</t>
        </is>
      </c>
      <c r="G61" s="7" t="inlineStr">
        <is>
          <t>Soma deduplicada dos benefícios após atribuição.</t>
        </is>
      </c>
      <c r="H61" s="7" t="inlineStr">
        <is>
          <t>Σ benefícios atribuídos por alavanca</t>
        </is>
      </c>
      <c r="I61" s="7" t="inlineStr">
        <is>
          <t>R$</t>
        </is>
      </c>
      <c r="J61" s="7" t="inlineStr">
        <is>
          <t>Maior é melhor</t>
        </is>
      </c>
      <c r="K61" s="7" t="inlineStr">
        <is>
          <t>Trimestral</t>
        </is>
      </c>
      <c r="L61" s="7" t="inlineStr">
        <is>
          <t>Data mart financeiro</t>
        </is>
      </c>
      <c r="M61" s="7" t="inlineStr">
        <is>
          <t>cliente, programa, alavanca</t>
        </is>
      </c>
      <c r="N61" s="7" t="inlineStr">
        <is>
          <t>Financeiro</t>
        </is>
      </c>
      <c r="O61" s="7" t="inlineStr">
        <is>
          <t>Lagging</t>
        </is>
      </c>
      <c r="P61" s="7" t="inlineStr">
        <is>
          <t>Valor total</t>
        </is>
      </c>
      <c r="Q61" s="7" t="inlineStr">
        <is>
          <t>soma após regras de deduplicação</t>
        </is>
      </c>
      <c r="R61" s="7" t="inlineStr">
        <is>
          <t>Quase-experimental</t>
        </is>
      </c>
      <c r="S61" s="7" t="inlineStr">
        <is>
          <t>Alta</t>
        </is>
      </c>
      <c r="T61" s="7" t="inlineStr">
        <is>
          <t>M2</t>
        </is>
      </c>
    </row>
    <row r="62" ht="62" customHeight="1">
      <c r="A62" s="6" t="inlineStr">
        <is>
          <t>FIN-02</t>
        </is>
      </c>
      <c r="B62" s="6" t="inlineStr">
        <is>
          <t>Financeiro / Impacto</t>
        </is>
      </c>
      <c r="C62" s="6" t="inlineStr">
        <is>
          <t>Executiva</t>
        </is>
      </c>
      <c r="D62" s="6" t="inlineStr">
        <is>
          <t>Impacto</t>
        </is>
      </c>
      <c r="E62" s="6" t="inlineStr">
        <is>
          <t>Benefício líquido</t>
        </is>
      </c>
      <c r="F62" s="6" t="inlineStr">
        <is>
          <t>Qual valor sobra após o investimento?</t>
        </is>
      </c>
      <c r="G62" s="6" t="inlineStr">
        <is>
          <t>Benefício bruto menos investimento total.</t>
        </is>
      </c>
      <c r="H62" s="6" t="inlineStr">
        <is>
          <t>benefício bruto − investimento total</t>
        </is>
      </c>
      <c r="I62" s="6" t="inlineStr">
        <is>
          <t>R$</t>
        </is>
      </c>
      <c r="J62" s="6" t="inlineStr">
        <is>
          <t>Maior é melhor</t>
        </is>
      </c>
      <c r="K62" s="6" t="inlineStr">
        <is>
          <t>Trimestral</t>
        </is>
      </c>
      <c r="L62" s="6" t="inlineStr">
        <is>
          <t>Financeiro</t>
        </is>
      </c>
      <c r="M62" s="6" t="inlineStr">
        <is>
          <t>cliente, programa</t>
        </is>
      </c>
      <c r="N62" s="6" t="inlineStr">
        <is>
          <t>Financeiro</t>
        </is>
      </c>
      <c r="O62" s="6" t="inlineStr">
        <is>
          <t>Lagging</t>
        </is>
      </c>
      <c r="P62" s="6" t="inlineStr">
        <is>
          <t>Lucro / ROI</t>
        </is>
      </c>
      <c r="Q62" s="6" t="inlineStr">
        <is>
          <t>benefício bruto − licença − serviços − custo interno</t>
        </is>
      </c>
      <c r="R62" s="6" t="inlineStr">
        <is>
          <t>Quase-experimental</t>
        </is>
      </c>
      <c r="S62" s="6" t="inlineStr">
        <is>
          <t>Alta</t>
        </is>
      </c>
      <c r="T62" s="6" t="inlineStr">
        <is>
          <t>M2</t>
        </is>
      </c>
    </row>
    <row r="63" ht="62" customHeight="1">
      <c r="A63" s="7" t="inlineStr">
        <is>
          <t>FIN-03</t>
        </is>
      </c>
      <c r="B63" s="7" t="inlineStr">
        <is>
          <t>Financeiro / Impacto</t>
        </is>
      </c>
      <c r="C63" s="7" t="inlineStr">
        <is>
          <t>Executiva</t>
        </is>
      </c>
      <c r="D63" s="7" t="inlineStr">
        <is>
          <t>Impacto</t>
        </is>
      </c>
      <c r="E63" s="7" t="inlineStr">
        <is>
          <t>ROI do cliente</t>
        </is>
      </c>
      <c r="F63" s="7" t="inlineStr">
        <is>
          <t>O investimento na HUB retorna valor?</t>
        </is>
      </c>
      <c r="G63" s="7" t="inlineStr">
        <is>
          <t>Retorno líquido sobre o investimento.</t>
        </is>
      </c>
      <c r="H63" s="7" t="inlineStr">
        <is>
          <t>(benefício bruto − investimento) / investimento</t>
        </is>
      </c>
      <c r="I63" s="7" t="inlineStr">
        <is>
          <t>%</t>
        </is>
      </c>
      <c r="J63" s="7" t="inlineStr">
        <is>
          <t>Maior é melhor</t>
        </is>
      </c>
      <c r="K63" s="7" t="inlineStr">
        <is>
          <t>Trimestral</t>
        </is>
      </c>
      <c r="L63" s="7" t="inlineStr">
        <is>
          <t>Financeiro</t>
        </is>
      </c>
      <c r="M63" s="7" t="inlineStr">
        <is>
          <t>cliente, programa, cenário</t>
        </is>
      </c>
      <c r="N63" s="7" t="inlineStr">
        <is>
          <t>Financeiro</t>
        </is>
      </c>
      <c r="O63" s="7" t="inlineStr">
        <is>
          <t>Lagging</t>
        </is>
      </c>
      <c r="P63" s="7" t="inlineStr">
        <is>
          <t>ROI</t>
        </is>
      </c>
      <c r="Q63" s="7" t="inlineStr">
        <is>
          <t>benefício líquido / investimento</t>
        </is>
      </c>
      <c r="R63" s="7" t="inlineStr">
        <is>
          <t>Quase-experimental</t>
        </is>
      </c>
      <c r="S63" s="7" t="inlineStr">
        <is>
          <t>Alta</t>
        </is>
      </c>
      <c r="T63" s="7" t="inlineStr">
        <is>
          <t>M2</t>
        </is>
      </c>
    </row>
    <row r="64" ht="62" customHeight="1">
      <c r="A64" s="6" t="inlineStr">
        <is>
          <t>FIN-04</t>
        </is>
      </c>
      <c r="B64" s="6" t="inlineStr">
        <is>
          <t>Financeiro / Impacto</t>
        </is>
      </c>
      <c r="C64" s="6" t="inlineStr">
        <is>
          <t>Executiva</t>
        </is>
      </c>
      <c r="D64" s="6" t="inlineStr">
        <is>
          <t>Impacto</t>
        </is>
      </c>
      <c r="E64" s="6" t="inlineStr">
        <is>
          <t>Payback</t>
        </is>
      </c>
      <c r="F64" s="6" t="inlineStr">
        <is>
          <t>Quando o investimento se paga?</t>
        </is>
      </c>
      <c r="G64" s="6" t="inlineStr">
        <is>
          <t>Meses para benefício acumulado cobrir investimento.</t>
        </is>
      </c>
      <c r="H64" s="6" t="inlineStr">
        <is>
          <t>investimento / (benefício anual / 12)</t>
        </is>
      </c>
      <c r="I64" s="6" t="inlineStr">
        <is>
          <t>meses</t>
        </is>
      </c>
      <c r="J64" s="6" t="inlineStr">
        <is>
          <t>Menor é melhor</t>
        </is>
      </c>
      <c r="K64" s="6" t="inlineStr">
        <is>
          <t>Trimestral</t>
        </is>
      </c>
      <c r="L64" s="6" t="inlineStr">
        <is>
          <t>Financeiro</t>
        </is>
      </c>
      <c r="M64" s="6" t="inlineStr">
        <is>
          <t>cliente, programa</t>
        </is>
      </c>
      <c r="N64" s="6" t="inlineStr">
        <is>
          <t>Financeiro</t>
        </is>
      </c>
      <c r="O64" s="6" t="inlineStr">
        <is>
          <t>Lagging</t>
        </is>
      </c>
      <c r="P64" s="6" t="inlineStr">
        <is>
          <t>Caixa</t>
        </is>
      </c>
      <c r="Q64" s="6" t="inlineStr">
        <is>
          <t>investimento / benefício mensal</t>
        </is>
      </c>
      <c r="R64" s="6" t="inlineStr">
        <is>
          <t>Quase-experimental</t>
        </is>
      </c>
      <c r="S64" s="6" t="inlineStr">
        <is>
          <t>Alta</t>
        </is>
      </c>
      <c r="T64" s="6" t="inlineStr">
        <is>
          <t>M2</t>
        </is>
      </c>
    </row>
    <row r="65" ht="62" customHeight="1">
      <c r="A65" s="7" t="inlineStr">
        <is>
          <t>FIN-05</t>
        </is>
      </c>
      <c r="B65" s="7" t="inlineStr">
        <is>
          <t>Financeiro / Impacto</t>
        </is>
      </c>
      <c r="C65" s="7" t="inlineStr">
        <is>
          <t>Executiva</t>
        </is>
      </c>
      <c r="D65" s="7" t="inlineStr">
        <is>
          <t>Impacto</t>
        </is>
      </c>
      <c r="E65" s="7" t="inlineStr">
        <is>
          <t>Margem incremental</t>
        </is>
      </c>
      <c r="F65" s="7" t="inlineStr">
        <is>
          <t>Quanto do resultado adicional vira margem?</t>
        </is>
      </c>
      <c r="G65" s="7" t="inlineStr">
        <is>
          <t>Receita incremental multiplicada pela margem de contribuição.</t>
        </is>
      </c>
      <c r="H65" s="7" t="inlineStr">
        <is>
          <t>receita incremental × margem × atribuição</t>
        </is>
      </c>
      <c r="I65" s="7" t="inlineStr">
        <is>
          <t>R$</t>
        </is>
      </c>
      <c r="J65" s="7" t="inlineStr">
        <is>
          <t>Maior é melhor</t>
        </is>
      </c>
      <c r="K65" s="7" t="inlineStr">
        <is>
          <t>Mensal</t>
        </is>
      </c>
      <c r="L65" s="7" t="inlineStr">
        <is>
          <t>CRM + financeiro</t>
        </is>
      </c>
      <c r="M65" s="7" t="inlineStr">
        <is>
          <t>cliente, produto, origem</t>
        </is>
      </c>
      <c r="N65" s="7" t="inlineStr">
        <is>
          <t>Financeiro</t>
        </is>
      </c>
      <c r="O65" s="7" t="inlineStr">
        <is>
          <t>Lagging</t>
        </is>
      </c>
      <c r="P65" s="7" t="inlineStr">
        <is>
          <t>Lucro</t>
        </is>
      </c>
      <c r="Q65" s="7" t="inlineStr">
        <is>
          <t>não somar receita bruta e margem como benefícios distintos</t>
        </is>
      </c>
      <c r="R65" s="7" t="inlineStr">
        <is>
          <t>Quase-experimental</t>
        </is>
      </c>
      <c r="S65" s="7" t="inlineStr">
        <is>
          <t>Alta</t>
        </is>
      </c>
      <c r="T65" s="7" t="inlineStr">
        <is>
          <t>M2</t>
        </is>
      </c>
    </row>
    <row r="66" ht="62" customHeight="1">
      <c r="A66" s="6" t="inlineStr">
        <is>
          <t>FIN-06</t>
        </is>
      </c>
      <c r="B66" s="6" t="inlineStr">
        <is>
          <t>Financeiro / Impacto</t>
        </is>
      </c>
      <c r="C66" s="6" t="inlineStr">
        <is>
          <t>Executiva</t>
        </is>
      </c>
      <c r="D66" s="6" t="inlineStr">
        <is>
          <t>Impacto</t>
        </is>
      </c>
      <c r="E66" s="6" t="inlineStr">
        <is>
          <t>Custo evitado</t>
        </is>
      </c>
      <c r="F66" s="6" t="inlineStr">
        <is>
          <t>Qual despesa deixou de ocorrer?</t>
        </is>
      </c>
      <c r="G66" s="6" t="inlineStr">
        <is>
          <t>Diferença ajustada de custo mantendo escopo e qualidade.</t>
        </is>
      </c>
      <c r="H66" s="6" t="inlineStr">
        <is>
          <t>custo baseline − custo realizado − custos de mudança</t>
        </is>
      </c>
      <c r="I66" s="6" t="inlineStr">
        <is>
          <t>R$</t>
        </is>
      </c>
      <c r="J66" s="6" t="inlineStr">
        <is>
          <t>Maior é melhor</t>
        </is>
      </c>
      <c r="K66" s="6" t="inlineStr">
        <is>
          <t>Mensal</t>
        </is>
      </c>
      <c r="L66" s="6" t="inlineStr">
        <is>
          <t>Financeiro + operação</t>
        </is>
      </c>
      <c r="M66" s="6" t="inlineStr">
        <is>
          <t>centro de custo, alavanca</t>
        </is>
      </c>
      <c r="N66" s="6" t="inlineStr">
        <is>
          <t>Controladoria</t>
        </is>
      </c>
      <c r="O66" s="6" t="inlineStr">
        <is>
          <t>Lagging</t>
        </is>
      </c>
      <c r="P66" s="6" t="inlineStr">
        <is>
          <t>Custo / margem</t>
        </is>
      </c>
      <c r="Q66" s="6" t="inlineStr">
        <is>
          <t>delta validado pela controladoria</t>
        </is>
      </c>
      <c r="R66" s="6" t="inlineStr">
        <is>
          <t>Quase-experimental</t>
        </is>
      </c>
      <c r="S66" s="6" t="inlineStr">
        <is>
          <t>Alta</t>
        </is>
      </c>
      <c r="T66" s="6" t="inlineStr">
        <is>
          <t>M2</t>
        </is>
      </c>
    </row>
    <row r="67" ht="62" customHeight="1">
      <c r="A67" s="7" t="inlineStr">
        <is>
          <t>FIN-07</t>
        </is>
      </c>
      <c r="B67" s="7" t="inlineStr">
        <is>
          <t>Financeiro / Impacto</t>
        </is>
      </c>
      <c r="C67" s="7" t="inlineStr">
        <is>
          <t>Executiva</t>
        </is>
      </c>
      <c r="D67" s="7" t="inlineStr">
        <is>
          <t>Impacto</t>
        </is>
      </c>
      <c r="E67" s="7" t="inlineStr">
        <is>
          <t>Risco evitado</t>
        </is>
      </c>
      <c r="F67" s="7" t="inlineStr">
        <is>
          <t>Qual perda esperada foi reduzida?</t>
        </is>
      </c>
      <c r="G67" s="7" t="inlineStr">
        <is>
          <t>Variação de perda esperada atribuída.</t>
        </is>
      </c>
      <c r="H67" s="7" t="inlineStr">
        <is>
          <t>(probabilidade × impacto) baseline − residual</t>
        </is>
      </c>
      <c r="I67" s="7" t="inlineStr">
        <is>
          <t>R$</t>
        </is>
      </c>
      <c r="J67" s="7" t="inlineStr">
        <is>
          <t>Maior é melhor</t>
        </is>
      </c>
      <c r="K67" s="7" t="inlineStr">
        <is>
          <t>Trimestral</t>
        </is>
      </c>
      <c r="L67" s="7" t="inlineStr">
        <is>
          <t>GRC + financeiro</t>
        </is>
      </c>
      <c r="M67" s="7" t="inlineStr">
        <is>
          <t>risco, controle, cliente</t>
        </is>
      </c>
      <c r="N67" s="7" t="inlineStr">
        <is>
          <t>Riscos</t>
        </is>
      </c>
      <c r="O67" s="7" t="inlineStr">
        <is>
          <t>Lagging</t>
        </is>
      </c>
      <c r="P67" s="7" t="inlineStr">
        <is>
          <t>Risco</t>
        </is>
      </c>
      <c r="Q67" s="7" t="inlineStr">
        <is>
          <t>perda esperada × redução × atribuição</t>
        </is>
      </c>
      <c r="R67" s="7" t="inlineStr">
        <is>
          <t>Quase-experimental</t>
        </is>
      </c>
      <c r="S67" s="7" t="inlineStr">
        <is>
          <t>Alta</t>
        </is>
      </c>
      <c r="T67" s="7" t="inlineStr">
        <is>
          <t>M2</t>
        </is>
      </c>
    </row>
    <row r="68" ht="62" customHeight="1">
      <c r="A68" s="6" t="inlineStr">
        <is>
          <t>FIN-08</t>
        </is>
      </c>
      <c r="B68" s="6" t="inlineStr">
        <is>
          <t>Financeiro / Impacto</t>
        </is>
      </c>
      <c r="C68" s="6" t="inlineStr">
        <is>
          <t>HUB</t>
        </is>
      </c>
      <c r="D68" s="6" t="inlineStr">
        <is>
          <t>Impacto</t>
        </is>
      </c>
      <c r="E68" s="6" t="inlineStr">
        <is>
          <t>Receita HUB por vertente</t>
        </is>
      </c>
      <c r="F68" s="6" t="inlineStr">
        <is>
          <t>Quais frentes monetizam e com que qualidade?</t>
        </is>
      </c>
      <c r="G68" s="6" t="inlineStr">
        <is>
          <t>Receita reconhecida por licenciamento, serviços e marketplace.</t>
        </is>
      </c>
      <c r="H68" s="6" t="inlineStr">
        <is>
          <t>Σ receita reconhecida por vertente</t>
        </is>
      </c>
      <c r="I68" s="6" t="inlineStr">
        <is>
          <t>R$</t>
        </is>
      </c>
      <c r="J68" s="6" t="inlineStr">
        <is>
          <t>Maior é melhor</t>
        </is>
      </c>
      <c r="K68" s="6" t="inlineStr">
        <is>
          <t>Mensal</t>
        </is>
      </c>
      <c r="L68" s="6" t="inlineStr">
        <is>
          <t>ERP + contrato</t>
        </is>
      </c>
      <c r="M68" s="6" t="inlineStr">
        <is>
          <t>vertente, produto, cliente</t>
        </is>
      </c>
      <c r="N68" s="6" t="inlineStr">
        <is>
          <t>Financeiro HUB</t>
        </is>
      </c>
      <c r="O68" s="6" t="inlineStr">
        <is>
          <t>Lagging</t>
        </is>
      </c>
      <c r="P68" s="6" t="inlineStr">
        <is>
          <t>Receita</t>
        </is>
      </c>
      <c r="Q68" s="6" t="inlineStr">
        <is>
          <t>receita reconhecida</t>
        </is>
      </c>
      <c r="R68" s="6" t="inlineStr">
        <is>
          <t>Descritivo</t>
        </is>
      </c>
      <c r="S68" s="6" t="inlineStr">
        <is>
          <t>Alta</t>
        </is>
      </c>
      <c r="T68" s="6" t="inlineStr">
        <is>
          <t>M0</t>
        </is>
      </c>
    </row>
    <row r="69" ht="62" customHeight="1">
      <c r="A69" s="7" t="inlineStr">
        <is>
          <t>FIN-09</t>
        </is>
      </c>
      <c r="B69" s="7" t="inlineStr">
        <is>
          <t>Financeiro / Impacto</t>
        </is>
      </c>
      <c r="C69" s="7" t="inlineStr">
        <is>
          <t>HUB</t>
        </is>
      </c>
      <c r="D69" s="7" t="inlineStr">
        <is>
          <t>Impacto</t>
        </is>
      </c>
      <c r="E69" s="7" t="inlineStr">
        <is>
          <t>Margem de contribuição HUB</t>
        </is>
      </c>
      <c r="F69" s="7" t="inlineStr">
        <is>
          <t>Qual receita paga custos variáveis e financia escala?</t>
        </is>
      </c>
      <c r="G69" s="7" t="inlineStr">
        <is>
          <t>Receita menos custos variáveis diretos.</t>
        </is>
      </c>
      <c r="H69" s="7" t="inlineStr">
        <is>
          <t>(receita − custos variáveis) / receita</t>
        </is>
      </c>
      <c r="I69" s="7" t="inlineStr">
        <is>
          <t>%</t>
        </is>
      </c>
      <c r="J69" s="7" t="inlineStr">
        <is>
          <t>Maior é melhor</t>
        </is>
      </c>
      <c r="K69" s="7" t="inlineStr">
        <is>
          <t>Mensal</t>
        </is>
      </c>
      <c r="L69" s="7" t="inlineStr">
        <is>
          <t>ERP</t>
        </is>
      </c>
      <c r="M69" s="7" t="inlineStr">
        <is>
          <t>produto, cliente, projeto</t>
        </is>
      </c>
      <c r="N69" s="7" t="inlineStr">
        <is>
          <t>Financeiro HUB</t>
        </is>
      </c>
      <c r="O69" s="7" t="inlineStr">
        <is>
          <t>Lagging</t>
        </is>
      </c>
      <c r="P69" s="7" t="inlineStr">
        <is>
          <t>Margem</t>
        </is>
      </c>
      <c r="Q69" s="7" t="inlineStr">
        <is>
          <t>receita − custo variável</t>
        </is>
      </c>
      <c r="R69" s="7" t="inlineStr">
        <is>
          <t>Descritivo</t>
        </is>
      </c>
      <c r="S69" s="7" t="inlineStr">
        <is>
          <t>Alta</t>
        </is>
      </c>
      <c r="T69" s="7" t="inlineStr">
        <is>
          <t>M1</t>
        </is>
      </c>
    </row>
    <row r="70" ht="62" customHeight="1">
      <c r="A70" s="6" t="inlineStr">
        <is>
          <t>FIN-10</t>
        </is>
      </c>
      <c r="B70" s="6" t="inlineStr">
        <is>
          <t>Financeiro / Impacto</t>
        </is>
      </c>
      <c r="C70" s="6" t="inlineStr">
        <is>
          <t>HUB</t>
        </is>
      </c>
      <c r="D70" s="6" t="inlineStr">
        <is>
          <t>Impacto</t>
        </is>
      </c>
      <c r="E70" s="6" t="inlineStr">
        <is>
          <t>Receita recorrente líquida</t>
        </is>
      </c>
      <c r="F70" s="6" t="inlineStr">
        <is>
          <t>A base cresce após expansão e churn?</t>
        </is>
      </c>
      <c r="G70" s="6" t="inlineStr">
        <is>
          <t>Variação líquida da receita recorrente.</t>
        </is>
      </c>
      <c r="H70" s="6" t="inlineStr">
        <is>
          <t>MRR inicial + expansão − contração − churn</t>
        </is>
      </c>
      <c r="I70" s="6" t="inlineStr">
        <is>
          <t>R$/mês</t>
        </is>
      </c>
      <c r="J70" s="6" t="inlineStr">
        <is>
          <t>Maior é melhor</t>
        </is>
      </c>
      <c r="K70" s="6" t="inlineStr">
        <is>
          <t>Mensal</t>
        </is>
      </c>
      <c r="L70" s="6" t="inlineStr">
        <is>
          <t>Billing + CRM</t>
        </is>
      </c>
      <c r="M70" s="6" t="inlineStr">
        <is>
          <t>produto, cohort, segmento</t>
        </is>
      </c>
      <c r="N70" s="6" t="inlineStr">
        <is>
          <t>Financeiro HUB</t>
        </is>
      </c>
      <c r="O70" s="6" t="inlineStr">
        <is>
          <t>Lagging</t>
        </is>
      </c>
      <c r="P70" s="6" t="inlineStr">
        <is>
          <t>Receita recorrente</t>
        </is>
      </c>
      <c r="Q70" s="6" t="inlineStr">
        <is>
          <t>NRR = MRR final / MRR inicial</t>
        </is>
      </c>
      <c r="R70" s="6" t="inlineStr">
        <is>
          <t>Descritivo</t>
        </is>
      </c>
      <c r="S70" s="6" t="inlineStr">
        <is>
          <t>Alta</t>
        </is>
      </c>
      <c r="T70" s="6" t="inlineStr">
        <is>
          <t>M1</t>
        </is>
      </c>
    </row>
    <row r="71" ht="62" customHeight="1">
      <c r="A71" s="7" t="inlineStr">
        <is>
          <t>DAT-01</t>
        </is>
      </c>
      <c r="B71" s="7" t="inlineStr">
        <is>
          <t>Inteligência / Dados</t>
        </is>
      </c>
      <c r="C71" s="7" t="inlineStr">
        <is>
          <t>Dados</t>
        </is>
      </c>
      <c r="D71" s="7" t="inlineStr">
        <is>
          <t>Qualidade</t>
        </is>
      </c>
      <c r="E71" s="7" t="inlineStr">
        <is>
          <t>Completude de dados críticos</t>
        </is>
      </c>
      <c r="F71" s="7" t="inlineStr">
        <is>
          <t>Os campos essenciais existem?</t>
        </is>
      </c>
      <c r="G71" s="7" t="inlineStr">
        <is>
          <t>Percentual de valores válidos em campos críticos.</t>
        </is>
      </c>
      <c r="H71" s="7" t="inlineStr">
        <is>
          <t>valores válidos / valores esperados</t>
        </is>
      </c>
      <c r="I71" s="7" t="inlineStr">
        <is>
          <t>%</t>
        </is>
      </c>
      <c r="J71" s="7" t="inlineStr">
        <is>
          <t>Maior é melhor</t>
        </is>
      </c>
      <c r="K71" s="7" t="inlineStr">
        <is>
          <t>Diária</t>
        </is>
      </c>
      <c r="L71" s="7" t="inlineStr">
        <is>
          <t>Observabilidade</t>
        </is>
      </c>
      <c r="M71" s="7" t="inlineStr">
        <is>
          <t>fonte, campo, domínio</t>
        </is>
      </c>
      <c r="N71" s="7" t="inlineStr">
        <is>
          <t>Data Governance</t>
        </is>
      </c>
      <c r="O71" s="7" t="inlineStr">
        <is>
          <t>Leading</t>
        </is>
      </c>
      <c r="P71" s="7" t="inlineStr">
        <is>
          <t>Confiabilidade</t>
        </is>
      </c>
      <c r="Q71" s="7" t="inlineStr">
        <is>
          <t>não monetizar isoladamente</t>
        </is>
      </c>
      <c r="R71" s="7" t="inlineStr">
        <is>
          <t>Descritivo</t>
        </is>
      </c>
      <c r="S71" s="7" t="inlineStr">
        <is>
          <t>Alta</t>
        </is>
      </c>
      <c r="T71" s="7" t="inlineStr">
        <is>
          <t>M0</t>
        </is>
      </c>
    </row>
    <row r="72" ht="62" customHeight="1">
      <c r="A72" s="6" t="inlineStr">
        <is>
          <t>DAT-02</t>
        </is>
      </c>
      <c r="B72" s="6" t="inlineStr">
        <is>
          <t>Inteligência / Dados</t>
        </is>
      </c>
      <c r="C72" s="6" t="inlineStr">
        <is>
          <t>Dados</t>
        </is>
      </c>
      <c r="D72" s="6" t="inlineStr">
        <is>
          <t>Qualidade</t>
        </is>
      </c>
      <c r="E72" s="6" t="inlineStr">
        <is>
          <t>Atualidade dos dados</t>
        </is>
      </c>
      <c r="F72" s="6" t="inlineStr">
        <is>
          <t>Os dados chegam a tempo da decisão?</t>
        </is>
      </c>
      <c r="G72" s="6" t="inlineStr">
        <is>
          <t>Registros dentro do SLA de atualização.</t>
        </is>
      </c>
      <c r="H72" s="6" t="inlineStr">
        <is>
          <t>registros no SLA / registros esperados</t>
        </is>
      </c>
      <c r="I72" s="6" t="inlineStr">
        <is>
          <t>%</t>
        </is>
      </c>
      <c r="J72" s="6" t="inlineStr">
        <is>
          <t>Maior é melhor</t>
        </is>
      </c>
      <c r="K72" s="6" t="inlineStr">
        <is>
          <t>Diária</t>
        </is>
      </c>
      <c r="L72" s="6" t="inlineStr">
        <is>
          <t>Pipelines</t>
        </is>
      </c>
      <c r="M72" s="6" t="inlineStr">
        <is>
          <t>fonte, domínio</t>
        </is>
      </c>
      <c r="N72" s="6" t="inlineStr">
        <is>
          <t>Data Engineering</t>
        </is>
      </c>
      <c r="O72" s="6" t="inlineStr">
        <is>
          <t>Leading</t>
        </is>
      </c>
      <c r="P72" s="6" t="inlineStr">
        <is>
          <t>Risco / decisão</t>
        </is>
      </c>
      <c r="Q72" s="6" t="inlineStr">
        <is>
          <t>incidentes evitados × custo médio</t>
        </is>
      </c>
      <c r="R72" s="6" t="inlineStr">
        <is>
          <t>Descritivo</t>
        </is>
      </c>
      <c r="S72" s="6" t="inlineStr">
        <is>
          <t>Alta</t>
        </is>
      </c>
      <c r="T72" s="6" t="inlineStr">
        <is>
          <t>M0</t>
        </is>
      </c>
    </row>
    <row r="73" ht="62" customHeight="1">
      <c r="A73" s="7" t="inlineStr">
        <is>
          <t>DAT-03</t>
        </is>
      </c>
      <c r="B73" s="7" t="inlineStr">
        <is>
          <t>Inteligência / Dados</t>
        </is>
      </c>
      <c r="C73" s="7" t="inlineStr">
        <is>
          <t>Dados</t>
        </is>
      </c>
      <c r="D73" s="7" t="inlineStr">
        <is>
          <t>Qualidade</t>
        </is>
      </c>
      <c r="E73" s="7" t="inlineStr">
        <is>
          <t>Taxa de identidade resolvida</t>
        </is>
      </c>
      <c r="F73" s="7" t="inlineStr">
        <is>
          <t>Conseguimos conectar a mesma entidade entre fontes?</t>
        </is>
      </c>
      <c r="G73" s="7" t="inlineStr">
        <is>
          <t>Registros conciliados com chave confiável.</t>
        </is>
      </c>
      <c r="H73" s="7" t="inlineStr">
        <is>
          <t>identidades resolvidas / registros elegíveis</t>
        </is>
      </c>
      <c r="I73" s="7" t="inlineStr">
        <is>
          <t>%</t>
        </is>
      </c>
      <c r="J73" s="7" t="inlineStr">
        <is>
          <t>Maior é melhor</t>
        </is>
      </c>
      <c r="K73" s="7" t="inlineStr">
        <is>
          <t>Diária</t>
        </is>
      </c>
      <c r="L73" s="7" t="inlineStr">
        <is>
          <t>MDM</t>
        </is>
      </c>
      <c r="M73" s="7" t="inlineStr">
        <is>
          <t>fonte, entidade</t>
        </is>
      </c>
      <c r="N73" s="7" t="inlineStr">
        <is>
          <t>Data Engineering</t>
        </is>
      </c>
      <c r="O73" s="7" t="inlineStr">
        <is>
          <t>Leading</t>
        </is>
      </c>
      <c r="P73" s="7" t="inlineStr">
        <is>
          <t>Atribuição / qualidade</t>
        </is>
      </c>
      <c r="Q73" s="7" t="inlineStr">
        <is>
          <t>redução de retrabalho e dupla contagem</t>
        </is>
      </c>
      <c r="R73" s="7" t="inlineStr">
        <is>
          <t>Descritivo</t>
        </is>
      </c>
      <c r="S73" s="7" t="inlineStr">
        <is>
          <t>Alta</t>
        </is>
      </c>
      <c r="T73" s="7" t="inlineStr">
        <is>
          <t>M0</t>
        </is>
      </c>
    </row>
    <row r="74" ht="62" customHeight="1">
      <c r="A74" s="6" t="inlineStr">
        <is>
          <t>DAT-04</t>
        </is>
      </c>
      <c r="B74" s="6" t="inlineStr">
        <is>
          <t>Inteligência / Dados</t>
        </is>
      </c>
      <c r="C74" s="6" t="inlineStr">
        <is>
          <t>Inteligência</t>
        </is>
      </c>
      <c r="D74" s="6" t="inlineStr">
        <is>
          <t>Modelo</t>
        </is>
      </c>
      <c r="E74" s="6" t="inlineStr">
        <is>
          <t>Cobertura de score</t>
        </is>
      </c>
      <c r="F74" s="6" t="inlineStr">
        <is>
          <t>Para quantos casos o modelo produz score válido?</t>
        </is>
      </c>
      <c r="G74" s="6" t="inlineStr">
        <is>
          <t>Casos elegíveis com score dentro do SLA.</t>
        </is>
      </c>
      <c r="H74" s="6" t="inlineStr">
        <is>
          <t>casos com score / casos elegíveis</t>
        </is>
      </c>
      <c r="I74" s="6" t="inlineStr">
        <is>
          <t>%</t>
        </is>
      </c>
      <c r="J74" s="6" t="inlineStr">
        <is>
          <t>Maior é melhor</t>
        </is>
      </c>
      <c r="K74" s="6" t="inlineStr">
        <is>
          <t>Diária</t>
        </is>
      </c>
      <c r="L74" s="6" t="inlineStr">
        <is>
          <t>MLOps</t>
        </is>
      </c>
      <c r="M74" s="6" t="inlineStr">
        <is>
          <t>modelo, segmento</t>
        </is>
      </c>
      <c r="N74" s="6" t="inlineStr">
        <is>
          <t>Data Science</t>
        </is>
      </c>
      <c r="O74" s="6" t="inlineStr">
        <is>
          <t>Leading</t>
        </is>
      </c>
      <c r="P74" s="6" t="inlineStr">
        <is>
          <t>Escala</t>
        </is>
      </c>
      <c r="Q74" s="6" t="inlineStr">
        <is>
          <t>não monetizar isoladamente</t>
        </is>
      </c>
      <c r="R74" s="6" t="inlineStr">
        <is>
          <t>Descritivo</t>
        </is>
      </c>
      <c r="S74" s="6" t="inlineStr">
        <is>
          <t>Média</t>
        </is>
      </c>
      <c r="T74" s="6" t="inlineStr">
        <is>
          <t>M1</t>
        </is>
      </c>
    </row>
    <row r="75" ht="62" customHeight="1">
      <c r="A75" s="7" t="inlineStr">
        <is>
          <t>DAT-05</t>
        </is>
      </c>
      <c r="B75" s="7" t="inlineStr">
        <is>
          <t>Inteligência / Dados</t>
        </is>
      </c>
      <c r="C75" s="7" t="inlineStr">
        <is>
          <t>Inteligência</t>
        </is>
      </c>
      <c r="D75" s="7" t="inlineStr">
        <is>
          <t>Modelo</t>
        </is>
      </c>
      <c r="E75" s="7" t="inlineStr">
        <is>
          <t>Acurácia / calibração</t>
        </is>
      </c>
      <c r="F75" s="7" t="inlineStr">
        <is>
          <t>O score corresponde à probabilidade real?</t>
        </is>
      </c>
      <c r="G75" s="7" t="inlineStr">
        <is>
          <t>Performance preditiva e calibração por cohort.</t>
        </is>
      </c>
      <c r="H75" s="7" t="inlineStr">
        <is>
          <t>métrica adequada ao modelo: AUC, MAE, Brier</t>
        </is>
      </c>
      <c r="I75" s="7" t="inlineStr">
        <is>
          <t>score</t>
        </is>
      </c>
      <c r="J75" s="7" t="inlineStr">
        <is>
          <t>Maior é melhor</t>
        </is>
      </c>
      <c r="K75" s="7" t="inlineStr">
        <is>
          <t>Mensal</t>
        </is>
      </c>
      <c r="L75" s="7" t="inlineStr">
        <is>
          <t>Predição + outcome</t>
        </is>
      </c>
      <c r="M75" s="7" t="inlineStr">
        <is>
          <t>modelo, cohort, segmento</t>
        </is>
      </c>
      <c r="N75" s="7" t="inlineStr">
        <is>
          <t>Data Science</t>
        </is>
      </c>
      <c r="O75" s="7" t="inlineStr">
        <is>
          <t>Lagging</t>
        </is>
      </c>
      <c r="P75" s="7" t="inlineStr">
        <is>
          <t>Conversão / risco</t>
        </is>
      </c>
      <c r="Q75" s="7" t="inlineStr">
        <is>
          <t>uplift de decisão × valor por outcome</t>
        </is>
      </c>
      <c r="R75" s="7" t="inlineStr">
        <is>
          <t>Quase-experimental</t>
        </is>
      </c>
      <c r="S75" s="7" t="inlineStr">
        <is>
          <t>Alta</t>
        </is>
      </c>
      <c r="T75" s="7" t="inlineStr">
        <is>
          <t>M1</t>
        </is>
      </c>
    </row>
    <row r="76" ht="62" customHeight="1">
      <c r="A76" s="6" t="inlineStr">
        <is>
          <t>DAT-06</t>
        </is>
      </c>
      <c r="B76" s="6" t="inlineStr">
        <is>
          <t>Inteligência / Dados</t>
        </is>
      </c>
      <c r="C76" s="6" t="inlineStr">
        <is>
          <t>Inteligência</t>
        </is>
      </c>
      <c r="D76" s="6" t="inlineStr">
        <is>
          <t>Modelo</t>
        </is>
      </c>
      <c r="E76" s="6" t="inlineStr">
        <is>
          <t>Fairness do modelo</t>
        </is>
      </c>
      <c r="F76" s="6" t="inlineStr">
        <is>
          <t>O desempenho varia de forma injustificada entre grupos?</t>
        </is>
      </c>
      <c r="G76" s="6" t="inlineStr">
        <is>
          <t>Diferença de erro, seleção ou calibração entre cohorts protegidos.</t>
        </is>
      </c>
      <c r="H76" s="6" t="inlineStr">
        <is>
          <t>máx diferença entre grupos em métrica definida</t>
        </is>
      </c>
      <c r="I76" s="6" t="inlineStr">
        <is>
          <t>p.p.</t>
        </is>
      </c>
      <c r="J76" s="6" t="inlineStr">
        <is>
          <t>Menor é melhor</t>
        </is>
      </c>
      <c r="K76" s="6" t="inlineStr">
        <is>
          <t>Mensal</t>
        </is>
      </c>
      <c r="L76" s="6" t="inlineStr">
        <is>
          <t>Predição + outcome + cohort</t>
        </is>
      </c>
      <c r="M76" s="6" t="inlineStr">
        <is>
          <t>grupo, modelo, decisão</t>
        </is>
      </c>
      <c r="N76" s="6" t="inlineStr">
        <is>
          <t>AI Governance</t>
        </is>
      </c>
      <c r="O76" s="6" t="inlineStr">
        <is>
          <t>Lagging</t>
        </is>
      </c>
      <c r="P76" s="6" t="inlineStr">
        <is>
          <t>Risco / confiança</t>
        </is>
      </c>
      <c r="Q76" s="6" t="inlineStr">
        <is>
          <t>risco esperado de decisão inadequada</t>
        </is>
      </c>
      <c r="R76" s="6" t="inlineStr">
        <is>
          <t>Quase-experimental</t>
        </is>
      </c>
      <c r="S76" s="6" t="inlineStr">
        <is>
          <t>Alta</t>
        </is>
      </c>
      <c r="T76" s="6" t="inlineStr">
        <is>
          <t>M1</t>
        </is>
      </c>
    </row>
    <row r="77" ht="62" customHeight="1">
      <c r="A77" s="7" t="inlineStr">
        <is>
          <t>DAT-07</t>
        </is>
      </c>
      <c r="B77" s="7" t="inlineStr">
        <is>
          <t>Inteligência / Dados</t>
        </is>
      </c>
      <c r="C77" s="7" t="inlineStr">
        <is>
          <t>Inteligência</t>
        </is>
      </c>
      <c r="D77" s="7" t="inlineStr">
        <is>
          <t>Modelo</t>
        </is>
      </c>
      <c r="E77" s="7" t="inlineStr">
        <is>
          <t>Drift de dados / modelo</t>
        </is>
      </c>
      <c r="F77" s="7" t="inlineStr">
        <is>
          <t>A população ou relação mudou?</t>
        </is>
      </c>
      <c r="G77" s="7" t="inlineStr">
        <is>
          <t>Divergência de distribuição e queda de performance.</t>
        </is>
      </c>
      <c r="H77" s="7" t="inlineStr">
        <is>
          <t>PSI / divergência / delta de performance</t>
        </is>
      </c>
      <c r="I77" s="7" t="inlineStr">
        <is>
          <t>índice</t>
        </is>
      </c>
      <c r="J77" s="7" t="inlineStr">
        <is>
          <t>Menor é melhor</t>
        </is>
      </c>
      <c r="K77" s="7" t="inlineStr">
        <is>
          <t>Semanal</t>
        </is>
      </c>
      <c r="L77" s="7" t="inlineStr">
        <is>
          <t>MLOps</t>
        </is>
      </c>
      <c r="M77" s="7" t="inlineStr">
        <is>
          <t>feature, modelo, segmento</t>
        </is>
      </c>
      <c r="N77" s="7" t="inlineStr">
        <is>
          <t>Data Science</t>
        </is>
      </c>
      <c r="O77" s="7" t="inlineStr">
        <is>
          <t>Leading</t>
        </is>
      </c>
      <c r="P77" s="7" t="inlineStr">
        <is>
          <t>Risco / performance</t>
        </is>
      </c>
      <c r="Q77" s="7" t="inlineStr">
        <is>
          <t>perda esperada durante drift × tempo de resposta</t>
        </is>
      </c>
      <c r="R77" s="7" t="inlineStr">
        <is>
          <t>Descritivo</t>
        </is>
      </c>
      <c r="S77" s="7" t="inlineStr">
        <is>
          <t>Média</t>
        </is>
      </c>
      <c r="T77" s="7" t="inlineStr">
        <is>
          <t>M1</t>
        </is>
      </c>
    </row>
    <row r="78" ht="62" customHeight="1">
      <c r="A78" s="6" t="inlineStr">
        <is>
          <t>DAT-08</t>
        </is>
      </c>
      <c r="B78" s="6" t="inlineStr">
        <is>
          <t>Inteligência / Dados</t>
        </is>
      </c>
      <c r="C78" s="6" t="inlineStr">
        <is>
          <t>Executiva</t>
        </is>
      </c>
      <c r="D78" s="6" t="inlineStr">
        <is>
          <t>Evidência</t>
        </is>
      </c>
      <c r="E78" s="6" t="inlineStr">
        <is>
          <t>Índice de confiança do impacto</t>
        </is>
      </c>
      <c r="F78" s="6" t="inlineStr">
        <is>
          <t>Quão sólida é a prova apresentada?</t>
        </is>
      </c>
      <c r="G78" s="6" t="inlineStr">
        <is>
          <t>Score de qualidade de baseline, comparação, amostra e atribuição.</t>
        </is>
      </c>
      <c r="H78" s="6" t="inlineStr">
        <is>
          <t>média ponderada(baseline, controle, amostra, rastreabilidade)</t>
        </is>
      </c>
      <c r="I78" s="6" t="inlineStr">
        <is>
          <t>score 0–100</t>
        </is>
      </c>
      <c r="J78" s="6" t="inlineStr">
        <is>
          <t>Maior é melhor</t>
        </is>
      </c>
      <c r="K78" s="6" t="inlineStr">
        <is>
          <t>Trimestral</t>
        </is>
      </c>
      <c r="L78" s="6" t="inlineStr">
        <is>
          <t>Metadados de análise</t>
        </is>
      </c>
      <c r="M78" s="6" t="inlineStr">
        <is>
          <t>indicador, cliente, programa</t>
        </is>
      </c>
      <c r="N78" s="6" t="inlineStr">
        <is>
          <t>Inteligência / Financeiro</t>
        </is>
      </c>
      <c r="O78" s="6" t="inlineStr">
        <is>
          <t>Lagging</t>
        </is>
      </c>
      <c r="P78" s="6" t="inlineStr">
        <is>
          <t>Confiança</t>
        </is>
      </c>
      <c r="Q78" s="6" t="inlineStr">
        <is>
          <t>aplicar haircut financeiro conforme nível de evidência</t>
        </is>
      </c>
      <c r="R78" s="6" t="inlineStr">
        <is>
          <t>Quase-experimental</t>
        </is>
      </c>
      <c r="S78" s="6" t="inlineStr">
        <is>
          <t>Alta</t>
        </is>
      </c>
      <c r="T78" s="6" t="inlineStr">
        <is>
          <t>M2</t>
        </is>
      </c>
    </row>
  </sheetData>
  <autoFilter ref="A5:T78"/>
  <mergeCells count="2">
    <mergeCell ref="A1:T2"/>
    <mergeCell ref="A3:T3"/>
  </mergeCells>
  <conditionalFormatting sqref="S6:S78">
    <cfRule type="expression" priority="1" dxfId="0">
      <formula>$S6="Alta"</formula>
    </cfRule>
    <cfRule type="expression" priority="2" dxfId="1">
      <formula>$S6="Média"</formula>
    </cfRule>
  </conditionalFormatting>
  <conditionalFormatting sqref="T6:T78">
    <cfRule type="expression" priority="3" dxfId="2">
      <formula>$T6="M0"</formula>
    </cfRule>
  </conditionalFormatting>
  <dataValidations count="3">
    <dataValidation sqref="J6:J78" showDropDown="0" showInputMessage="0" showErrorMessage="0" allowBlank="1" type="list">
      <formula1>"Maior é melhor,Menor é melhor,Faixa ótima,Contextual"</formula1>
    </dataValidation>
    <dataValidation sqref="R6:R78" showDropDown="0" showInputMessage="0" showErrorMessage="0" allowBlank="1" type="list">
      <formula1>"Descritivo,Correlação,Quase-experimental,Experimental"</formula1>
    </dataValidation>
    <dataValidation sqref="S6:S78" showDropDown="0" showInputMessage="0" showErrorMessage="0" allowBlank="1" type="list">
      <formula1>"Alta,Média,Baixa"</formula1>
    </dataValidation>
  </dataValidation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2B84B"/>
    <outlinePr summaryBelow="1" summaryRight="1"/>
    <pageSetUpPr fitToPage="1"/>
  </sheetPr>
  <dimension ref="A1:J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28" customWidth="1" min="4" max="4"/>
    <col width="44" customWidth="1" min="5" max="5"/>
    <col width="38" customWidth="1" min="6" max="6"/>
    <col width="34" customWidth="1" min="7" max="7"/>
    <col width="42" customWidth="1" min="8" max="8"/>
    <col width="20" customWidth="1" min="9" max="9"/>
    <col width="34" customWidth="1" min="10" max="10"/>
  </cols>
  <sheetData>
    <row r="1" ht="26" customHeight="1">
      <c r="A1" s="1" t="inlineStr">
        <is>
          <t>Árvore de valor financeiro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Cadeias causais que conectam uma ação da HUB a resultado monetizável.</t>
        </is>
      </c>
    </row>
    <row r="5" ht="34" customHeight="1">
      <c r="A5" s="44" t="inlineStr">
        <is>
          <t>Alavanca</t>
        </is>
      </c>
      <c r="B5" s="44" t="inlineStr">
        <is>
          <t>Cadeia causal</t>
        </is>
      </c>
      <c r="C5" s="44" t="inlineStr">
        <is>
          <t>Indicadores leading</t>
        </is>
      </c>
      <c r="D5" s="44" t="inlineStr">
        <is>
          <t>Outcome de negócio</t>
        </is>
      </c>
      <c r="E5" s="44" t="inlineStr">
        <is>
          <t>Fórmula financeira</t>
        </is>
      </c>
      <c r="F5" s="44" t="inlineStr">
        <is>
          <t>Dados obrigatórios</t>
        </is>
      </c>
      <c r="G5" s="44" t="inlineStr">
        <is>
          <t>Método mínimo de atribuição</t>
        </is>
      </c>
      <c r="H5" s="44" t="inlineStr">
        <is>
          <t>Proteção contra dupla contagem</t>
        </is>
      </c>
      <c r="I5" s="44" t="inlineStr">
        <is>
          <t>Visão</t>
        </is>
      </c>
      <c r="J5" s="44" t="inlineStr">
        <is>
          <t>Decisão habilitada</t>
        </is>
      </c>
    </row>
    <row r="6" ht="68" customHeight="1">
      <c r="A6" s="6" t="inlineStr">
        <is>
          <t>Produtividade</t>
        </is>
      </c>
      <c r="B6" s="6" t="inlineStr">
        <is>
          <t>capacidade → jornada → performance → output</t>
        </is>
      </c>
      <c r="C6" s="6" t="inlineStr">
        <is>
          <t>prontidão, gap, conclusão</t>
        </is>
      </c>
      <c r="D6" s="6" t="inlineStr">
        <is>
          <t>ganho de produtividade</t>
        </is>
      </c>
      <c r="E6" s="6" t="inlineStr">
        <is>
          <t>pessoas × custo anual carregado × % ganho × atribuição</t>
        </is>
      </c>
      <c r="F6" s="6" t="inlineStr">
        <is>
          <t>custo, população, baseline, cohort</t>
        </is>
      </c>
      <c r="G6" s="6" t="inlineStr">
        <is>
          <t>pré/pós com comparável</t>
        </is>
      </c>
      <c r="H6" s="6" t="inlineStr">
        <is>
          <t>não somar horas e produtividade se representam o mesmo efeito</t>
        </is>
      </c>
      <c r="I6" s="6" t="inlineStr">
        <is>
          <t>RH / CFO</t>
        </is>
      </c>
      <c r="J6" s="6" t="inlineStr">
        <is>
          <t>escalar jornadas com efeito</t>
        </is>
      </c>
    </row>
    <row r="7" ht="68" customHeight="1">
      <c r="A7" s="7" t="inlineStr">
        <is>
          <t>Time-to-productivity</t>
        </is>
      </c>
      <c r="B7" s="7" t="inlineStr">
        <is>
          <t>match → contratação → onboarding → marco</t>
        </is>
      </c>
      <c r="C7" s="7" t="inlineStr">
        <is>
          <t>fit, aceitação, conclusão</t>
        </is>
      </c>
      <c r="D7" s="7" t="inlineStr">
        <is>
          <t>dias até produtividade</t>
        </is>
      </c>
      <c r="E7" s="7" t="inlineStr">
        <is>
          <t>dias reduzidos × custo diário × pessoas × atribuição</t>
        </is>
      </c>
      <c r="F7" s="7" t="inlineStr">
        <is>
          <t>data admissão, marco, custo diário</t>
        </is>
      </c>
      <c r="G7" s="7" t="inlineStr">
        <is>
          <t>cohort histórico ajustado</t>
        </is>
      </c>
      <c r="H7" s="7" t="inlineStr">
        <is>
          <t>não somar ao ganho anual no período sobreposto</t>
        </is>
      </c>
      <c r="I7" s="7" t="inlineStr">
        <is>
          <t>RH / Operação</t>
        </is>
      </c>
      <c r="J7" s="7" t="inlineStr">
        <is>
          <t>melhorar onboarding e matching</t>
        </is>
      </c>
    </row>
    <row r="8" ht="68" customHeight="1">
      <c r="A8" s="6" t="inlineStr">
        <is>
          <t>Retenção</t>
        </is>
      </c>
      <c r="B8" s="6" t="inlineStr">
        <is>
          <t>experiência → capacidade → pertencimento → permanência</t>
        </is>
      </c>
      <c r="C8" s="6" t="inlineStr">
        <is>
          <t>adoção, NPS, evolução</t>
        </is>
      </c>
      <c r="D8" s="6" t="inlineStr">
        <is>
          <t>turnover evitado</t>
        </is>
      </c>
      <c r="E8" s="6" t="inlineStr">
        <is>
          <t>pessoas × redução turnover × custo reposição × atribuição</t>
        </is>
      </c>
      <c r="F8" s="6" t="inlineStr">
        <is>
          <t>turnover, custo reposição, exposição</t>
        </is>
      </c>
      <c r="G8" s="6" t="inlineStr">
        <is>
          <t>diferença-em-diferenças</t>
        </is>
      </c>
      <c r="H8" s="6" t="inlineStr">
        <is>
          <t>não somar vaga evitada e reposição da mesma pessoa</t>
        </is>
      </c>
      <c r="I8" s="6" t="inlineStr">
        <is>
          <t>RH / CFO</t>
        </is>
      </c>
      <c r="J8" s="6" t="inlineStr">
        <is>
          <t>priorizar cohorts de risco</t>
        </is>
      </c>
    </row>
    <row r="9" ht="68" customHeight="1">
      <c r="A9" s="7" t="inlineStr">
        <is>
          <t>Recrutamento</t>
        </is>
      </c>
      <c r="B9" s="7" t="inlineStr">
        <is>
          <t>dados → matching → shortlist → contratação</t>
        </is>
      </c>
      <c r="C9" s="7" t="inlineStr">
        <is>
          <t>precisão do match, fit</t>
        </is>
      </c>
      <c r="D9" s="7" t="inlineStr">
        <is>
          <t>time-to-fill e custo por contratação</t>
        </is>
      </c>
      <c r="E9" s="7" t="inlineStr">
        <is>
          <t>dias evitados × custo de vacância + custo operacional evitado</t>
        </is>
      </c>
      <c r="F9" s="7" t="inlineStr">
        <is>
          <t>ATS, custo, datas, origem</t>
        </is>
      </c>
      <c r="G9" s="7" t="inlineStr">
        <is>
          <t>cohort de vagas comparáveis</t>
        </is>
      </c>
      <c r="H9" s="7" t="inlineStr">
        <is>
          <t>separar custo operacional de vacância</t>
        </is>
      </c>
      <c r="I9" s="7" t="inlineStr">
        <is>
          <t>Talent Acquisition</t>
        </is>
      </c>
      <c r="J9" s="7" t="inlineStr">
        <is>
          <t>otimizar canais e regras</t>
        </is>
      </c>
    </row>
    <row r="10" ht="68" customHeight="1">
      <c r="A10" s="6" t="inlineStr">
        <is>
          <t>Compras</t>
        </is>
      </c>
      <c r="B10" s="6" t="inlineStr">
        <is>
          <t>demanda → match → homologação → contrato</t>
        </is>
      </c>
      <c r="C10" s="6" t="inlineStr">
        <is>
          <t>cobertura, elegibilidade</t>
        </is>
      </c>
      <c r="D10" s="6" t="inlineStr">
        <is>
          <t>ciclo e saving</t>
        </is>
      </c>
      <c r="E10" s="6" t="inlineStr">
        <is>
          <t>saving validado + custo de ciclo evitado</t>
        </is>
      </c>
      <c r="F10" s="6" t="inlineStr">
        <is>
          <t>preço referência, realizado, volume, horas</t>
        </is>
      </c>
      <c r="G10" s="6" t="inlineStr">
        <is>
          <t>comparação por categoria</t>
        </is>
      </c>
      <c r="H10" s="6" t="inlineStr">
        <is>
          <t>não somar desconto e margem se mesmo efeito</t>
        </is>
      </c>
      <c r="I10" s="6" t="inlineStr">
        <is>
          <t>Compras / CFO</t>
        </is>
      </c>
      <c r="J10" s="6" t="inlineStr">
        <is>
          <t>escalar categorias com prova</t>
        </is>
      </c>
    </row>
    <row r="11" ht="68" customHeight="1">
      <c r="A11" s="7" t="inlineStr">
        <is>
          <t>Risco</t>
        </is>
      </c>
      <c r="B11" s="7" t="inlineStr">
        <is>
          <t>diagnóstico → alerta → controle → risco residual</t>
        </is>
      </c>
      <c r="C11" s="7" t="inlineStr">
        <is>
          <t>cobertura, severidade</t>
        </is>
      </c>
      <c r="D11" s="7" t="inlineStr">
        <is>
          <t>perda esperada reduzida</t>
        </is>
      </c>
      <c r="E11" s="7" t="inlineStr">
        <is>
          <t>probabilidade × impacto × delta de risco × atribuição</t>
        </is>
      </c>
      <c r="F11" s="7" t="inlineStr">
        <is>
          <t>matriz de risco, incidentes, controles</t>
        </is>
      </c>
      <c r="G11" s="7" t="inlineStr">
        <is>
          <t>baseline e revisão de especialista</t>
        </is>
      </c>
      <c r="H11" s="7" t="inlineStr">
        <is>
          <t>não somar custo real e risco esperado do mesmo evento</t>
        </is>
      </c>
      <c r="I11" s="7" t="inlineStr">
        <is>
          <t>Riscos / Jurídico</t>
        </is>
      </c>
      <c r="J11" s="7" t="inlineStr">
        <is>
          <t>priorizar mitigação</t>
        </is>
      </c>
    </row>
    <row r="12" ht="68" customHeight="1">
      <c r="A12" s="6" t="inlineStr">
        <is>
          <t>Receita incremental</t>
        </is>
      </c>
      <c r="B12" s="6" t="inlineStr">
        <is>
          <t>sinal → oportunidade → ação → contrato</t>
        </is>
      </c>
      <c r="C12" s="6" t="inlineStr">
        <is>
          <t>propensão, pipeline</t>
        </is>
      </c>
      <c r="D12" s="6" t="inlineStr">
        <is>
          <t>negócio incremental</t>
        </is>
      </c>
      <c r="E12" s="6" t="inlineStr">
        <is>
          <t>receita incremental × margem de contribuição × atribuição</t>
        </is>
      </c>
      <c r="F12" s="6" t="inlineStr">
        <is>
          <t>touchpoints, contrato, margem, baseline</t>
        </is>
      </c>
      <c r="G12" s="6" t="inlineStr">
        <is>
          <t>holdout, geo ou cohort</t>
        </is>
      </c>
      <c r="H12" s="6" t="inlineStr">
        <is>
          <t>monetizar margem; receita é informativa</t>
        </is>
      </c>
      <c r="I12" s="6" t="inlineStr">
        <is>
          <t>Comercial / CFO</t>
        </is>
      </c>
      <c r="J12" s="6" t="inlineStr">
        <is>
          <t>investir em canais e ofertas</t>
        </is>
      </c>
    </row>
    <row r="13" ht="68" customHeight="1">
      <c r="A13" s="7" t="inlineStr">
        <is>
          <t>Receita recorrente HUB</t>
        </is>
      </c>
      <c r="B13" s="7" t="inlineStr">
        <is>
          <t>ativação → valor → renovação → expansão</t>
        </is>
      </c>
      <c r="C13" s="7" t="inlineStr">
        <is>
          <t>time-to-value, uso</t>
        </is>
      </c>
      <c r="D13" s="7" t="inlineStr">
        <is>
          <t>MRR, NRR, churn</t>
        </is>
      </c>
      <c r="E13" s="7" t="inlineStr">
        <is>
          <t>MRR inicial + expansão − contração − churn</t>
        </is>
      </c>
      <c r="F13" s="7" t="inlineStr">
        <is>
          <t>billing, CRM, uso, plano</t>
        </is>
      </c>
      <c r="G13" s="7" t="inlineStr">
        <is>
          <t>cohort de clientes</t>
        </is>
      </c>
      <c r="H13" s="7" t="inlineStr">
        <is>
          <t>não somar ARR e MRR anualizado</t>
        </is>
      </c>
      <c r="I13" s="7" t="inlineStr">
        <is>
          <t>CEO HUB</t>
        </is>
      </c>
      <c r="J13" s="7" t="inlineStr">
        <is>
          <t>produto, preço e CS</t>
        </is>
      </c>
    </row>
    <row r="14" ht="68" customHeight="1">
      <c r="A14" s="6" t="inlineStr">
        <is>
          <t>Marketplace</t>
        </is>
      </c>
      <c r="B14" s="6" t="inlineStr">
        <is>
          <t>oferta → match → contrato → transação</t>
        </is>
      </c>
      <c r="C14" s="6" t="inlineStr">
        <is>
          <t>cobertura, conversão</t>
        </is>
      </c>
      <c r="D14" s="6" t="inlineStr">
        <is>
          <t>GMV e take rate</t>
        </is>
      </c>
      <c r="E14" s="6" t="inlineStr">
        <is>
          <t>GMV elegível × take rate − custos variáveis</t>
        </is>
      </c>
      <c r="F14" s="6" t="inlineStr">
        <is>
          <t>contrato, transação, origem</t>
        </is>
      </c>
      <c r="G14" s="6" t="inlineStr">
        <is>
          <t>rastreabilidade do match</t>
        </is>
      </c>
      <c r="H14" s="6" t="inlineStr">
        <is>
          <t>separar GMV de receita HUB</t>
        </is>
      </c>
      <c r="I14" s="6" t="inlineStr">
        <is>
          <t>Marketplace</t>
        </is>
      </c>
      <c r="J14" s="6" t="inlineStr">
        <is>
          <t>liquidez e monetização</t>
        </is>
      </c>
    </row>
    <row r="15" ht="68" customHeight="1">
      <c r="A15" s="7" t="inlineStr">
        <is>
          <t>Entidade</t>
        </is>
      </c>
      <c r="B15" s="7" t="inlineStr">
        <is>
          <t>dados → benchmark → serviço → renovação</t>
        </is>
      </c>
      <c r="C15" s="7" t="inlineStr">
        <is>
          <t>cobertura, ativação</t>
        </is>
      </c>
      <c r="D15" s="7" t="inlineStr">
        <is>
          <t>valor por associado e renovação</t>
        </is>
      </c>
      <c r="E15" s="7" t="inlineStr">
        <is>
          <t>renovações incrementais × ARR médio × margem</t>
        </is>
      </c>
      <c r="F15" s="7" t="inlineStr">
        <is>
          <t>associados, uso, contrato, benefício</t>
        </is>
      </c>
      <c r="G15" s="7" t="inlineStr">
        <is>
          <t>cohort por tier</t>
        </is>
      </c>
      <c r="H15" s="7" t="inlineStr">
        <is>
          <t>não somar benefício do associado à receita da entidade</t>
        </is>
      </c>
      <c r="I15" s="7" t="inlineStr">
        <is>
          <t>Firjan / entidades</t>
        </is>
      </c>
      <c r="J15" s="7" t="inlineStr">
        <is>
          <t>portfólio de serviços</t>
        </is>
      </c>
    </row>
    <row r="16" ht="68" customHeight="1">
      <c r="A16" s="6" t="inlineStr">
        <is>
          <t>Marketing</t>
        </is>
      </c>
      <c r="B16" s="6" t="inlineStr">
        <is>
          <t>alcance → lead → oportunidade → contrato</t>
        </is>
      </c>
      <c r="C16" s="6" t="inlineStr">
        <is>
          <t>alcance qualificado, CPL</t>
        </is>
      </c>
      <c r="D16" s="6" t="inlineStr">
        <is>
          <t>pipeline e margem incremental</t>
        </is>
      </c>
      <c r="E16" s="6" t="inlineStr">
        <is>
          <t>delta conversão × volume × ticket × margem × atribuição</t>
        </is>
      </c>
      <c r="F16" s="6" t="inlineStr">
        <is>
          <t>UTM, CRM, custo, margem</t>
        </is>
      </c>
      <c r="G16" s="6" t="inlineStr">
        <is>
          <t>holdout/campanha comparável</t>
        </is>
      </c>
      <c r="H16" s="6" t="inlineStr">
        <is>
          <t>não somar pipeline e receita fechada</t>
        </is>
      </c>
      <c r="I16" s="6" t="inlineStr">
        <is>
          <t>Marketing / RevOps</t>
        </is>
      </c>
      <c r="J16" s="6" t="inlineStr">
        <is>
          <t>mix de mídia</t>
        </is>
      </c>
    </row>
    <row r="17" ht="68" customHeight="1">
      <c r="A17" s="7" t="inlineStr">
        <is>
          <t>Inovação / novos mercados</t>
        </is>
      </c>
      <c r="B17" s="7" t="inlineStr">
        <is>
          <t>rede → conexão → piloto → receita</t>
        </is>
      </c>
      <c r="C17" s="7" t="inlineStr">
        <is>
          <t>densidade, matches</t>
        </is>
      </c>
      <c r="D17" s="7" t="inlineStr">
        <is>
          <t>novos produtos/mercados</t>
        </is>
      </c>
      <c r="E17" s="7" t="inlineStr">
        <is>
          <t>margem incremental dos negócios com origem rastreada</t>
        </is>
      </c>
      <c r="F17" s="7" t="inlineStr">
        <is>
          <t>origem, projeto, contrato, margem</t>
        </is>
      </c>
      <c r="G17" s="7" t="inlineStr">
        <is>
          <t>contrafactual documentado</t>
        </is>
      </c>
      <c r="H17" s="7" t="inlineStr">
        <is>
          <t>separar receita existente de expansão</t>
        </is>
      </c>
      <c r="I17" s="7" t="inlineStr">
        <is>
          <t>Estratégia</t>
        </is>
      </c>
      <c r="J17" s="7" t="inlineStr">
        <is>
          <t>replicar casos</t>
        </is>
      </c>
    </row>
  </sheetData>
  <autoFilter ref="A5:J17"/>
  <mergeCells count="2">
    <mergeCell ref="A1:J2"/>
    <mergeCell ref="A3:J3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7D51F"/>
    <outlinePr summaryBelow="1" summaryRight="1"/>
    <pageSetUpPr fitToPage="1"/>
  </sheetPr>
  <dimension ref="A1:L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5" customWidth="1" min="4" max="4"/>
    <col width="36" customWidth="1" min="5" max="5"/>
    <col width="3" customWidth="1" min="6" max="6"/>
    <col width="28" customWidth="1" min="7" max="7"/>
    <col width="22" customWidth="1" min="8" max="8"/>
    <col width="25" customWidth="1" min="9" max="9"/>
    <col width="22" customWidth="1" min="10" max="10"/>
    <col width="20" customWidth="1" min="11" max="11"/>
    <col width="28" customWidth="1" min="12" max="12"/>
  </cols>
  <sheetData>
    <row r="1" ht="26" customHeight="1">
      <c r="A1" s="1" t="inlineStr">
        <is>
          <t>Simulador financeiro | cliente e HUB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Células amarelas são premissas editáveis. Valores atuais são exemplos ilustrativos.</t>
        </is>
      </c>
    </row>
    <row r="5" ht="24" customHeight="1">
      <c r="A5" s="5" t="inlineStr">
        <is>
          <t>A. Premissas do cliente</t>
        </is>
      </c>
      <c r="G5" s="8" t="inlineStr">
        <is>
          <t>B. Valor financeiro atribuído</t>
        </is>
      </c>
    </row>
    <row r="7">
      <c r="A7" s="44" t="inlineStr">
        <is>
          <t>Chave</t>
        </is>
      </c>
      <c r="B7" s="44" t="inlineStr">
        <is>
          <t>Premissa</t>
        </is>
      </c>
      <c r="C7" s="44" t="inlineStr">
        <is>
          <t>Valor</t>
        </is>
      </c>
      <c r="D7" s="44" t="inlineStr">
        <is>
          <t>Unidade</t>
        </is>
      </c>
      <c r="E7" s="44" t="inlineStr">
        <is>
          <t>Observação</t>
        </is>
      </c>
      <c r="G7" s="44" t="inlineStr">
        <is>
          <t>Alavanca</t>
        </is>
      </c>
      <c r="H7" s="44" t="inlineStr">
        <is>
          <t>Benefício anual</t>
        </is>
      </c>
      <c r="I7" s="44" t="inlineStr">
        <is>
          <t>Regra</t>
        </is>
      </c>
    </row>
    <row r="8" ht="28" customHeight="1">
      <c r="A8" s="7" t="inlineStr">
        <is>
          <t>invest_licenca</t>
        </is>
      </c>
      <c r="B8" s="7" t="inlineStr">
        <is>
          <t>Licença anual HUB</t>
        </is>
      </c>
      <c r="C8" s="45" t="n">
        <v>600000</v>
      </c>
      <c r="D8" s="7" t="inlineStr">
        <is>
          <t>R$</t>
        </is>
      </c>
      <c r="E8" s="7" t="inlineStr">
        <is>
          <t>Investimento pago à HUB</t>
        </is>
      </c>
      <c r="G8" s="7" t="inlineStr">
        <is>
          <t>Produtividade</t>
        </is>
      </c>
      <c r="H8" s="46">
        <f>C11*C12*C13*C14</f>
        <v/>
      </c>
      <c r="I8" s="7" t="inlineStr">
        <is>
          <t>Após fator de atribuição</t>
        </is>
      </c>
    </row>
    <row r="9" ht="28" customHeight="1">
      <c r="A9" s="6" t="inlineStr">
        <is>
          <t>invest_servicos</t>
        </is>
      </c>
      <c r="B9" s="6" t="inlineStr">
        <is>
          <t>Serviços / implementação</t>
        </is>
      </c>
      <c r="C9" s="45" t="n">
        <v>250000</v>
      </c>
      <c r="D9" s="6" t="inlineStr">
        <is>
          <t>R$</t>
        </is>
      </c>
      <c r="E9" s="6" t="inlineStr">
        <is>
          <t>Projetos e implantação</t>
        </is>
      </c>
      <c r="G9" s="6" t="inlineStr">
        <is>
          <t>Ciclo de contratação</t>
        </is>
      </c>
      <c r="H9" s="47">
        <f>C15*C16*C17*C18</f>
        <v/>
      </c>
      <c r="I9" s="6" t="inlineStr">
        <is>
          <t>Após fator de atribuição</t>
        </is>
      </c>
    </row>
    <row r="10" ht="28" customHeight="1">
      <c r="A10" s="7" t="inlineStr">
        <is>
          <t>invest_interno</t>
        </is>
      </c>
      <c r="B10" s="7" t="inlineStr">
        <is>
          <t>Custo interno do cliente</t>
        </is>
      </c>
      <c r="C10" s="45" t="n">
        <v>100000</v>
      </c>
      <c r="D10" s="7" t="inlineStr">
        <is>
          <t>R$</t>
        </is>
      </c>
      <c r="E10" s="7" t="inlineStr">
        <is>
          <t>Horas, integração e mudança</t>
        </is>
      </c>
      <c r="G10" s="7" t="inlineStr">
        <is>
          <t>Retenção</t>
        </is>
      </c>
      <c r="H10" s="46">
        <f>C11*MAX(0,C19-C20)*C21*C22</f>
        <v/>
      </c>
      <c r="I10" s="7" t="inlineStr">
        <is>
          <t>Após fator de atribuição</t>
        </is>
      </c>
    </row>
    <row r="11" ht="28" customHeight="1">
      <c r="A11" s="6" t="inlineStr">
        <is>
          <t>pessoas</t>
        </is>
      </c>
      <c r="B11" s="6" t="inlineStr">
        <is>
          <t>Pessoas impactadas</t>
        </is>
      </c>
      <c r="C11" s="48" t="n">
        <v>500</v>
      </c>
      <c r="D11" s="6" t="inlineStr">
        <is>
          <t>pessoas</t>
        </is>
      </c>
      <c r="E11" s="6" t="inlineStr">
        <is>
          <t>População elegível</t>
        </is>
      </c>
      <c r="G11" s="6" t="inlineStr">
        <is>
          <t>Compras</t>
        </is>
      </c>
      <c r="H11" s="47">
        <f>C23*C24*C25</f>
        <v/>
      </c>
      <c r="I11" s="6" t="inlineStr">
        <is>
          <t>Após fator de atribuição</t>
        </is>
      </c>
    </row>
    <row r="12" ht="28" customHeight="1">
      <c r="A12" s="7" t="inlineStr">
        <is>
          <t>custo_anual</t>
        </is>
      </c>
      <c r="B12" s="7" t="inlineStr">
        <is>
          <t>Custo anual carregado por pessoa</t>
        </is>
      </c>
      <c r="C12" s="45" t="n">
        <v>120000</v>
      </c>
      <c r="D12" s="7" t="inlineStr">
        <is>
          <t>R$/ano</t>
        </is>
      </c>
      <c r="E12" s="7" t="inlineStr">
        <is>
          <t>Salário + encargos + estrutura</t>
        </is>
      </c>
      <c r="G12" s="7" t="inlineStr">
        <is>
          <t>Risco evitado</t>
        </is>
      </c>
      <c r="H12" s="46">
        <f>C26*C27*C28</f>
        <v/>
      </c>
      <c r="I12" s="7" t="inlineStr">
        <is>
          <t>Após fator de atribuição</t>
        </is>
      </c>
    </row>
    <row r="13" ht="28" customHeight="1">
      <c r="A13" s="6" t="inlineStr">
        <is>
          <t>ganho_prod</t>
        </is>
      </c>
      <c r="B13" s="6" t="inlineStr">
        <is>
          <t>Ganho de produtividade</t>
        </is>
      </c>
      <c r="C13" s="49" t="n">
        <v>0.02</v>
      </c>
      <c r="D13" s="6" t="inlineStr">
        <is>
          <t>%</t>
        </is>
      </c>
      <c r="E13" s="6" t="inlineStr">
        <is>
          <t>Efeito anual estimado</t>
        </is>
      </c>
      <c r="G13" s="6" t="inlineStr">
        <is>
          <t>Margem incremental</t>
        </is>
      </c>
      <c r="H13" s="47">
        <f>C29*C30*C31</f>
        <v/>
      </c>
      <c r="I13" s="6" t="inlineStr">
        <is>
          <t>Após fator de atribuição</t>
        </is>
      </c>
    </row>
    <row r="14" ht="27" customHeight="1">
      <c r="A14" s="7" t="inlineStr">
        <is>
          <t>attr_prod</t>
        </is>
      </c>
      <c r="B14" s="7" t="inlineStr">
        <is>
          <t>Atribuição HUB — produtividade</t>
        </is>
      </c>
      <c r="C14" s="49" t="n">
        <v>0.3</v>
      </c>
      <c r="D14" s="7" t="inlineStr">
        <is>
          <t>%</t>
        </is>
      </c>
      <c r="E14" s="7" t="inlineStr">
        <is>
          <t>Parcela sustentada pela evidência</t>
        </is>
      </c>
    </row>
    <row r="15" ht="27" customHeight="1">
      <c r="A15" s="6" t="inlineStr">
        <is>
          <t>contratacoes</t>
        </is>
      </c>
      <c r="B15" s="6" t="inlineStr">
        <is>
          <t>Contratações anuais</t>
        </is>
      </c>
      <c r="C15" s="48" t="n">
        <v>100</v>
      </c>
      <c r="D15" s="6" t="inlineStr">
        <is>
          <t>contratações</t>
        </is>
      </c>
      <c r="E15" s="6" t="inlineStr">
        <is>
          <t>Vagas comparáveis</t>
        </is>
      </c>
    </row>
    <row r="16" ht="27" customHeight="1">
      <c r="A16" s="7" t="inlineStr">
        <is>
          <t>dias_vaga</t>
        </is>
      </c>
      <c r="B16" s="7" t="inlineStr">
        <is>
          <t>Dias de vacância reduzidos</t>
        </is>
      </c>
      <c r="C16" s="48" t="n">
        <v>8</v>
      </c>
      <c r="D16" s="7" t="inlineStr">
        <is>
          <t>dias</t>
        </is>
      </c>
      <c r="E16" s="7" t="inlineStr">
        <is>
          <t>Delta vs. baseline</t>
        </is>
      </c>
      <c r="G16" s="50" t="inlineStr">
        <is>
          <t>Benefício bruto anual</t>
        </is>
      </c>
      <c r="H16" s="51">
        <f>SUM(H8:H13)</f>
        <v/>
      </c>
    </row>
    <row r="17" ht="27" customHeight="1">
      <c r="A17" s="6" t="inlineStr">
        <is>
          <t>custo_vaga_dia</t>
        </is>
      </c>
      <c r="B17" s="6" t="inlineStr">
        <is>
          <t>Custo diário da vaga</t>
        </is>
      </c>
      <c r="C17" s="45" t="n">
        <v>500</v>
      </c>
      <c r="D17" s="6" t="inlineStr">
        <is>
          <t>R$/dia</t>
        </is>
      </c>
      <c r="E17" s="6" t="inlineStr">
        <is>
          <t>Perda/overload por dia</t>
        </is>
      </c>
      <c r="G17" s="50" t="inlineStr">
        <is>
          <t>Investimento total</t>
        </is>
      </c>
      <c r="H17" s="51">
        <f>C8+C9+C10</f>
        <v/>
      </c>
    </row>
    <row r="18" ht="27" customHeight="1">
      <c r="A18" s="7" t="inlineStr">
        <is>
          <t>attr_vaga</t>
        </is>
      </c>
      <c r="B18" s="7" t="inlineStr">
        <is>
          <t>Atribuição HUB — contratação</t>
        </is>
      </c>
      <c r="C18" s="49" t="n">
        <v>0.4</v>
      </c>
      <c r="D18" s="7" t="inlineStr">
        <is>
          <t>%</t>
        </is>
      </c>
      <c r="E18" s="7" t="inlineStr">
        <is>
          <t>Parcela sustentada pela evidência</t>
        </is>
      </c>
      <c r="G18" s="50" t="inlineStr">
        <is>
          <t>Benefício líquido</t>
        </is>
      </c>
      <c r="H18" s="52">
        <f>H16-H17</f>
        <v/>
      </c>
    </row>
    <row r="19" ht="27" customHeight="1">
      <c r="A19" s="6" t="inlineStr">
        <is>
          <t>turnover_base</t>
        </is>
      </c>
      <c r="B19" s="6" t="inlineStr">
        <is>
          <t>Turnover baseline</t>
        </is>
      </c>
      <c r="C19" s="49" t="n">
        <v>0.18</v>
      </c>
      <c r="D19" s="6" t="inlineStr">
        <is>
          <t>%</t>
        </is>
      </c>
      <c r="E19" s="6" t="inlineStr">
        <is>
          <t>Janela anual</t>
        </is>
      </c>
      <c r="G19" s="50" t="inlineStr">
        <is>
          <t>ROI</t>
        </is>
      </c>
      <c r="H19" s="53">
        <f>IFERROR(H18/H17,0)</f>
        <v/>
      </c>
    </row>
    <row r="20" ht="27" customHeight="1">
      <c r="A20" s="7" t="inlineStr">
        <is>
          <t>turnover_pos</t>
        </is>
      </c>
      <c r="B20" s="7" t="inlineStr">
        <is>
          <t>Turnover após intervenção</t>
        </is>
      </c>
      <c r="C20" s="49" t="n">
        <v>0.15</v>
      </c>
      <c r="D20" s="7" t="inlineStr">
        <is>
          <t>%</t>
        </is>
      </c>
      <c r="E20" s="7" t="inlineStr">
        <is>
          <t>Mesmo cohort / janela</t>
        </is>
      </c>
      <c r="G20" s="50" t="inlineStr">
        <is>
          <t>Payback</t>
        </is>
      </c>
      <c r="H20" s="54">
        <f>IFERROR(H17/(H16/12),0)</f>
        <v/>
      </c>
    </row>
    <row r="21" ht="27" customHeight="1">
      <c r="A21" s="6" t="inlineStr">
        <is>
          <t>custo_reposicao</t>
        </is>
      </c>
      <c r="B21" s="6" t="inlineStr">
        <is>
          <t>Custo de reposição</t>
        </is>
      </c>
      <c r="C21" s="45" t="n">
        <v>60000</v>
      </c>
      <c r="D21" s="6" t="inlineStr">
        <is>
          <t>R$/saída</t>
        </is>
      </c>
      <c r="E21" s="6" t="inlineStr">
        <is>
          <t>Recrutamento + ramp-up</t>
        </is>
      </c>
    </row>
    <row r="22" ht="27" customHeight="1">
      <c r="A22" s="7" t="inlineStr">
        <is>
          <t>attr_retencao</t>
        </is>
      </c>
      <c r="B22" s="7" t="inlineStr">
        <is>
          <t>Atribuição HUB — retenção</t>
        </is>
      </c>
      <c r="C22" s="49" t="n">
        <v>0.4</v>
      </c>
      <c r="D22" s="7" t="inlineStr">
        <is>
          <t>%</t>
        </is>
      </c>
      <c r="E22" s="7" t="inlineStr">
        <is>
          <t>Parcela sustentada pela evidência</t>
        </is>
      </c>
    </row>
    <row r="23" ht="24" customHeight="1">
      <c r="A23" s="6" t="inlineStr">
        <is>
          <t>spend</t>
        </is>
      </c>
      <c r="B23" s="6" t="inlineStr">
        <is>
          <t>Spend endereçado</t>
        </is>
      </c>
      <c r="C23" s="45" t="n">
        <v>10000000</v>
      </c>
      <c r="D23" s="6" t="inlineStr">
        <is>
          <t>R$</t>
        </is>
      </c>
      <c r="E23" s="6" t="inlineStr">
        <is>
          <t>Compras dentro do escopo</t>
        </is>
      </c>
      <c r="G23" s="15" t="inlineStr">
        <is>
          <t>C. Cenários de sensibilidade</t>
        </is>
      </c>
    </row>
    <row r="24" ht="27" customHeight="1">
      <c r="A24" s="7" t="inlineStr">
        <is>
          <t>saving_rate</t>
        </is>
      </c>
      <c r="B24" s="7" t="inlineStr">
        <is>
          <t>Saving comprovado</t>
        </is>
      </c>
      <c r="C24" s="49" t="n">
        <v>0.025</v>
      </c>
      <c r="D24" s="7" t="inlineStr">
        <is>
          <t>%</t>
        </is>
      </c>
      <c r="E24" s="7" t="inlineStr">
        <is>
          <t>Vs. referência validada</t>
        </is>
      </c>
    </row>
    <row r="25" ht="27" customHeight="1">
      <c r="A25" s="6" t="inlineStr">
        <is>
          <t>attr_compras</t>
        </is>
      </c>
      <c r="B25" s="6" t="inlineStr">
        <is>
          <t>Atribuição HUB — compras</t>
        </is>
      </c>
      <c r="C25" s="49" t="n">
        <v>0.5</v>
      </c>
      <c r="D25" s="6" t="inlineStr">
        <is>
          <t>%</t>
        </is>
      </c>
      <c r="E25" s="6" t="inlineStr">
        <is>
          <t>Parcela sustentada pela evidência</t>
        </is>
      </c>
      <c r="G25" s="44" t="inlineStr">
        <is>
          <t>Cenário</t>
        </is>
      </c>
      <c r="H25" s="44" t="inlineStr">
        <is>
          <t>Multiplicador dos benefícios</t>
        </is>
      </c>
      <c r="I25" s="44" t="inlineStr">
        <is>
          <t>Benefício bruto</t>
        </is>
      </c>
      <c r="J25" s="44" t="inlineStr">
        <is>
          <t>Investimento</t>
        </is>
      </c>
      <c r="K25" s="44" t="inlineStr">
        <is>
          <t>ROI</t>
        </is>
      </c>
      <c r="L25" s="44" t="inlineStr">
        <is>
          <t>Payback</t>
        </is>
      </c>
    </row>
    <row r="26" ht="27" customHeight="1">
      <c r="A26" s="7" t="inlineStr">
        <is>
          <t>perda_esperada</t>
        </is>
      </c>
      <c r="B26" s="7" t="inlineStr">
        <is>
          <t>Perda esperada baseline</t>
        </is>
      </c>
      <c r="C26" s="45" t="n">
        <v>400000</v>
      </c>
      <c r="D26" s="7" t="inlineStr">
        <is>
          <t>R$</t>
        </is>
      </c>
      <c r="E26" s="7" t="inlineStr">
        <is>
          <t>Probabilidade × impacto</t>
        </is>
      </c>
      <c r="G26" s="7" t="inlineStr">
        <is>
          <t>Conservador</t>
        </is>
      </c>
      <c r="H26" s="55" t="n">
        <v>0.7</v>
      </c>
      <c r="I26" s="56">
        <f>$H$16*H26</f>
        <v/>
      </c>
      <c r="J26" s="56">
        <f>$H$17</f>
        <v/>
      </c>
      <c r="K26" s="57">
        <f>IFERROR((I26-J26)/J26,0)</f>
        <v/>
      </c>
      <c r="L26" s="58">
        <f>IFERROR(J26/(I26/12),0)</f>
        <v/>
      </c>
    </row>
    <row r="27" ht="27" customHeight="1">
      <c r="A27" s="6" t="inlineStr">
        <is>
          <t>reducao_risco</t>
        </is>
      </c>
      <c r="B27" s="6" t="inlineStr">
        <is>
          <t>Redução do risco</t>
        </is>
      </c>
      <c r="C27" s="49" t="n">
        <v>0.2</v>
      </c>
      <c r="D27" s="6" t="inlineStr">
        <is>
          <t>%</t>
        </is>
      </c>
      <c r="E27" s="6" t="inlineStr">
        <is>
          <t>Delta de perda esperada</t>
        </is>
      </c>
      <c r="G27" s="6" t="inlineStr">
        <is>
          <t>Base</t>
        </is>
      </c>
      <c r="H27" s="59" t="n">
        <v>1</v>
      </c>
      <c r="I27" s="60">
        <f>$H$16*H27</f>
        <v/>
      </c>
      <c r="J27" s="60">
        <f>$H$17</f>
        <v/>
      </c>
      <c r="K27" s="61">
        <f>IFERROR((I27-J27)/J27,0)</f>
        <v/>
      </c>
      <c r="L27" s="62">
        <f>IFERROR(J27/(I27/12),0)</f>
        <v/>
      </c>
    </row>
    <row r="28" ht="27" customHeight="1">
      <c r="A28" s="7" t="inlineStr">
        <is>
          <t>attr_risco</t>
        </is>
      </c>
      <c r="B28" s="7" t="inlineStr">
        <is>
          <t>Atribuição HUB — risco</t>
        </is>
      </c>
      <c r="C28" s="49" t="n">
        <v>0.5</v>
      </c>
      <c r="D28" s="7" t="inlineStr">
        <is>
          <t>%</t>
        </is>
      </c>
      <c r="E28" s="7" t="inlineStr">
        <is>
          <t>Parcela sustentada pela evidência</t>
        </is>
      </c>
      <c r="G28" s="7" t="inlineStr">
        <is>
          <t>Ambicioso</t>
        </is>
      </c>
      <c r="H28" s="55" t="n">
        <v>1.3</v>
      </c>
      <c r="I28" s="56">
        <f>$H$16*H28</f>
        <v/>
      </c>
      <c r="J28" s="56">
        <f>$H$17</f>
        <v/>
      </c>
      <c r="K28" s="57">
        <f>IFERROR((I28-J28)/J28,0)</f>
        <v/>
      </c>
      <c r="L28" s="58">
        <f>IFERROR(J28/(I28/12),0)</f>
        <v/>
      </c>
    </row>
    <row r="29" ht="27" customHeight="1">
      <c r="A29" s="6" t="inlineStr">
        <is>
          <t>pipeline</t>
        </is>
      </c>
      <c r="B29" s="6" t="inlineStr">
        <is>
          <t>Receita incremental elegível</t>
        </is>
      </c>
      <c r="C29" s="45" t="n">
        <v>2000000</v>
      </c>
      <c r="D29" s="6" t="inlineStr">
        <is>
          <t>R$</t>
        </is>
      </c>
      <c r="E29" s="6" t="inlineStr">
        <is>
          <t>Somente delta incremental</t>
        </is>
      </c>
    </row>
    <row r="30" ht="27" customHeight="1">
      <c r="A30" s="7" t="inlineStr">
        <is>
          <t>margem_cliente</t>
        </is>
      </c>
      <c r="B30" s="7" t="inlineStr">
        <is>
          <t>Margem de contribuição do cliente</t>
        </is>
      </c>
      <c r="C30" s="49" t="n">
        <v>0.35</v>
      </c>
      <c r="D30" s="7" t="inlineStr">
        <is>
          <t>%</t>
        </is>
      </c>
      <c r="E30" s="7" t="inlineStr">
        <is>
          <t>Margem aplicada à receita</t>
        </is>
      </c>
    </row>
    <row r="31" ht="27" customHeight="1">
      <c r="A31" s="6" t="inlineStr">
        <is>
          <t>attr_receita</t>
        </is>
      </c>
      <c r="B31" s="6" t="inlineStr">
        <is>
          <t>Atribuição HUB — receita</t>
        </is>
      </c>
      <c r="C31" s="49" t="n">
        <v>0.25</v>
      </c>
      <c r="D31" s="6" t="inlineStr">
        <is>
          <t>%</t>
        </is>
      </c>
      <c r="E31" s="6" t="inlineStr">
        <is>
          <t>Parcela sustentada pela evidência</t>
        </is>
      </c>
    </row>
    <row r="33" ht="24" customHeight="1">
      <c r="G33" s="63" t="inlineStr">
        <is>
          <t>D. Unit economics da HUB</t>
        </is>
      </c>
    </row>
    <row r="35">
      <c r="G35" s="44" t="inlineStr">
        <is>
          <t>Premissa</t>
        </is>
      </c>
      <c r="H35" s="44" t="inlineStr">
        <is>
          <t>Valor</t>
        </is>
      </c>
      <c r="I35" s="44" t="inlineStr">
        <is>
          <t>Unidade</t>
        </is>
      </c>
      <c r="J35" s="44" t="inlineStr">
        <is>
          <t>Indicador calculado</t>
        </is>
      </c>
      <c r="K35" s="44" t="inlineStr">
        <is>
          <t>Resultado</t>
        </is>
      </c>
      <c r="L35" s="44" t="inlineStr">
        <is>
          <t>Fórmula</t>
        </is>
      </c>
    </row>
    <row r="36">
      <c r="G36" s="7" t="inlineStr">
        <is>
          <t>Clientes ativos</t>
        </is>
      </c>
      <c r="H36" s="64" t="n">
        <v>15</v>
      </c>
      <c r="I36" s="7" t="inlineStr">
        <is>
          <t>clientes</t>
        </is>
      </c>
      <c r="J36" s="7" t="inlineStr">
        <is>
          <t>ARPA mensal</t>
        </is>
      </c>
      <c r="K36" s="65">
        <f>IFERROR(H37/H36,0)</f>
        <v/>
      </c>
      <c r="L36" s="7" t="inlineStr">
        <is>
          <t>MRR / clientes</t>
        </is>
      </c>
    </row>
    <row r="37">
      <c r="G37" s="6" t="inlineStr">
        <is>
          <t>MRR</t>
        </is>
      </c>
      <c r="H37" s="66" t="n">
        <v>80000</v>
      </c>
      <c r="I37" s="6" t="inlineStr">
        <is>
          <t>R$/mês</t>
        </is>
      </c>
      <c r="J37" s="6" t="inlineStr">
        <is>
          <t>Receita marketplace</t>
        </is>
      </c>
      <c r="K37" s="65">
        <f>H39*H40</f>
        <v/>
      </c>
      <c r="L37" s="6" t="inlineStr">
        <is>
          <t>GMV × take rate</t>
        </is>
      </c>
    </row>
    <row r="38">
      <c r="G38" s="7" t="inlineStr">
        <is>
          <t>Receita mensal de serviços</t>
        </is>
      </c>
      <c r="H38" s="66" t="n">
        <v>20000</v>
      </c>
      <c r="I38" s="7" t="inlineStr">
        <is>
          <t>R$/mês</t>
        </is>
      </c>
      <c r="J38" s="7" t="inlineStr">
        <is>
          <t>Receita mensal total</t>
        </is>
      </c>
      <c r="K38" s="65">
        <f>H37+H38+K37</f>
        <v/>
      </c>
      <c r="L38" s="7" t="inlineStr">
        <is>
          <t>MRR + serviços + marketplace</t>
        </is>
      </c>
    </row>
    <row r="39">
      <c r="G39" s="6" t="inlineStr">
        <is>
          <t>GMV mensal</t>
        </is>
      </c>
      <c r="H39" s="66" t="n">
        <v>200000</v>
      </c>
      <c r="I39" s="6" t="inlineStr">
        <is>
          <t>R$/mês</t>
        </is>
      </c>
      <c r="J39" s="6" t="inlineStr">
        <is>
          <t>LTV</t>
        </is>
      </c>
      <c r="K39" s="65">
        <f>IFERROR((K36*H41)/H43,0)</f>
        <v/>
      </c>
      <c r="L39" s="6" t="inlineStr">
        <is>
          <t>ARPA × margem / churn</t>
        </is>
      </c>
    </row>
    <row r="40">
      <c r="G40" s="7" t="inlineStr">
        <is>
          <t>Take rate</t>
        </is>
      </c>
      <c r="H40" s="67" t="n">
        <v>0.08</v>
      </c>
      <c r="I40" s="7" t="inlineStr">
        <is>
          <t>%</t>
        </is>
      </c>
      <c r="J40" s="7" t="inlineStr">
        <is>
          <t>LTV/CAC</t>
        </is>
      </c>
      <c r="K40" s="68">
        <f>IFERROR(K39/H42,0)</f>
        <v/>
      </c>
      <c r="L40" s="7" t="inlineStr">
        <is>
          <t>LTV / CAC</t>
        </is>
      </c>
    </row>
    <row r="41">
      <c r="G41" s="6" t="inlineStr">
        <is>
          <t>Margem bruta</t>
        </is>
      </c>
      <c r="H41" s="67" t="n">
        <v>0.7</v>
      </c>
      <c r="I41" s="6" t="inlineStr">
        <is>
          <t>%</t>
        </is>
      </c>
      <c r="J41" s="6" t="inlineStr">
        <is>
          <t>Payback CAC</t>
        </is>
      </c>
      <c r="K41" s="69">
        <f>IFERROR(H42/(K36*H41),0)</f>
        <v/>
      </c>
      <c r="L41" s="6" t="inlineStr">
        <is>
          <t>CAC / margem mensal por cliente</t>
        </is>
      </c>
    </row>
    <row r="42">
      <c r="G42" s="7" t="inlineStr">
        <is>
          <t>CAC</t>
        </is>
      </c>
      <c r="H42" s="66" t="n">
        <v>35000</v>
      </c>
      <c r="I42" s="7" t="inlineStr">
        <is>
          <t>R$/cliente</t>
        </is>
      </c>
      <c r="J42" s="7" t="n"/>
      <c r="K42" s="7" t="n"/>
      <c r="L42" s="7" t="n"/>
    </row>
    <row r="43">
      <c r="G43" s="6" t="inlineStr">
        <is>
          <t>Churn mensal</t>
        </is>
      </c>
      <c r="H43" s="67" t="n">
        <v>0.02</v>
      </c>
      <c r="I43" s="6" t="inlineStr">
        <is>
          <t>%</t>
        </is>
      </c>
      <c r="J43" s="6" t="n"/>
      <c r="K43" s="6" t="n"/>
      <c r="L43" s="6" t="n"/>
    </row>
  </sheetData>
  <mergeCells count="6">
    <mergeCell ref="G33:L33"/>
    <mergeCell ref="G5:L5"/>
    <mergeCell ref="A1:L2"/>
    <mergeCell ref="G23:L23"/>
    <mergeCell ref="A5:E5"/>
    <mergeCell ref="A3:L3"/>
  </mergeCells>
  <conditionalFormatting sqref="H19">
    <cfRule type="cellIs" priority="1" operator="lessThan" dxfId="0">
      <formula>0</formula>
    </cfRule>
  </conditionalFormatting>
  <conditionalFormatting sqref="K40">
    <cfRule type="cellIs" priority="2" operator="lessThan" dxfId="0">
      <formula>3</formula>
    </cfRule>
  </conditionalFormatting>
  <pageMargins left="0.25" right="0.25" top="0.45" bottom="0.45" header="0.5" footer="0.5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FF4B35"/>
    <outlinePr summaryBelow="1" summaryRight="1"/>
    <pageSetUpPr fitToPage="1"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42" customWidth="1" min="4" max="4"/>
    <col width="40" customWidth="1" min="5" max="5"/>
    <col width="32" customWidth="1" min="6" max="6"/>
    <col width="36" customWidth="1" min="7" max="7"/>
    <col width="42" customWidth="1" min="8" max="8"/>
    <col width="14" customWidth="1" min="9" max="9"/>
    <col width="28" customWidth="1" min="10" max="10"/>
  </cols>
  <sheetData>
    <row r="1" ht="26" customHeight="1">
      <c r="A1" s="1" t="inlineStr">
        <is>
          <t>Visões e dashboards da plataforma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Cada visão começa por uma decisão; o KPI só entra se mudar uma ação.</t>
        </is>
      </c>
    </row>
    <row r="5" ht="34" customHeight="1">
      <c r="A5" s="44" t="inlineStr">
        <is>
          <t>Visão</t>
        </is>
      </c>
      <c r="B5" s="44" t="inlineStr">
        <is>
          <t>Usuário</t>
        </is>
      </c>
      <c r="C5" s="44" t="inlineStr">
        <is>
          <t>Pergunta central</t>
        </is>
      </c>
      <c r="D5" s="44" t="inlineStr">
        <is>
          <t>KPIs primários</t>
        </is>
      </c>
      <c r="E5" s="44" t="inlineStr">
        <is>
          <t>KPIs de diagnóstico</t>
        </is>
      </c>
      <c r="F5" s="44" t="inlineStr">
        <is>
          <t>Filtros padrão</t>
        </is>
      </c>
      <c r="G5" s="44" t="inlineStr">
        <is>
          <t>Alertas</t>
        </is>
      </c>
      <c r="H5" s="44" t="inlineStr">
        <is>
          <t>Ações possíveis</t>
        </is>
      </c>
      <c r="I5" s="44" t="inlineStr">
        <is>
          <t>Cadência</t>
        </is>
      </c>
      <c r="J5" s="44" t="inlineStr">
        <is>
          <t>Permissão</t>
        </is>
      </c>
    </row>
    <row r="6" ht="66" customHeight="1">
      <c r="A6" s="6" t="inlineStr">
        <is>
          <t>Executiva HUB</t>
        </is>
      </c>
      <c r="B6" s="6" t="inlineStr">
        <is>
          <t>CEO / Conselho</t>
        </is>
      </c>
      <c r="C6" s="6" t="inlineStr">
        <is>
          <t>Onde a HUB cria valor, margem e escala?</t>
        </is>
      </c>
      <c r="D6" s="6" t="inlineStr">
        <is>
          <t>ARR, MRR, NRR, margem, ROI cliente, LTV/CAC</t>
        </is>
      </c>
      <c r="E6" s="6" t="inlineStr">
        <is>
          <t>adoção, time-to-value, pipeline, churn</t>
        </is>
      </c>
      <c r="F6" s="6" t="inlineStr">
        <is>
          <t>vertente, produto, cliente, cohort</t>
        </is>
      </c>
      <c r="G6" s="6" t="inlineStr">
        <is>
          <t>ROI negativo; churn; margem abaixo do piso</t>
        </is>
      </c>
      <c r="H6" s="6" t="inlineStr">
        <is>
          <t>priorizar produto, preço, carteira e investimento</t>
        </is>
      </c>
      <c r="I6" s="6" t="inlineStr">
        <is>
          <t>Mensal</t>
        </is>
      </c>
      <c r="J6" s="6" t="inlineStr">
        <is>
          <t>Agregado financeiro</t>
        </is>
      </c>
    </row>
    <row r="7" ht="66" customHeight="1">
      <c r="A7" s="7" t="inlineStr">
        <is>
          <t>Executiva cliente</t>
        </is>
      </c>
      <c r="B7" s="7" t="inlineStr">
        <is>
          <t>CFO / patrocinador</t>
        </is>
      </c>
      <c r="C7" s="7" t="inlineStr">
        <is>
          <t>Qual valor financeiro foi provado?</t>
        </is>
      </c>
      <c r="D7" s="7" t="inlineStr">
        <is>
          <t>benefício bruto/líquido, ROI, payback, margem, saving, risco</t>
        </is>
      </c>
      <c r="E7" s="7" t="inlineStr">
        <is>
          <t>cobertura, evidência, atribuição</t>
        </is>
      </c>
      <c r="F7" s="7" t="inlineStr">
        <is>
          <t>programa, unidade, período, cenário</t>
        </is>
      </c>
      <c r="G7" s="7" t="inlineStr">
        <is>
          <t>benefício abaixo do business case</t>
        </is>
      </c>
      <c r="H7" s="7" t="inlineStr">
        <is>
          <t>escalar, corrigir ou interromper</t>
        </is>
      </c>
      <c r="I7" s="7" t="inlineStr">
        <is>
          <t>Trimestral</t>
        </is>
      </c>
      <c r="J7" s="7" t="inlineStr">
        <is>
          <t>Dados do próprio cliente</t>
        </is>
      </c>
    </row>
    <row r="8" ht="66" customHeight="1">
      <c r="A8" s="6" t="inlineStr">
        <is>
          <t>Pessoas / RH</t>
        </is>
      </c>
      <c r="B8" s="6" t="inlineStr">
        <is>
          <t>CHRO / People Analytics</t>
        </is>
      </c>
      <c r="C8" s="6" t="inlineStr">
        <is>
          <t>Que decisão sobre pessoas melhora resultado?</t>
        </is>
      </c>
      <c r="D8" s="6" t="inlineStr">
        <is>
          <t>produtividade, retenção, time-to-fill, qualidade da contratação</t>
        </is>
      </c>
      <c r="E8" s="6" t="inlineStr">
        <is>
          <t>prontidão, gap, jornada, cohort</t>
        </is>
      </c>
      <c r="F8" s="6" t="inlineStr">
        <is>
          <t>função, gestor, unidade, local</t>
        </is>
      </c>
      <c r="G8" s="6" t="inlineStr">
        <is>
          <t>gap crítico; risco de saída; baixa eficácia</t>
        </is>
      </c>
      <c r="H8" s="6" t="inlineStr">
        <is>
          <t>recomendar jornada, mobilidade ou contratação</t>
        </is>
      </c>
      <c r="I8" s="6" t="inlineStr">
        <is>
          <t>Mensal</t>
        </is>
      </c>
      <c r="J8" s="6" t="inlineStr">
        <is>
          <t>Dados pessoais pseudonimizados</t>
        </is>
      </c>
    </row>
    <row r="9" ht="66" customHeight="1">
      <c r="A9" s="7" t="inlineStr">
        <is>
          <t>Compras</t>
        </is>
      </c>
      <c r="B9" s="7" t="inlineStr">
        <is>
          <t>CPO / procurement</t>
        </is>
      </c>
      <c r="C9" s="7" t="inlineStr">
        <is>
          <t>Como ampliar oferta e reduzir custo/risco?</t>
        </is>
      </c>
      <c r="D9" s="7" t="inlineStr">
        <is>
          <t>saving, ciclo, conversão, desempenho, risco</t>
        </is>
      </c>
      <c r="E9" s="7" t="inlineStr">
        <is>
          <t>cobertura, elegibilidade, homologação</t>
        </is>
      </c>
      <c r="F9" s="7" t="inlineStr">
        <is>
          <t>categoria, região, contrato, fornecedor</t>
        </is>
      </c>
      <c r="G9" s="7" t="inlineStr">
        <is>
          <t>categoria sem oferta; SLA; risco alto</t>
        </is>
      </c>
      <c r="H9" s="7" t="inlineStr">
        <is>
          <t>abrir conexão, desenvolver ou substituir oferta</t>
        </is>
      </c>
      <c r="I9" s="7" t="inlineStr">
        <is>
          <t>Mensal</t>
        </is>
      </c>
      <c r="J9" s="7" t="inlineStr">
        <is>
          <t>Compras e contratos</t>
        </is>
      </c>
    </row>
    <row r="10" ht="66" customHeight="1">
      <c r="A10" s="6" t="inlineStr">
        <is>
          <t>Marketing / RevOps</t>
        </is>
      </c>
      <c r="B10" s="6" t="inlineStr">
        <is>
          <t>CMO / vendas</t>
        </is>
      </c>
      <c r="C10" s="6" t="inlineStr">
        <is>
          <t>Qual mídia e conteúdo criam margem?</t>
        </is>
      </c>
      <c r="D10" s="6" t="inlineStr">
        <is>
          <t>margem incremental, pipeline, CAC, ROAS</t>
        </is>
      </c>
      <c r="E10" s="6" t="inlineStr">
        <is>
          <t>alcance qualificado, CPL, conteúdo→ação</t>
        </is>
      </c>
      <c r="F10" s="6" t="inlineStr">
        <is>
          <t>canal, campanha, produto, segmento</t>
        </is>
      </c>
      <c r="G10" s="6" t="inlineStr">
        <is>
          <t>CAC alto; queda de conversão</t>
        </is>
      </c>
      <c r="H10" s="6" t="inlineStr">
        <is>
          <t>redistribuir verba, mudar oferta ou mensagem</t>
        </is>
      </c>
      <c r="I10" s="6" t="inlineStr">
        <is>
          <t>Semanal</t>
        </is>
      </c>
      <c r="J10" s="6" t="inlineStr">
        <is>
          <t>CRM e mídia</t>
        </is>
      </c>
    </row>
    <row r="11" ht="66" customHeight="1">
      <c r="A11" s="7" t="inlineStr">
        <is>
          <t>Entidade / Firjan</t>
        </is>
      </c>
      <c r="B11" s="7" t="inlineStr">
        <is>
          <t>Direção da entidade</t>
        </is>
      </c>
      <c r="C11" s="7" t="inlineStr">
        <is>
          <t>Que valor o ecossistema entrega aos associados?</t>
        </is>
      </c>
      <c r="D11" s="7" t="inlineStr">
        <is>
          <t>ativação, renovação, valor por associado, impacto econômico</t>
        </is>
      </c>
      <c r="E11" s="7" t="inlineStr">
        <is>
          <t>cobertura, densidade, benchmark</t>
        </is>
      </c>
      <c r="F11" s="7" t="inlineStr">
        <is>
          <t>setor, região, porte, serviço</t>
        </is>
      </c>
      <c r="G11" s="7" t="inlineStr">
        <is>
          <t>segmento com baixa ativação/renovação</t>
        </is>
      </c>
      <c r="H11" s="7" t="inlineStr">
        <is>
          <t>criar programa, conexão ou serviço</t>
        </is>
      </c>
      <c r="I11" s="7" t="inlineStr">
        <is>
          <t>Mensal</t>
        </is>
      </c>
      <c r="J11" s="7" t="inlineStr">
        <is>
          <t>Agregado e anonimizado</t>
        </is>
      </c>
    </row>
    <row r="12" ht="66" customHeight="1">
      <c r="A12" s="6" t="inlineStr">
        <is>
          <t>Operação de programas</t>
        </is>
      </c>
      <c r="B12" s="6" t="inlineStr">
        <is>
          <t>PMO / consultoria</t>
        </is>
      </c>
      <c r="C12" s="6" t="inlineStr">
        <is>
          <t>A ação está no ritmo e produz outcome?</t>
        </is>
      </c>
      <c r="D12" s="6" t="inlineStr">
        <is>
          <t>conclusão, evolução, custo por outcome, satisfação</t>
        </is>
      </c>
      <c r="E12" s="6" t="inlineStr">
        <is>
          <t>convite, presença, dose, SLA</t>
        </is>
      </c>
      <c r="F12" s="6" t="inlineStr">
        <is>
          <t>programa, etapa, cohort, owner</t>
        </is>
      </c>
      <c r="G12" s="6" t="inlineStr">
        <is>
          <t>desvio de meta ou prazo</t>
        </is>
      </c>
      <c r="H12" s="6" t="inlineStr">
        <is>
          <t>corrigir desenho e acompanhamento</t>
        </is>
      </c>
      <c r="I12" s="6" t="inlineStr">
        <is>
          <t>Semanal</t>
        </is>
      </c>
      <c r="J12" s="6" t="inlineStr">
        <is>
          <t>Programa específico</t>
        </is>
      </c>
    </row>
    <row r="13" ht="66" customHeight="1">
      <c r="A13" s="7" t="inlineStr">
        <is>
          <t>Pessoa</t>
        </is>
      </c>
      <c r="B13" s="7" t="inlineStr">
        <is>
          <t>Participante</t>
        </is>
      </c>
      <c r="C13" s="7" t="inlineStr">
        <is>
          <t>Qual próximo passo aumenta minha capacidade e oportunidades?</t>
        </is>
      </c>
      <c r="D13" s="7" t="inlineStr">
        <is>
          <t>prontidão, progresso, matches, outcomes</t>
        </is>
      </c>
      <c r="E13" s="7" t="inlineStr">
        <is>
          <t>evidências, lacunas, ações</t>
        </is>
      </c>
      <c r="F13" s="7" t="inlineStr">
        <is>
          <t>objetivo, competência, prazo</t>
        </is>
      </c>
      <c r="G13" s="7" t="inlineStr">
        <is>
          <t>evidência vencendo; ação pendente</t>
        </is>
      </c>
      <c r="H13" s="7" t="inlineStr">
        <is>
          <t>aceitar recomendação e registrar evidência</t>
        </is>
      </c>
      <c r="I13" s="7" t="inlineStr">
        <is>
          <t>Tempo real</t>
        </is>
      </c>
      <c r="J13" s="7" t="inlineStr">
        <is>
          <t>Somente dados do titular</t>
        </is>
      </c>
    </row>
    <row r="14" ht="66" customHeight="1">
      <c r="A14" s="6" t="inlineStr">
        <is>
          <t>Fornecedor / solução</t>
        </is>
      </c>
      <c r="B14" s="6" t="inlineStr">
        <is>
          <t>Parceiro</t>
        </is>
      </c>
      <c r="C14" s="6" t="inlineStr">
        <is>
          <t>Onde existe demanda compatível e como melhorar meu fit?</t>
        </is>
      </c>
      <c r="D14" s="6" t="inlineStr">
        <is>
          <t>matches, conversão, contratos, desempenho</t>
        </is>
      </c>
      <c r="E14" s="6" t="inlineStr">
        <is>
          <t>cobertura, requisitos, homologação</t>
        </is>
      </c>
      <c r="F14" s="6" t="inlineStr">
        <is>
          <t>categoria, região, estágio</t>
        </is>
      </c>
      <c r="G14" s="6" t="inlineStr">
        <is>
          <t>documento vencido; oportunidade crítica</t>
        </is>
      </c>
      <c r="H14" s="6" t="inlineStr">
        <is>
          <t>atualizar capacidade, responder ou desenvolver</t>
        </is>
      </c>
      <c r="I14" s="6" t="inlineStr">
        <is>
          <t>Tempo real</t>
        </is>
      </c>
      <c r="J14" s="6" t="inlineStr">
        <is>
          <t>Somente dados próprios</t>
        </is>
      </c>
    </row>
    <row r="15" ht="66" customHeight="1">
      <c r="A15" s="7" t="inlineStr">
        <is>
          <t>Governança / IA</t>
        </is>
      </c>
      <c r="B15" s="7" t="inlineStr">
        <is>
          <t>DPO / Data / Auditoria</t>
        </is>
      </c>
      <c r="C15" s="7" t="inlineStr">
        <is>
          <t>Os dados e modelos são confiáveis, legais e justos?</t>
        </is>
      </c>
      <c r="D15" s="7" t="inlineStr">
        <is>
          <t>qualidade, consentimento, fairness, drift, confiança</t>
        </is>
      </c>
      <c r="E15" s="7" t="inlineStr">
        <is>
          <t>SLA, linhagem, incidentes</t>
        </is>
      </c>
      <c r="F15" s="7" t="inlineStr">
        <is>
          <t>domínio, fonte, modelo, grupo</t>
        </is>
      </c>
      <c r="G15" s="7" t="inlineStr">
        <is>
          <t>violação de SLA, viés, consentimento</t>
        </is>
      </c>
      <c r="H15" s="7" t="inlineStr">
        <is>
          <t>bloquear, corrigir, reprocessar, auditar</t>
        </is>
      </c>
      <c r="I15" s="7" t="inlineStr">
        <is>
          <t>Diária</t>
        </is>
      </c>
      <c r="J15" s="7" t="inlineStr">
        <is>
          <t>Acesso restrito</t>
        </is>
      </c>
    </row>
  </sheetData>
  <autoFilter ref="A5:J15"/>
  <mergeCells count="2">
    <mergeCell ref="A1:J2"/>
    <mergeCell ref="A3:J3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6F3FA0"/>
    <outlinePr summaryBelow="1" summaryRight="1"/>
    <pageSetUpPr fitToPage="1"/>
  </sheetPr>
  <dimension ref="A1:L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4" customWidth="1" min="3" max="3"/>
    <col width="42" customWidth="1" min="4" max="4"/>
    <col width="14" customWidth="1" min="5" max="5"/>
    <col width="14" customWidth="1" min="6" max="6"/>
    <col width="22" customWidth="1" min="7" max="7"/>
    <col width="16" customWidth="1" min="8" max="8"/>
    <col width="36" customWidth="1" min="9" max="9"/>
    <col width="23" customWidth="1" min="10" max="10"/>
    <col width="14" customWidth="1" min="11" max="11"/>
    <col width="38" customWidth="1" min="12" max="12"/>
  </cols>
  <sheetData>
    <row r="1" ht="26" customHeight="1">
      <c r="A1" s="1" t="inlineStr">
        <is>
          <t>Dicionário de dados mínimo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Campos necessários para instrumentar o mapa neural e os indicadores prioritários.</t>
        </is>
      </c>
    </row>
    <row r="5" ht="34" customHeight="1">
      <c r="A5" s="44" t="inlineStr">
        <is>
          <t>Tabela</t>
        </is>
      </c>
      <c r="B5" s="44" t="inlineStr">
        <is>
          <t>Campo</t>
        </is>
      </c>
      <c r="C5" s="44" t="inlineStr">
        <is>
          <t>Tipo</t>
        </is>
      </c>
      <c r="D5" s="44" t="inlineStr">
        <is>
          <t>Definição</t>
        </is>
      </c>
      <c r="E5" s="44" t="inlineStr">
        <is>
          <t>Chave</t>
        </is>
      </c>
      <c r="F5" s="44" t="inlineStr">
        <is>
          <t>Obrigatório</t>
        </is>
      </c>
      <c r="G5" s="44" t="inlineStr">
        <is>
          <t>Exemplo</t>
        </is>
      </c>
      <c r="H5" s="44" t="inlineStr">
        <is>
          <t>Sensibilidade</t>
        </is>
      </c>
      <c r="I5" s="44" t="inlineStr">
        <is>
          <t>Base legal / finalidade</t>
        </is>
      </c>
      <c r="J5" s="44" t="inlineStr">
        <is>
          <t>Origem</t>
        </is>
      </c>
      <c r="K5" s="44" t="inlineStr">
        <is>
          <t>Frequência</t>
        </is>
      </c>
      <c r="L5" s="44" t="inlineStr">
        <is>
          <t>Regra de qualidade</t>
        </is>
      </c>
    </row>
    <row r="6" ht="52" customHeight="1">
      <c r="A6" s="6" t="inlineStr">
        <is>
          <t>dim_person</t>
        </is>
      </c>
      <c r="B6" s="6" t="inlineStr">
        <is>
          <t>person_id</t>
        </is>
      </c>
      <c r="C6" s="6" t="inlineStr">
        <is>
          <t>UUID</t>
        </is>
      </c>
      <c r="D6" s="6" t="inlineStr">
        <is>
          <t>Identificador pseudônimo da pessoa.</t>
        </is>
      </c>
      <c r="E6" s="6" t="inlineStr">
        <is>
          <t>PK</t>
        </is>
      </c>
      <c r="F6" s="6" t="inlineStr">
        <is>
          <t>Sim</t>
        </is>
      </c>
      <c r="G6" s="6" t="inlineStr">
        <is>
          <t>p_01...</t>
        </is>
      </c>
      <c r="H6" s="6" t="inlineStr">
        <is>
          <t>Alta</t>
        </is>
      </c>
      <c r="I6" s="6" t="inlineStr">
        <is>
          <t>Execução de contrato / consentimento conforme uso</t>
        </is>
      </c>
      <c r="J6" s="6" t="inlineStr">
        <is>
          <t>Cadastro / HRIS</t>
        </is>
      </c>
      <c r="K6" s="6" t="inlineStr">
        <is>
          <t>Tempo real</t>
        </is>
      </c>
      <c r="L6" s="6" t="inlineStr">
        <is>
          <t>único, não nulo e não reutilizado</t>
        </is>
      </c>
    </row>
    <row r="7" ht="52" customHeight="1">
      <c r="A7" s="7" t="inlineStr">
        <is>
          <t>dim_person</t>
        </is>
      </c>
      <c r="B7" s="7" t="inlineStr">
        <is>
          <t>company_id</t>
        </is>
      </c>
      <c r="C7" s="7" t="inlineStr">
        <is>
          <t>UUID</t>
        </is>
      </c>
      <c r="D7" s="7" t="inlineStr">
        <is>
          <t>Empresa do vínculo vigente.</t>
        </is>
      </c>
      <c r="E7" s="7" t="inlineStr">
        <is>
          <t>FK</t>
        </is>
      </c>
      <c r="F7" s="7" t="inlineStr">
        <is>
          <t>Não</t>
        </is>
      </c>
      <c r="G7" s="7" t="inlineStr">
        <is>
          <t>c_01...</t>
        </is>
      </c>
      <c r="H7" s="7" t="inlineStr">
        <is>
          <t>Alta</t>
        </is>
      </c>
      <c r="I7" s="7" t="inlineStr">
        <is>
          <t>Execução do serviço</t>
        </is>
      </c>
      <c r="J7" s="7" t="inlineStr">
        <is>
          <t>HRIS / CRM</t>
        </is>
      </c>
      <c r="K7" s="7" t="inlineStr">
        <is>
          <t>Diária</t>
        </is>
      </c>
      <c r="L7" s="7" t="inlineStr">
        <is>
          <t>existir em dim_company</t>
        </is>
      </c>
    </row>
    <row r="8" ht="52" customHeight="1">
      <c r="A8" s="6" t="inlineStr">
        <is>
          <t>dim_person</t>
        </is>
      </c>
      <c r="B8" s="6" t="inlineStr">
        <is>
          <t>consent_status</t>
        </is>
      </c>
      <c r="C8" s="6" t="inlineStr">
        <is>
          <t>enum</t>
        </is>
      </c>
      <c r="D8" s="6" t="inlineStr">
        <is>
          <t>Status por finalidade de tratamento.</t>
        </is>
      </c>
      <c r="E8" s="6" t="inlineStr"/>
      <c r="F8" s="6" t="inlineStr">
        <is>
          <t>Sim</t>
        </is>
      </c>
      <c r="G8" s="6" t="inlineStr">
        <is>
          <t>granted</t>
        </is>
      </c>
      <c r="H8" s="6" t="inlineStr">
        <is>
          <t>Crítica</t>
        </is>
      </c>
      <c r="I8" s="6" t="inlineStr">
        <is>
          <t>Consentimento / obrigação legal</t>
        </is>
      </c>
      <c r="J8" s="6" t="inlineStr">
        <is>
          <t>CMP</t>
        </is>
      </c>
      <c r="K8" s="6" t="inlineStr">
        <is>
          <t>Tempo real</t>
        </is>
      </c>
      <c r="L8" s="6" t="inlineStr">
        <is>
          <t>vigência e versão válidas</t>
        </is>
      </c>
    </row>
    <row r="9" ht="52" customHeight="1">
      <c r="A9" s="7" t="inlineStr">
        <is>
          <t>dim_person</t>
        </is>
      </c>
      <c r="B9" s="7" t="inlineStr">
        <is>
          <t>profile_segment</t>
        </is>
      </c>
      <c r="C9" s="7" t="inlineStr">
        <is>
          <t>string</t>
        </is>
      </c>
      <c r="D9" s="7" t="inlineStr">
        <is>
          <t>Segmento operacional não sensível.</t>
        </is>
      </c>
      <c r="E9" s="7" t="inlineStr"/>
      <c r="F9" s="7" t="inlineStr">
        <is>
          <t>Não</t>
        </is>
      </c>
      <c r="G9" s="7" t="inlineStr">
        <is>
          <t>gestor</t>
        </is>
      </c>
      <c r="H9" s="7" t="inlineStr">
        <is>
          <t>Média</t>
        </is>
      </c>
      <c r="I9" s="7" t="inlineStr">
        <is>
          <t>Personalização</t>
        </is>
      </c>
      <c r="J9" s="7" t="inlineStr">
        <is>
          <t>Cadastro</t>
        </is>
      </c>
      <c r="K9" s="7" t="inlineStr">
        <is>
          <t>Diária</t>
        </is>
      </c>
      <c r="L9" s="7" t="inlineStr">
        <is>
          <t>vocabulário controlado</t>
        </is>
      </c>
    </row>
    <row r="10" ht="52" customHeight="1">
      <c r="A10" s="6" t="inlineStr">
        <is>
          <t>dim_company</t>
        </is>
      </c>
      <c r="B10" s="6" t="inlineStr">
        <is>
          <t>company_id</t>
        </is>
      </c>
      <c r="C10" s="6" t="inlineStr">
        <is>
          <t>UUID</t>
        </is>
      </c>
      <c r="D10" s="6" t="inlineStr">
        <is>
          <t>Identificador da organização.</t>
        </is>
      </c>
      <c r="E10" s="6" t="inlineStr">
        <is>
          <t>PK</t>
        </is>
      </c>
      <c r="F10" s="6" t="inlineStr">
        <is>
          <t>Sim</t>
        </is>
      </c>
      <c r="G10" s="6" t="inlineStr">
        <is>
          <t>c_01...</t>
        </is>
      </c>
      <c r="H10" s="6" t="inlineStr">
        <is>
          <t>Média</t>
        </is>
      </c>
      <c r="I10" s="6" t="inlineStr">
        <is>
          <t>Execução do contrato</t>
        </is>
      </c>
      <c r="J10" s="6" t="inlineStr">
        <is>
          <t>CRM</t>
        </is>
      </c>
      <c r="K10" s="6" t="inlineStr">
        <is>
          <t>Diária</t>
        </is>
      </c>
      <c r="L10" s="6" t="inlineStr">
        <is>
          <t>único e não nulo</t>
        </is>
      </c>
    </row>
    <row r="11" ht="52" customHeight="1">
      <c r="A11" s="7" t="inlineStr">
        <is>
          <t>dim_company</t>
        </is>
      </c>
      <c r="B11" s="7" t="inlineStr">
        <is>
          <t>entity_id</t>
        </is>
      </c>
      <c r="C11" s="7" t="inlineStr">
        <is>
          <t>UUID</t>
        </is>
      </c>
      <c r="D11" s="7" t="inlineStr">
        <is>
          <t>Entidade à qual a empresa está associada.</t>
        </is>
      </c>
      <c r="E11" s="7" t="inlineStr">
        <is>
          <t>FK</t>
        </is>
      </c>
      <c r="F11" s="7" t="inlineStr">
        <is>
          <t>Não</t>
        </is>
      </c>
      <c r="G11" s="7" t="inlineStr">
        <is>
          <t>e_01...</t>
        </is>
      </c>
      <c r="H11" s="7" t="inlineStr">
        <is>
          <t>Média</t>
        </is>
      </c>
      <c r="I11" s="7" t="inlineStr">
        <is>
          <t>Execução do serviço</t>
        </is>
      </c>
      <c r="J11" s="7" t="inlineStr">
        <is>
          <t>CRM</t>
        </is>
      </c>
      <c r="K11" s="7" t="inlineStr">
        <is>
          <t>Diária</t>
        </is>
      </c>
      <c r="L11" s="7" t="inlineStr">
        <is>
          <t>vínculo vigente</t>
        </is>
      </c>
    </row>
    <row r="12" ht="52" customHeight="1">
      <c r="A12" s="6" t="inlineStr">
        <is>
          <t>dim_company</t>
        </is>
      </c>
      <c r="B12" s="6" t="inlineStr">
        <is>
          <t>segment</t>
        </is>
      </c>
      <c r="C12" s="6" t="inlineStr">
        <is>
          <t>enum</t>
        </is>
      </c>
      <c r="D12" s="6" t="inlineStr">
        <is>
          <t>Setor/porte/cluster comercial.</t>
        </is>
      </c>
      <c r="E12" s="6" t="inlineStr"/>
      <c r="F12" s="6" t="inlineStr">
        <is>
          <t>Sim</t>
        </is>
      </c>
      <c r="G12" s="6" t="inlineStr">
        <is>
          <t>indústria_média</t>
        </is>
      </c>
      <c r="H12" s="6" t="inlineStr">
        <is>
          <t>Baixa</t>
        </is>
      </c>
      <c r="I12" s="6" t="inlineStr">
        <is>
          <t>Inteligência e serviço</t>
        </is>
      </c>
      <c r="J12" s="6" t="inlineStr">
        <is>
          <t>CRM</t>
        </is>
      </c>
      <c r="K12" s="6" t="inlineStr">
        <is>
          <t>Mensal</t>
        </is>
      </c>
      <c r="L12" s="6" t="inlineStr">
        <is>
          <t>taxonomia versionada</t>
        </is>
      </c>
    </row>
    <row r="13" ht="52" customHeight="1">
      <c r="A13" s="7" t="inlineStr">
        <is>
          <t>dim_entity</t>
        </is>
      </c>
      <c r="B13" s="7" t="inlineStr">
        <is>
          <t>entity_id</t>
        </is>
      </c>
      <c r="C13" s="7" t="inlineStr">
        <is>
          <t>UUID</t>
        </is>
      </c>
      <c r="D13" s="7" t="inlineStr">
        <is>
          <t>Identificador de entidade/rede.</t>
        </is>
      </c>
      <c r="E13" s="7" t="inlineStr">
        <is>
          <t>PK</t>
        </is>
      </c>
      <c r="F13" s="7" t="inlineStr">
        <is>
          <t>Sim</t>
        </is>
      </c>
      <c r="G13" s="7" t="inlineStr">
        <is>
          <t>e_01...</t>
        </is>
      </c>
      <c r="H13" s="7" t="inlineStr">
        <is>
          <t>Baixa</t>
        </is>
      </c>
      <c r="I13" s="7" t="inlineStr">
        <is>
          <t>Execução do contrato</t>
        </is>
      </c>
      <c r="J13" s="7" t="inlineStr">
        <is>
          <t>CRM</t>
        </is>
      </c>
      <c r="K13" s="7" t="inlineStr">
        <is>
          <t>Diária</t>
        </is>
      </c>
      <c r="L13" s="7" t="inlineStr">
        <is>
          <t>único</t>
        </is>
      </c>
    </row>
    <row r="14" ht="52" customHeight="1">
      <c r="A14" s="6" t="inlineStr">
        <is>
          <t>dim_skill</t>
        </is>
      </c>
      <c r="B14" s="6" t="inlineStr">
        <is>
          <t>skill_id</t>
        </is>
      </c>
      <c r="C14" s="6" t="inlineStr">
        <is>
          <t>UUID</t>
        </is>
      </c>
      <c r="D14" s="6" t="inlineStr">
        <is>
          <t>Identificador de capacidade na taxonomia.</t>
        </is>
      </c>
      <c r="E14" s="6" t="inlineStr">
        <is>
          <t>PK</t>
        </is>
      </c>
      <c r="F14" s="6" t="inlineStr">
        <is>
          <t>Sim</t>
        </is>
      </c>
      <c r="G14" s="6" t="inlineStr">
        <is>
          <t>sk_01...</t>
        </is>
      </c>
      <c r="H14" s="6" t="inlineStr">
        <is>
          <t>Baixa</t>
        </is>
      </c>
      <c r="I14" s="6" t="inlineStr">
        <is>
          <t>Inteligência</t>
        </is>
      </c>
      <c r="J14" s="6" t="inlineStr">
        <is>
          <t>Taxonomia</t>
        </is>
      </c>
      <c r="K14" s="6" t="inlineStr">
        <is>
          <t>Release</t>
        </is>
      </c>
      <c r="L14" s="6" t="inlineStr">
        <is>
          <t>sem duplicidades semânticas</t>
        </is>
      </c>
    </row>
    <row r="15" ht="52" customHeight="1">
      <c r="A15" s="7" t="inlineStr">
        <is>
          <t>dim_skill</t>
        </is>
      </c>
      <c r="B15" s="7" t="inlineStr">
        <is>
          <t>skill_version</t>
        </is>
      </c>
      <c r="C15" s="7" t="inlineStr">
        <is>
          <t>string</t>
        </is>
      </c>
      <c r="D15" s="7" t="inlineStr">
        <is>
          <t>Versão da taxonomia.</t>
        </is>
      </c>
      <c r="E15" s="7" t="inlineStr"/>
      <c r="F15" s="7" t="inlineStr">
        <is>
          <t>Sim</t>
        </is>
      </c>
      <c r="G15" s="7" t="inlineStr">
        <is>
          <t>v3.2</t>
        </is>
      </c>
      <c r="H15" s="7" t="inlineStr">
        <is>
          <t>Baixa</t>
        </is>
      </c>
      <c r="I15" s="7" t="inlineStr">
        <is>
          <t>Auditabilidade</t>
        </is>
      </c>
      <c r="J15" s="7" t="inlineStr">
        <is>
          <t>Taxonomia</t>
        </is>
      </c>
      <c r="K15" s="7" t="inlineStr">
        <is>
          <t>Release</t>
        </is>
      </c>
      <c r="L15" s="7" t="inlineStr">
        <is>
          <t>imutável após uso</t>
        </is>
      </c>
    </row>
    <row r="16" ht="52" customHeight="1">
      <c r="A16" s="6" t="inlineStr">
        <is>
          <t>fact_person_skill</t>
        </is>
      </c>
      <c r="B16" s="6" t="inlineStr">
        <is>
          <t>person_id</t>
        </is>
      </c>
      <c r="C16" s="6" t="inlineStr">
        <is>
          <t>UUID</t>
        </is>
      </c>
      <c r="D16" s="6" t="inlineStr">
        <is>
          <t>Pessoa avaliada.</t>
        </is>
      </c>
      <c r="E16" s="6" t="inlineStr">
        <is>
          <t>FK</t>
        </is>
      </c>
      <c r="F16" s="6" t="inlineStr">
        <is>
          <t>Sim</t>
        </is>
      </c>
      <c r="G16" s="6" t="inlineStr">
        <is>
          <t>p_01...</t>
        </is>
      </c>
      <c r="H16" s="6" t="inlineStr">
        <is>
          <t>Alta</t>
        </is>
      </c>
      <c r="I16" s="6" t="inlineStr">
        <is>
          <t>Execução do serviço</t>
        </is>
      </c>
      <c r="J16" s="6" t="inlineStr">
        <is>
          <t>Diagnóstico</t>
        </is>
      </c>
      <c r="K16" s="6" t="inlineStr">
        <is>
          <t>Evento</t>
        </is>
      </c>
      <c r="L16" s="6" t="inlineStr">
        <is>
          <t>consentimento aplicável</t>
        </is>
      </c>
    </row>
    <row r="17" ht="52" customHeight="1">
      <c r="A17" s="7" t="inlineStr">
        <is>
          <t>fact_person_skill</t>
        </is>
      </c>
      <c r="B17" s="7" t="inlineStr">
        <is>
          <t>skill_id</t>
        </is>
      </c>
      <c r="C17" s="7" t="inlineStr">
        <is>
          <t>UUID</t>
        </is>
      </c>
      <c r="D17" s="7" t="inlineStr">
        <is>
          <t>Capacidade avaliada.</t>
        </is>
      </c>
      <c r="E17" s="7" t="inlineStr">
        <is>
          <t>FK</t>
        </is>
      </c>
      <c r="F17" s="7" t="inlineStr">
        <is>
          <t>Sim</t>
        </is>
      </c>
      <c r="G17" s="7" t="inlineStr">
        <is>
          <t>sk_01...</t>
        </is>
      </c>
      <c r="H17" s="7" t="inlineStr">
        <is>
          <t>Média</t>
        </is>
      </c>
      <c r="I17" s="7" t="inlineStr">
        <is>
          <t>Execução do serviço</t>
        </is>
      </c>
      <c r="J17" s="7" t="inlineStr">
        <is>
          <t>Diagnóstico</t>
        </is>
      </c>
      <c r="K17" s="7" t="inlineStr">
        <is>
          <t>Evento</t>
        </is>
      </c>
      <c r="L17" s="7" t="inlineStr">
        <is>
          <t>taxonomia válida</t>
        </is>
      </c>
    </row>
    <row r="18" ht="52" customHeight="1">
      <c r="A18" s="6" t="inlineStr">
        <is>
          <t>fact_person_skill</t>
        </is>
      </c>
      <c r="B18" s="6" t="inlineStr">
        <is>
          <t>level</t>
        </is>
      </c>
      <c r="C18" s="6" t="inlineStr">
        <is>
          <t>decimal</t>
        </is>
      </c>
      <c r="D18" s="6" t="inlineStr">
        <is>
          <t>Nível padronizado.</t>
        </is>
      </c>
      <c r="E18" s="6" t="inlineStr"/>
      <c r="F18" s="6" t="inlineStr">
        <is>
          <t>Sim</t>
        </is>
      </c>
      <c r="G18" s="6" t="inlineStr">
        <is>
          <t>3.4</t>
        </is>
      </c>
      <c r="H18" s="6" t="inlineStr">
        <is>
          <t>Alta</t>
        </is>
      </c>
      <c r="I18" s="6" t="inlineStr">
        <is>
          <t>Recomendação</t>
        </is>
      </c>
      <c r="J18" s="6" t="inlineStr">
        <is>
          <t>Diagnóstico</t>
        </is>
      </c>
      <c r="K18" s="6" t="inlineStr">
        <is>
          <t>Evento</t>
        </is>
      </c>
      <c r="L18" s="6" t="inlineStr">
        <is>
          <t>0 a 5</t>
        </is>
      </c>
    </row>
    <row r="19" ht="52" customHeight="1">
      <c r="A19" s="7" t="inlineStr">
        <is>
          <t>fact_person_skill</t>
        </is>
      </c>
      <c r="B19" s="7" t="inlineStr">
        <is>
          <t>confidence</t>
        </is>
      </c>
      <c r="C19" s="7" t="inlineStr">
        <is>
          <t>decimal</t>
        </is>
      </c>
      <c r="D19" s="7" t="inlineStr">
        <is>
          <t>Confiança baseada na evidência.</t>
        </is>
      </c>
      <c r="E19" s="7" t="inlineStr"/>
      <c r="F19" s="7" t="inlineStr">
        <is>
          <t>Sim</t>
        </is>
      </c>
      <c r="G19" s="7" t="inlineStr">
        <is>
          <t>0.82</t>
        </is>
      </c>
      <c r="H19" s="7" t="inlineStr">
        <is>
          <t>Média</t>
        </is>
      </c>
      <c r="I19" s="7" t="inlineStr">
        <is>
          <t>Explicabilidade</t>
        </is>
      </c>
      <c r="J19" s="7" t="inlineStr">
        <is>
          <t>Motor</t>
        </is>
      </c>
      <c r="K19" s="7" t="inlineStr">
        <is>
          <t>Evento</t>
        </is>
      </c>
      <c r="L19" s="7" t="inlineStr">
        <is>
          <t>0 a 1</t>
        </is>
      </c>
    </row>
    <row r="20" ht="52" customHeight="1">
      <c r="A20" s="6" t="inlineStr">
        <is>
          <t>fact_assessment</t>
        </is>
      </c>
      <c r="B20" s="6" t="inlineStr">
        <is>
          <t>assessment_id</t>
        </is>
      </c>
      <c r="C20" s="6" t="inlineStr">
        <is>
          <t>UUID</t>
        </is>
      </c>
      <c r="D20" s="6" t="inlineStr">
        <is>
          <t>Rodada de diagnóstico.</t>
        </is>
      </c>
      <c r="E20" s="6" t="inlineStr">
        <is>
          <t>PK</t>
        </is>
      </c>
      <c r="F20" s="6" t="inlineStr">
        <is>
          <t>Sim</t>
        </is>
      </c>
      <c r="G20" s="6" t="inlineStr">
        <is>
          <t>a_01...</t>
        </is>
      </c>
      <c r="H20" s="6" t="inlineStr">
        <is>
          <t>Alta</t>
        </is>
      </c>
      <c r="I20" s="6" t="inlineStr">
        <is>
          <t>Execução do serviço</t>
        </is>
      </c>
      <c r="J20" s="6" t="inlineStr">
        <is>
          <t>Plataforma</t>
        </is>
      </c>
      <c r="K20" s="6" t="inlineStr">
        <is>
          <t>Evento</t>
        </is>
      </c>
      <c r="L20" s="6" t="inlineStr">
        <is>
          <t>único</t>
        </is>
      </c>
    </row>
    <row r="21" ht="52" customHeight="1">
      <c r="A21" s="7" t="inlineStr">
        <is>
          <t>fact_assessment</t>
        </is>
      </c>
      <c r="B21" s="7" t="inlineStr">
        <is>
          <t>instrument_version</t>
        </is>
      </c>
      <c r="C21" s="7" t="inlineStr">
        <is>
          <t>string</t>
        </is>
      </c>
      <c r="D21" s="7" t="inlineStr">
        <is>
          <t>Versão do instrumento.</t>
        </is>
      </c>
      <c r="E21" s="7" t="inlineStr"/>
      <c r="F21" s="7" t="inlineStr">
        <is>
          <t>Sim</t>
        </is>
      </c>
      <c r="G21" s="7" t="inlineStr">
        <is>
          <t>roi_people_v2</t>
        </is>
      </c>
      <c r="H21" s="7" t="inlineStr">
        <is>
          <t>Média</t>
        </is>
      </c>
      <c r="I21" s="7" t="inlineStr">
        <is>
          <t>Auditabilidade</t>
        </is>
      </c>
      <c r="J21" s="7" t="inlineStr">
        <is>
          <t>Plataforma</t>
        </is>
      </c>
      <c r="K21" s="7" t="inlineStr">
        <is>
          <t>Evento</t>
        </is>
      </c>
      <c r="L21" s="7" t="inlineStr">
        <is>
          <t>versão existente</t>
        </is>
      </c>
    </row>
    <row r="22" ht="52" customHeight="1">
      <c r="A22" s="6" t="inlineStr">
        <is>
          <t>fact_assessment</t>
        </is>
      </c>
      <c r="B22" s="6" t="inlineStr">
        <is>
          <t>dimension_score</t>
        </is>
      </c>
      <c r="C22" s="6" t="inlineStr">
        <is>
          <t>decimal</t>
        </is>
      </c>
      <c r="D22" s="6" t="inlineStr">
        <is>
          <t>Score por dimensão.</t>
        </is>
      </c>
      <c r="E22" s="6" t="inlineStr"/>
      <c r="F22" s="6" t="inlineStr">
        <is>
          <t>Sim</t>
        </is>
      </c>
      <c r="G22" s="6" t="inlineStr">
        <is>
          <t>62</t>
        </is>
      </c>
      <c r="H22" s="6" t="inlineStr">
        <is>
          <t>Alta</t>
        </is>
      </c>
      <c r="I22" s="6" t="inlineStr">
        <is>
          <t>Diagnóstico</t>
        </is>
      </c>
      <c r="J22" s="6" t="inlineStr">
        <is>
          <t>Plataforma</t>
        </is>
      </c>
      <c r="K22" s="6" t="inlineStr">
        <is>
          <t>Evento</t>
        </is>
      </c>
      <c r="L22" s="6" t="inlineStr">
        <is>
          <t>faixa definida</t>
        </is>
      </c>
    </row>
    <row r="23" ht="52" customHeight="1">
      <c r="A23" s="7" t="inlineStr">
        <is>
          <t>fact_event</t>
        </is>
      </c>
      <c r="B23" s="7" t="inlineStr">
        <is>
          <t>event_id</t>
        </is>
      </c>
      <c r="C23" s="7" t="inlineStr">
        <is>
          <t>UUID</t>
        </is>
      </c>
      <c r="D23" s="7" t="inlineStr">
        <is>
          <t>Identificador do evento de produto.</t>
        </is>
      </c>
      <c r="E23" s="7" t="inlineStr">
        <is>
          <t>PK</t>
        </is>
      </c>
      <c r="F23" s="7" t="inlineStr">
        <is>
          <t>Sim</t>
        </is>
      </c>
      <c r="G23" s="7" t="inlineStr">
        <is>
          <t>ev_01...</t>
        </is>
      </c>
      <c r="H23" s="7" t="inlineStr">
        <is>
          <t>Média</t>
        </is>
      </c>
      <c r="I23" s="7" t="inlineStr">
        <is>
          <t>Analytics</t>
        </is>
      </c>
      <c r="J23" s="7" t="inlineStr">
        <is>
          <t>SDK</t>
        </is>
      </c>
      <c r="K23" s="7" t="inlineStr">
        <is>
          <t>Tempo real</t>
        </is>
      </c>
      <c r="L23" s="7" t="inlineStr">
        <is>
          <t>único e idempotente</t>
        </is>
      </c>
    </row>
    <row r="24" ht="52" customHeight="1">
      <c r="A24" s="6" t="inlineStr">
        <is>
          <t>fact_event</t>
        </is>
      </c>
      <c r="B24" s="6" t="inlineStr">
        <is>
          <t>event_name</t>
        </is>
      </c>
      <c r="C24" s="6" t="inlineStr">
        <is>
          <t>string</t>
        </is>
      </c>
      <c r="D24" s="6" t="inlineStr">
        <is>
          <t>Nome padronizado do evento.</t>
        </is>
      </c>
      <c r="E24" s="6" t="inlineStr"/>
      <c r="F24" s="6" t="inlineStr">
        <is>
          <t>Sim</t>
        </is>
      </c>
      <c r="G24" s="6" t="inlineStr">
        <is>
          <t>recommendation_accepted</t>
        </is>
      </c>
      <c r="H24" s="6" t="inlineStr">
        <is>
          <t>Baixa</t>
        </is>
      </c>
      <c r="I24" s="6" t="inlineStr">
        <is>
          <t>Analytics</t>
        </is>
      </c>
      <c r="J24" s="6" t="inlineStr">
        <is>
          <t>SDK</t>
        </is>
      </c>
      <c r="K24" s="6" t="inlineStr">
        <is>
          <t>Tempo real</t>
        </is>
      </c>
      <c r="L24" s="6" t="inlineStr">
        <is>
          <t>catálogo válido</t>
        </is>
      </c>
    </row>
    <row r="25" ht="52" customHeight="1">
      <c r="A25" s="7" t="inlineStr">
        <is>
          <t>fact_event</t>
        </is>
      </c>
      <c r="B25" s="7" t="inlineStr">
        <is>
          <t>occurred_at</t>
        </is>
      </c>
      <c r="C25" s="7" t="inlineStr">
        <is>
          <t>timestamp</t>
        </is>
      </c>
      <c r="D25" s="7" t="inlineStr">
        <is>
          <t>Momento UTC do evento.</t>
        </is>
      </c>
      <c r="E25" s="7" t="inlineStr"/>
      <c r="F25" s="7" t="inlineStr">
        <is>
          <t>Sim</t>
        </is>
      </c>
      <c r="G25" s="7" t="inlineStr">
        <is>
          <t>2026-08-18T12:00Z</t>
        </is>
      </c>
      <c r="H25" s="7" t="inlineStr">
        <is>
          <t>Média</t>
        </is>
      </c>
      <c r="I25" s="7" t="inlineStr">
        <is>
          <t>Analytics</t>
        </is>
      </c>
      <c r="J25" s="7" t="inlineStr">
        <is>
          <t>SDK</t>
        </is>
      </c>
      <c r="K25" s="7" t="inlineStr">
        <is>
          <t>Tempo real</t>
        </is>
      </c>
      <c r="L25" s="7" t="inlineStr">
        <is>
          <t>não futuro; timezone UTC</t>
        </is>
      </c>
    </row>
    <row r="26" ht="52" customHeight="1">
      <c r="A26" s="6" t="inlineStr">
        <is>
          <t>fact_event</t>
        </is>
      </c>
      <c r="B26" s="6" t="inlineStr">
        <is>
          <t>object_id</t>
        </is>
      </c>
      <c r="C26" s="6" t="inlineStr">
        <is>
          <t>UUID</t>
        </is>
      </c>
      <c r="D26" s="6" t="inlineStr">
        <is>
          <t>Objeto afetado pelo evento.</t>
        </is>
      </c>
      <c r="E26" s="6" t="inlineStr">
        <is>
          <t>FK</t>
        </is>
      </c>
      <c r="F26" s="6" t="inlineStr">
        <is>
          <t>Não</t>
        </is>
      </c>
      <c r="G26" s="6" t="inlineStr">
        <is>
          <t>rec_01...</t>
        </is>
      </c>
      <c r="H26" s="6" t="inlineStr">
        <is>
          <t>Média</t>
        </is>
      </c>
      <c r="I26" s="6" t="inlineStr">
        <is>
          <t>Analytics</t>
        </is>
      </c>
      <c r="J26" s="6" t="inlineStr">
        <is>
          <t>SDK</t>
        </is>
      </c>
      <c r="K26" s="6" t="inlineStr">
        <is>
          <t>Tempo real</t>
        </is>
      </c>
      <c r="L26" s="6" t="inlineStr">
        <is>
          <t>existir no domínio</t>
        </is>
      </c>
    </row>
    <row r="27" ht="52" customHeight="1">
      <c r="A27" s="7" t="inlineStr">
        <is>
          <t>fact_opportunity</t>
        </is>
      </c>
      <c r="B27" s="7" t="inlineStr">
        <is>
          <t>opportunity_id</t>
        </is>
      </c>
      <c r="C27" s="7" t="inlineStr">
        <is>
          <t>UUID</t>
        </is>
      </c>
      <c r="D27" s="7" t="inlineStr">
        <is>
          <t>Demanda rastreável.</t>
        </is>
      </c>
      <c r="E27" s="7" t="inlineStr">
        <is>
          <t>PK</t>
        </is>
      </c>
      <c r="F27" s="7" t="inlineStr">
        <is>
          <t>Sim</t>
        </is>
      </c>
      <c r="G27" s="7" t="inlineStr">
        <is>
          <t>op_01...</t>
        </is>
      </c>
      <c r="H27" s="7" t="inlineStr">
        <is>
          <t>Média</t>
        </is>
      </c>
      <c r="I27" s="7" t="inlineStr">
        <is>
          <t>Execução / interesse legítimo</t>
        </is>
      </c>
      <c r="J27" s="7" t="inlineStr">
        <is>
          <t>ATS/CRM/Compras</t>
        </is>
      </c>
      <c r="K27" s="7" t="inlineStr">
        <is>
          <t>Diária</t>
        </is>
      </c>
      <c r="L27" s="7" t="inlineStr">
        <is>
          <t>único</t>
        </is>
      </c>
    </row>
    <row r="28" ht="52" customHeight="1">
      <c r="A28" s="6" t="inlineStr">
        <is>
          <t>fact_opportunity</t>
        </is>
      </c>
      <c r="B28" s="6" t="inlineStr">
        <is>
          <t>value</t>
        </is>
      </c>
      <c r="C28" s="6" t="inlineStr">
        <is>
          <t>decimal</t>
        </is>
      </c>
      <c r="D28" s="6" t="inlineStr">
        <is>
          <t>Valor potencial da oportunidade.</t>
        </is>
      </c>
      <c r="E28" s="6" t="inlineStr"/>
      <c r="F28" s="6" t="inlineStr">
        <is>
          <t>Não</t>
        </is>
      </c>
      <c r="G28" s="6" t="inlineStr">
        <is>
          <t>250000</t>
        </is>
      </c>
      <c r="H28" s="6" t="inlineStr">
        <is>
          <t>Alta</t>
        </is>
      </c>
      <c r="I28" s="6" t="inlineStr">
        <is>
          <t>Mensuração financeira</t>
        </is>
      </c>
      <c r="J28" s="6" t="inlineStr">
        <is>
          <t>CRM</t>
        </is>
      </c>
      <c r="K28" s="6" t="inlineStr">
        <is>
          <t>Diária</t>
        </is>
      </c>
      <c r="L28" s="6" t="inlineStr">
        <is>
          <t>moeda e estágio presentes</t>
        </is>
      </c>
    </row>
    <row r="29" ht="52" customHeight="1">
      <c r="A29" s="7" t="inlineStr">
        <is>
          <t>fact_opportunity</t>
        </is>
      </c>
      <c r="B29" s="7" t="inlineStr">
        <is>
          <t>stage</t>
        </is>
      </c>
      <c r="C29" s="7" t="inlineStr">
        <is>
          <t>enum</t>
        </is>
      </c>
      <c r="D29" s="7" t="inlineStr">
        <is>
          <t>Estágio do funil.</t>
        </is>
      </c>
      <c r="E29" s="7" t="inlineStr"/>
      <c r="F29" s="7" t="inlineStr">
        <is>
          <t>Sim</t>
        </is>
      </c>
      <c r="G29" s="7" t="inlineStr">
        <is>
          <t>proposal</t>
        </is>
      </c>
      <c r="H29" s="7" t="inlineStr">
        <is>
          <t>Média</t>
        </is>
      </c>
      <c r="I29" s="7" t="inlineStr">
        <is>
          <t>Operação</t>
        </is>
      </c>
      <c r="J29" s="7" t="inlineStr">
        <is>
          <t>CRM</t>
        </is>
      </c>
      <c r="K29" s="7" t="inlineStr">
        <is>
          <t>Diária</t>
        </is>
      </c>
      <c r="L29" s="7" t="inlineStr">
        <is>
          <t>transições válidas</t>
        </is>
      </c>
    </row>
    <row r="30" ht="52" customHeight="1">
      <c r="A30" s="6" t="inlineStr">
        <is>
          <t>fact_match</t>
        </is>
      </c>
      <c r="B30" s="6" t="inlineStr">
        <is>
          <t>match_id</t>
        </is>
      </c>
      <c r="C30" s="6" t="inlineStr">
        <is>
          <t>UUID</t>
        </is>
      </c>
      <c r="D30" s="6" t="inlineStr">
        <is>
          <t>Par oferta-demanda avaliado.</t>
        </is>
      </c>
      <c r="E30" s="6" t="inlineStr">
        <is>
          <t>PK</t>
        </is>
      </c>
      <c r="F30" s="6" t="inlineStr">
        <is>
          <t>Sim</t>
        </is>
      </c>
      <c r="G30" s="6" t="inlineStr">
        <is>
          <t>m_01...</t>
        </is>
      </c>
      <c r="H30" s="6" t="inlineStr">
        <is>
          <t>Média</t>
        </is>
      </c>
      <c r="I30" s="6" t="inlineStr">
        <is>
          <t>Recomendação</t>
        </is>
      </c>
      <c r="J30" s="6" t="inlineStr">
        <is>
          <t>Motor</t>
        </is>
      </c>
      <c r="K30" s="6" t="inlineStr">
        <is>
          <t>Tempo real</t>
        </is>
      </c>
      <c r="L30" s="6" t="inlineStr">
        <is>
          <t>único por versão</t>
        </is>
      </c>
    </row>
    <row r="31" ht="52" customHeight="1">
      <c r="A31" s="7" t="inlineStr">
        <is>
          <t>fact_match</t>
        </is>
      </c>
      <c r="B31" s="7" t="inlineStr">
        <is>
          <t>score</t>
        </is>
      </c>
      <c r="C31" s="7" t="inlineStr">
        <is>
          <t>decimal</t>
        </is>
      </c>
      <c r="D31" s="7" t="inlineStr">
        <is>
          <t>Compatibilidade explicável.</t>
        </is>
      </c>
      <c r="E31" s="7" t="inlineStr"/>
      <c r="F31" s="7" t="inlineStr">
        <is>
          <t>Sim</t>
        </is>
      </c>
      <c r="G31" s="7" t="inlineStr">
        <is>
          <t>0.91</t>
        </is>
      </c>
      <c r="H31" s="7" t="inlineStr">
        <is>
          <t>Média</t>
        </is>
      </c>
      <c r="I31" s="7" t="inlineStr">
        <is>
          <t>Recomendação</t>
        </is>
      </c>
      <c r="J31" s="7" t="inlineStr">
        <is>
          <t>Motor</t>
        </is>
      </c>
      <c r="K31" s="7" t="inlineStr">
        <is>
          <t>Tempo real</t>
        </is>
      </c>
      <c r="L31" s="7" t="inlineStr">
        <is>
          <t>0 a 1</t>
        </is>
      </c>
    </row>
    <row r="32" ht="52" customHeight="1">
      <c r="A32" s="6" t="inlineStr">
        <is>
          <t>fact_match</t>
        </is>
      </c>
      <c r="B32" s="6" t="inlineStr">
        <is>
          <t>model_version_id</t>
        </is>
      </c>
      <c r="C32" s="6" t="inlineStr">
        <is>
          <t>string</t>
        </is>
      </c>
      <c r="D32" s="6" t="inlineStr">
        <is>
          <t>Versão que produziu o score.</t>
        </is>
      </c>
      <c r="E32" s="6" t="inlineStr">
        <is>
          <t>FK</t>
        </is>
      </c>
      <c r="F32" s="6" t="inlineStr">
        <is>
          <t>Sim</t>
        </is>
      </c>
      <c r="G32" s="6" t="inlineStr">
        <is>
          <t>match_v7</t>
        </is>
      </c>
      <c r="H32" s="6" t="inlineStr">
        <is>
          <t>Média</t>
        </is>
      </c>
      <c r="I32" s="6" t="inlineStr">
        <is>
          <t>Auditabilidade</t>
        </is>
      </c>
      <c r="J32" s="6" t="inlineStr">
        <is>
          <t>MLOps</t>
        </is>
      </c>
      <c r="K32" s="6" t="inlineStr">
        <is>
          <t>Tempo real</t>
        </is>
      </c>
      <c r="L32" s="6" t="inlineStr">
        <is>
          <t>versão registrada</t>
        </is>
      </c>
    </row>
    <row r="33" ht="52" customHeight="1">
      <c r="A33" s="7" t="inlineStr">
        <is>
          <t>fact_participation</t>
        </is>
      </c>
      <c r="B33" s="7" t="inlineStr">
        <is>
          <t>participation_id</t>
        </is>
      </c>
      <c r="C33" s="7" t="inlineStr">
        <is>
          <t>UUID</t>
        </is>
      </c>
      <c r="D33" s="7" t="inlineStr">
        <is>
          <t>Exposição a programa ou ação.</t>
        </is>
      </c>
      <c r="E33" s="7" t="inlineStr">
        <is>
          <t>PK</t>
        </is>
      </c>
      <c r="F33" s="7" t="inlineStr">
        <is>
          <t>Sim</t>
        </is>
      </c>
      <c r="G33" s="7" t="inlineStr">
        <is>
          <t>pt_01...</t>
        </is>
      </c>
      <c r="H33" s="7" t="inlineStr">
        <is>
          <t>Alta</t>
        </is>
      </c>
      <c r="I33" s="7" t="inlineStr">
        <is>
          <t>Execução do serviço</t>
        </is>
      </c>
      <c r="J33" s="7" t="inlineStr">
        <is>
          <t>Eventos/LMS</t>
        </is>
      </c>
      <c r="K33" s="7" t="inlineStr">
        <is>
          <t>Evento</t>
        </is>
      </c>
      <c r="L33" s="7" t="inlineStr">
        <is>
          <t>único por pessoa-ação</t>
        </is>
      </c>
    </row>
    <row r="34" ht="52" customHeight="1">
      <c r="A34" s="6" t="inlineStr">
        <is>
          <t>fact_participation</t>
        </is>
      </c>
      <c r="B34" s="6" t="inlineStr">
        <is>
          <t>dose</t>
        </is>
      </c>
      <c r="C34" s="6" t="inlineStr">
        <is>
          <t>decimal</t>
        </is>
      </c>
      <c r="D34" s="6" t="inlineStr">
        <is>
          <t>Intensidade/duração da exposição.</t>
        </is>
      </c>
      <c r="E34" s="6" t="inlineStr"/>
      <c r="F34" s="6" t="inlineStr">
        <is>
          <t>Não</t>
        </is>
      </c>
      <c r="G34" s="6" t="inlineStr">
        <is>
          <t>4.5</t>
        </is>
      </c>
      <c r="H34" s="6" t="inlineStr">
        <is>
          <t>Média</t>
        </is>
      </c>
      <c r="I34" s="6" t="inlineStr">
        <is>
          <t>Mensuração de efeito</t>
        </is>
      </c>
      <c r="J34" s="6" t="inlineStr">
        <is>
          <t>Eventos/LMS</t>
        </is>
      </c>
      <c r="K34" s="6" t="inlineStr">
        <is>
          <t>Evento</t>
        </is>
      </c>
      <c r="L34" s="6" t="inlineStr">
        <is>
          <t>unidade definida</t>
        </is>
      </c>
    </row>
    <row r="35" ht="52" customHeight="1">
      <c r="A35" s="7" t="inlineStr">
        <is>
          <t>fact_contract</t>
        </is>
      </c>
      <c r="B35" s="7" t="inlineStr">
        <is>
          <t>contract_id</t>
        </is>
      </c>
      <c r="C35" s="7" t="inlineStr">
        <is>
          <t>UUID</t>
        </is>
      </c>
      <c r="D35" s="7" t="inlineStr">
        <is>
          <t>Contrato fechado.</t>
        </is>
      </c>
      <c r="E35" s="7" t="inlineStr">
        <is>
          <t>PK</t>
        </is>
      </c>
      <c r="F35" s="7" t="inlineStr">
        <is>
          <t>Sim</t>
        </is>
      </c>
      <c r="G35" s="7" t="inlineStr">
        <is>
          <t>ct_01...</t>
        </is>
      </c>
      <c r="H35" s="7" t="inlineStr">
        <is>
          <t>Alta</t>
        </is>
      </c>
      <c r="I35" s="7" t="inlineStr">
        <is>
          <t>Execução do contrato</t>
        </is>
      </c>
      <c r="J35" s="7" t="inlineStr">
        <is>
          <t>CRM/ERP</t>
        </is>
      </c>
      <c r="K35" s="7" t="inlineStr">
        <is>
          <t>Diária</t>
        </is>
      </c>
      <c r="L35" s="7" t="inlineStr">
        <is>
          <t>conciliado</t>
        </is>
      </c>
    </row>
    <row r="36" ht="52" customHeight="1">
      <c r="A36" s="6" t="inlineStr">
        <is>
          <t>fact_contract</t>
        </is>
      </c>
      <c r="B36" s="6" t="inlineStr">
        <is>
          <t>origin_touchpoint</t>
        </is>
      </c>
      <c r="C36" s="6" t="inlineStr">
        <is>
          <t>UUID</t>
        </is>
      </c>
      <c r="D36" s="6" t="inlineStr">
        <is>
          <t>Touchpoint ou match de origem.</t>
        </is>
      </c>
      <c r="E36" s="6" t="inlineStr">
        <is>
          <t>FK</t>
        </is>
      </c>
      <c r="F36" s="6" t="inlineStr">
        <is>
          <t>Não</t>
        </is>
      </c>
      <c r="G36" s="6" t="inlineStr">
        <is>
          <t>m_01...</t>
        </is>
      </c>
      <c r="H36" s="6" t="inlineStr">
        <is>
          <t>Média</t>
        </is>
      </c>
      <c r="I36" s="6" t="inlineStr">
        <is>
          <t>Atribuição</t>
        </is>
      </c>
      <c r="J36" s="6" t="inlineStr">
        <is>
          <t>CRM</t>
        </is>
      </c>
      <c r="K36" s="6" t="inlineStr">
        <is>
          <t>Diária</t>
        </is>
      </c>
      <c r="L36" s="6" t="inlineStr">
        <is>
          <t>janela válida</t>
        </is>
      </c>
    </row>
    <row r="37" ht="52" customHeight="1">
      <c r="A37" s="7" t="inlineStr">
        <is>
          <t>fact_transaction</t>
        </is>
      </c>
      <c r="B37" s="7" t="inlineStr">
        <is>
          <t>amount</t>
        </is>
      </c>
      <c r="C37" s="7" t="inlineStr">
        <is>
          <t>decimal</t>
        </is>
      </c>
      <c r="D37" s="7" t="inlineStr">
        <is>
          <t>Valor reconhecido ou pago.</t>
        </is>
      </c>
      <c r="E37" s="7" t="inlineStr"/>
      <c r="F37" s="7" t="inlineStr">
        <is>
          <t>Sim</t>
        </is>
      </c>
      <c r="G37" s="7" t="inlineStr">
        <is>
          <t>80000</t>
        </is>
      </c>
      <c r="H37" s="7" t="inlineStr">
        <is>
          <t>Alta</t>
        </is>
      </c>
      <c r="I37" s="7" t="inlineStr">
        <is>
          <t>Execução do contrato</t>
        </is>
      </c>
      <c r="J37" s="7" t="inlineStr">
        <is>
          <t>ERP</t>
        </is>
      </c>
      <c r="K37" s="7" t="inlineStr">
        <is>
          <t>Diária</t>
        </is>
      </c>
      <c r="L37" s="7" t="inlineStr">
        <is>
          <t>conciliação financeira</t>
        </is>
      </c>
    </row>
    <row r="38" ht="52" customHeight="1">
      <c r="A38" s="6" t="inlineStr">
        <is>
          <t>fact_business_metric</t>
        </is>
      </c>
      <c r="B38" s="6" t="inlineStr">
        <is>
          <t>metric_id</t>
        </is>
      </c>
      <c r="C38" s="6" t="inlineStr">
        <is>
          <t>string</t>
        </is>
      </c>
      <c r="D38" s="6" t="inlineStr">
        <is>
          <t>Indicador de negócio acordado.</t>
        </is>
      </c>
      <c r="E38" s="6" t="inlineStr">
        <is>
          <t>PK parcial</t>
        </is>
      </c>
      <c r="F38" s="6" t="inlineStr">
        <is>
          <t>Sim</t>
        </is>
      </c>
      <c r="G38" s="6" t="inlineStr">
        <is>
          <t>turnover</t>
        </is>
      </c>
      <c r="H38" s="6" t="inlineStr">
        <is>
          <t>Alta</t>
        </is>
      </c>
      <c r="I38" s="6" t="inlineStr">
        <is>
          <t>Mensuração</t>
        </is>
      </c>
      <c r="J38" s="6" t="inlineStr">
        <is>
          <t>BI cliente</t>
        </is>
      </c>
      <c r="K38" s="6" t="inlineStr">
        <is>
          <t>Mensal</t>
        </is>
      </c>
      <c r="L38" s="6" t="inlineStr">
        <is>
          <t>dicionário e owner definidos</t>
        </is>
      </c>
    </row>
    <row r="39" ht="52" customHeight="1">
      <c r="A39" s="7" t="inlineStr">
        <is>
          <t>fact_business_metric</t>
        </is>
      </c>
      <c r="B39" s="7" t="inlineStr">
        <is>
          <t>baseline_value</t>
        </is>
      </c>
      <c r="C39" s="7" t="inlineStr">
        <is>
          <t>decimal</t>
        </is>
      </c>
      <c r="D39" s="7" t="inlineStr">
        <is>
          <t>Valor antes da intervenção.</t>
        </is>
      </c>
      <c r="E39" s="7" t="inlineStr"/>
      <c r="F39" s="7" t="inlineStr">
        <is>
          <t>Sim</t>
        </is>
      </c>
      <c r="G39" s="7" t="inlineStr">
        <is>
          <t>0.18</t>
        </is>
      </c>
      <c r="H39" s="7" t="inlineStr">
        <is>
          <t>Alta</t>
        </is>
      </c>
      <c r="I39" s="7" t="inlineStr">
        <is>
          <t>Mensuração</t>
        </is>
      </c>
      <c r="J39" s="7" t="inlineStr">
        <is>
          <t>BI cliente</t>
        </is>
      </c>
      <c r="K39" s="7" t="inlineStr">
        <is>
          <t>Mensal</t>
        </is>
      </c>
      <c r="L39" s="7" t="inlineStr">
        <is>
          <t>mesma definição do pós</t>
        </is>
      </c>
    </row>
    <row r="40" ht="52" customHeight="1">
      <c r="A40" s="6" t="inlineStr">
        <is>
          <t>fact_business_metric</t>
        </is>
      </c>
      <c r="B40" s="6" t="inlineStr">
        <is>
          <t>observed_value</t>
        </is>
      </c>
      <c r="C40" s="6" t="inlineStr">
        <is>
          <t>decimal</t>
        </is>
      </c>
      <c r="D40" s="6" t="inlineStr">
        <is>
          <t>Valor observado no período.</t>
        </is>
      </c>
      <c r="E40" s="6" t="inlineStr"/>
      <c r="F40" s="6" t="inlineStr">
        <is>
          <t>Sim</t>
        </is>
      </c>
      <c r="G40" s="6" t="inlineStr">
        <is>
          <t>0.15</t>
        </is>
      </c>
      <c r="H40" s="6" t="inlineStr">
        <is>
          <t>Alta</t>
        </is>
      </c>
      <c r="I40" s="6" t="inlineStr">
        <is>
          <t>Mensuração</t>
        </is>
      </c>
      <c r="J40" s="6" t="inlineStr">
        <is>
          <t>BI cliente</t>
        </is>
      </c>
      <c r="K40" s="6" t="inlineStr">
        <is>
          <t>Mensal</t>
        </is>
      </c>
      <c r="L40" s="6" t="inlineStr">
        <is>
          <t>mesma população e janela</t>
        </is>
      </c>
    </row>
    <row r="41" ht="52" customHeight="1">
      <c r="A41" s="7" t="inlineStr">
        <is>
          <t>fact_financial_value</t>
        </is>
      </c>
      <c r="B41" s="7" t="inlineStr">
        <is>
          <t>lever</t>
        </is>
      </c>
      <c r="C41" s="7" t="inlineStr">
        <is>
          <t>enum</t>
        </is>
      </c>
      <c r="D41" s="7" t="inlineStr">
        <is>
          <t>Alavanca financeira deduplicada.</t>
        </is>
      </c>
      <c r="E41" s="7" t="inlineStr"/>
      <c r="F41" s="7" t="inlineStr">
        <is>
          <t>Sim</t>
        </is>
      </c>
      <c r="G41" s="7" t="inlineStr">
        <is>
          <t>retention</t>
        </is>
      </c>
      <c r="H41" s="7" t="inlineStr">
        <is>
          <t>Alta</t>
        </is>
      </c>
      <c r="I41" s="7" t="inlineStr">
        <is>
          <t>Prova de valor</t>
        </is>
      </c>
      <c r="J41" s="7" t="inlineStr">
        <is>
          <t>Data mart</t>
        </is>
      </c>
      <c r="K41" s="7" t="inlineStr">
        <is>
          <t>Trimestral</t>
        </is>
      </c>
      <c r="L41" s="7" t="inlineStr">
        <is>
          <t>taxonomia financeira</t>
        </is>
      </c>
    </row>
    <row r="42" ht="52" customHeight="1">
      <c r="A42" s="6" t="inlineStr">
        <is>
          <t>fact_financial_value</t>
        </is>
      </c>
      <c r="B42" s="6" t="inlineStr">
        <is>
          <t>gross_value</t>
        </is>
      </c>
      <c r="C42" s="6" t="inlineStr">
        <is>
          <t>decimal</t>
        </is>
      </c>
      <c r="D42" s="6" t="inlineStr">
        <is>
          <t>Valor antes da atribuição.</t>
        </is>
      </c>
      <c r="E42" s="6" t="inlineStr"/>
      <c r="F42" s="6" t="inlineStr">
        <is>
          <t>Sim</t>
        </is>
      </c>
      <c r="G42" s="6" t="inlineStr">
        <is>
          <t>900000</t>
        </is>
      </c>
      <c r="H42" s="6" t="inlineStr">
        <is>
          <t>Alta</t>
        </is>
      </c>
      <c r="I42" s="6" t="inlineStr">
        <is>
          <t>Prova de valor</t>
        </is>
      </c>
      <c r="J42" s="6" t="inlineStr">
        <is>
          <t>Data mart</t>
        </is>
      </c>
      <c r="K42" s="6" t="inlineStr">
        <is>
          <t>Trimestral</t>
        </is>
      </c>
      <c r="L42" s="6" t="inlineStr">
        <is>
          <t>fonte e fórmula registradas</t>
        </is>
      </c>
    </row>
    <row r="43" ht="52" customHeight="1">
      <c r="A43" s="7" t="inlineStr">
        <is>
          <t>fact_financial_value</t>
        </is>
      </c>
      <c r="B43" s="7" t="inlineStr">
        <is>
          <t>attribution_rate</t>
        </is>
      </c>
      <c r="C43" s="7" t="inlineStr">
        <is>
          <t>decimal</t>
        </is>
      </c>
      <c r="D43" s="7" t="inlineStr">
        <is>
          <t>Parcela atribuída à HUB.</t>
        </is>
      </c>
      <c r="E43" s="7" t="inlineStr"/>
      <c r="F43" s="7" t="inlineStr">
        <is>
          <t>Sim</t>
        </is>
      </c>
      <c r="G43" s="7" t="inlineStr">
        <is>
          <t>0.40</t>
        </is>
      </c>
      <c r="H43" s="7" t="inlineStr">
        <is>
          <t>Alta</t>
        </is>
      </c>
      <c r="I43" s="7" t="inlineStr">
        <is>
          <t>Prova de valor</t>
        </is>
      </c>
      <c r="J43" s="7" t="inlineStr">
        <is>
          <t>Metodologia</t>
        </is>
      </c>
      <c r="K43" s="7" t="inlineStr">
        <is>
          <t>Trimestral</t>
        </is>
      </c>
      <c r="L43" s="7" t="inlineStr">
        <is>
          <t>0 a 1; evidência associada</t>
        </is>
      </c>
    </row>
    <row r="44" ht="52" customHeight="1">
      <c r="A44" s="6" t="inlineStr">
        <is>
          <t>fact_financial_value</t>
        </is>
      </c>
      <c r="B44" s="6" t="inlineStr">
        <is>
          <t>evidence_level</t>
        </is>
      </c>
      <c r="C44" s="6" t="inlineStr">
        <is>
          <t>enum</t>
        </is>
      </c>
      <c r="D44" s="6" t="inlineStr">
        <is>
          <t>Força metodológica da estimativa.</t>
        </is>
      </c>
      <c r="E44" s="6" t="inlineStr"/>
      <c r="F44" s="6" t="inlineStr">
        <is>
          <t>Sim</t>
        </is>
      </c>
      <c r="G44" s="6" t="inlineStr">
        <is>
          <t>quase_experimental</t>
        </is>
      </c>
      <c r="H44" s="6" t="inlineStr">
        <is>
          <t>Média</t>
        </is>
      </c>
      <c r="I44" s="6" t="inlineStr">
        <is>
          <t>Transparência</t>
        </is>
      </c>
      <c r="J44" s="6" t="inlineStr">
        <is>
          <t>Metadados</t>
        </is>
      </c>
      <c r="K44" s="6" t="inlineStr">
        <is>
          <t>Trimestral</t>
        </is>
      </c>
      <c r="L44" s="6" t="inlineStr">
        <is>
          <t>catálogo válido</t>
        </is>
      </c>
    </row>
    <row r="45" ht="52" customHeight="1">
      <c r="A45" s="7" t="inlineStr">
        <is>
          <t>dim_cohort</t>
        </is>
      </c>
      <c r="B45" s="7" t="inlineStr">
        <is>
          <t>cohort_definition</t>
        </is>
      </c>
      <c r="C45" s="7" t="inlineStr">
        <is>
          <t>json</t>
        </is>
      </c>
      <c r="D45" s="7" t="inlineStr">
        <is>
          <t>Critérios imutáveis do grupo.</t>
        </is>
      </c>
      <c r="E45" s="7" t="inlineStr"/>
      <c r="F45" s="7" t="inlineStr">
        <is>
          <t>Sim</t>
        </is>
      </c>
      <c r="G45" s="7" t="inlineStr">
        <is>
          <t>{...}</t>
        </is>
      </c>
      <c r="H45" s="7" t="inlineStr">
        <is>
          <t>Alta</t>
        </is>
      </c>
      <c r="I45" s="7" t="inlineStr">
        <is>
          <t>Mensuração</t>
        </is>
      </c>
      <c r="J45" s="7" t="inlineStr">
        <is>
          <t>Camada analítica</t>
        </is>
      </c>
      <c r="K45" s="7" t="inlineStr">
        <is>
          <t>Mensal</t>
        </is>
      </c>
      <c r="L45" s="7" t="inlineStr">
        <is>
          <t>versionado e reproduzível</t>
        </is>
      </c>
    </row>
    <row r="46" ht="52" customHeight="1">
      <c r="A46" s="6" t="inlineStr">
        <is>
          <t>dim_model_version</t>
        </is>
      </c>
      <c r="B46" s="6" t="inlineStr">
        <is>
          <t>features_hash</t>
        </is>
      </c>
      <c r="C46" s="6" t="inlineStr">
        <is>
          <t>string</t>
        </is>
      </c>
      <c r="D46" s="6" t="inlineStr">
        <is>
          <t>Hash das features e pesos.</t>
        </is>
      </c>
      <c r="E46" s="6" t="inlineStr"/>
      <c r="F46" s="6" t="inlineStr">
        <is>
          <t>Sim</t>
        </is>
      </c>
      <c r="G46" s="6" t="inlineStr">
        <is>
          <t>sha256...</t>
        </is>
      </c>
      <c r="H46" s="6" t="inlineStr">
        <is>
          <t>Média</t>
        </is>
      </c>
      <c r="I46" s="6" t="inlineStr">
        <is>
          <t>Auditabilidade</t>
        </is>
      </c>
      <c r="J46" s="6" t="inlineStr">
        <is>
          <t>MLOps</t>
        </is>
      </c>
      <c r="K46" s="6" t="inlineStr">
        <is>
          <t>Release</t>
        </is>
      </c>
      <c r="L46" s="6" t="inlineStr">
        <is>
          <t>imutável</t>
        </is>
      </c>
    </row>
  </sheetData>
  <autoFilter ref="A5:L46"/>
  <mergeCells count="2">
    <mergeCell ref="A3:L3"/>
    <mergeCell ref="A1:L2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78B8"/>
    <outlinePr summaryBelow="1" summaryRight="1"/>
    <pageSetUpPr fitToPage="1"/>
  </sheetPr>
  <dimension ref="A1:K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44" customWidth="1" min="4" max="4"/>
    <col width="25" customWidth="1" min="5" max="5"/>
    <col width="18" customWidth="1" min="6" max="6"/>
    <col width="34" customWidth="1" min="7" max="7"/>
    <col width="30" customWidth="1" min="8" max="8"/>
    <col width="12" customWidth="1" min="9" max="9"/>
    <col width="14" customWidth="1" min="10" max="10"/>
    <col width="34" customWidth="1" min="11" max="11"/>
  </cols>
  <sheetData>
    <row r="1" ht="26" customHeight="1">
      <c r="A1" s="1" t="inlineStr">
        <is>
          <t>Taxonomia de eventos do produto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Eventos padronizados permitem medir funil, adoção, recomendação e valor sem ambiguidade.</t>
        </is>
      </c>
    </row>
    <row r="5" ht="34" customHeight="1">
      <c r="A5" s="44" t="inlineStr">
        <is>
          <t>Evento</t>
        </is>
      </c>
      <c r="B5" s="44" t="inlineStr">
        <is>
          <t>Quando dispara</t>
        </is>
      </c>
      <c r="C5" s="44" t="inlineStr">
        <is>
          <t>Objeto</t>
        </is>
      </c>
      <c r="D5" s="44" t="inlineStr">
        <is>
          <t>Propriedades obrigatórias</t>
        </is>
      </c>
      <c r="E5" s="44" t="inlineStr">
        <is>
          <t>Pessoa/empresa</t>
        </is>
      </c>
      <c r="F5" s="44" t="inlineStr">
        <is>
          <t>Etapa do funil</t>
        </is>
      </c>
      <c r="G5" s="44" t="inlineStr">
        <is>
          <t>Indicadores</t>
        </is>
      </c>
      <c r="H5" s="44" t="inlineStr">
        <is>
          <t>Valor esperado</t>
        </is>
      </c>
      <c r="I5" s="44" t="inlineStr">
        <is>
          <t>PII</t>
        </is>
      </c>
      <c r="J5" s="44" t="inlineStr">
        <is>
          <t>Retenção</t>
        </is>
      </c>
      <c r="K5" s="44" t="inlineStr">
        <is>
          <t>Regra de QA</t>
        </is>
      </c>
    </row>
    <row r="6" ht="56" customHeight="1">
      <c r="A6" s="6" t="inlineStr">
        <is>
          <t>account_created</t>
        </is>
      </c>
      <c r="B6" s="6" t="inlineStr">
        <is>
          <t>cadastro concluído</t>
        </is>
      </c>
      <c r="C6" s="6" t="inlineStr">
        <is>
          <t>person/company</t>
        </is>
      </c>
      <c r="D6" s="6" t="inlineStr">
        <is>
          <t>source, persona, consent_version</t>
        </is>
      </c>
      <c r="E6" s="6" t="inlineStr">
        <is>
          <t>person_id/company_id</t>
        </is>
      </c>
      <c r="F6" s="6" t="inlineStr">
        <is>
          <t>Aquisição</t>
        </is>
      </c>
      <c r="G6" s="6" t="inlineStr">
        <is>
          <t>novos cadastros, CAC</t>
        </is>
      </c>
      <c r="H6" s="6" t="inlineStr">
        <is>
          <t>entrada no funil</t>
        </is>
      </c>
      <c r="I6" s="6" t="inlineStr">
        <is>
          <t>Sim</t>
        </is>
      </c>
      <c r="J6" s="6" t="inlineStr">
        <is>
          <t>24 meses</t>
        </is>
      </c>
      <c r="K6" s="6" t="inlineStr">
        <is>
          <t>idempotente</t>
        </is>
      </c>
    </row>
    <row r="7" ht="56" customHeight="1">
      <c r="A7" s="7" t="inlineStr">
        <is>
          <t>profile_completed</t>
        </is>
      </c>
      <c r="B7" s="7" t="inlineStr">
        <is>
          <t>campos mínimos válidos</t>
        </is>
      </c>
      <c r="C7" s="7" t="inlineStr">
        <is>
          <t>profile</t>
        </is>
      </c>
      <c r="D7" s="7" t="inlineStr">
        <is>
          <t>completion_rate, missing_fields</t>
        </is>
      </c>
      <c r="E7" s="7" t="inlineStr">
        <is>
          <t>person_id</t>
        </is>
      </c>
      <c r="F7" s="7" t="inlineStr">
        <is>
          <t>Ativação</t>
        </is>
      </c>
      <c r="G7" s="7" t="inlineStr">
        <is>
          <t>completude, ativação</t>
        </is>
      </c>
      <c r="H7" s="7" t="inlineStr">
        <is>
          <t>habilita diagnóstico/match</t>
        </is>
      </c>
      <c r="I7" s="7" t="inlineStr">
        <is>
          <t>Sim</t>
        </is>
      </c>
      <c r="J7" s="7" t="inlineStr">
        <is>
          <t>24 meses</t>
        </is>
      </c>
      <c r="K7" s="7" t="inlineStr">
        <is>
          <t>completion_rate 0–1</t>
        </is>
      </c>
    </row>
    <row r="8" ht="56" customHeight="1">
      <c r="A8" s="6" t="inlineStr">
        <is>
          <t>assessment_started</t>
        </is>
      </c>
      <c r="B8" s="6" t="inlineStr">
        <is>
          <t>primeira resposta</t>
        </is>
      </c>
      <c r="C8" s="6" t="inlineStr">
        <is>
          <t>assessment</t>
        </is>
      </c>
      <c r="D8" s="6" t="inlineStr">
        <is>
          <t>instrument_version, context</t>
        </is>
      </c>
      <c r="E8" s="6" t="inlineStr">
        <is>
          <t>person_id/company_id</t>
        </is>
      </c>
      <c r="F8" s="6" t="inlineStr">
        <is>
          <t>Ativação</t>
        </is>
      </c>
      <c r="G8" s="6" t="inlineStr">
        <is>
          <t>início de diagnóstico</t>
        </is>
      </c>
      <c r="H8" s="6" t="inlineStr">
        <is>
          <t>gera baseline</t>
        </is>
      </c>
      <c r="I8" s="6" t="inlineStr">
        <is>
          <t>Sim</t>
        </is>
      </c>
      <c r="J8" s="6" t="inlineStr">
        <is>
          <t>36 meses</t>
        </is>
      </c>
      <c r="K8" s="6" t="inlineStr">
        <is>
          <t>instrumento existente</t>
        </is>
      </c>
    </row>
    <row r="9" ht="56" customHeight="1">
      <c r="A9" s="7" t="inlineStr">
        <is>
          <t>assessment_completed</t>
        </is>
      </c>
      <c r="B9" s="7" t="inlineStr">
        <is>
          <t>última resposta validada</t>
        </is>
      </c>
      <c r="C9" s="7" t="inlineStr">
        <is>
          <t>assessment</t>
        </is>
      </c>
      <c r="D9" s="7" t="inlineStr">
        <is>
          <t>score, dimensions, version</t>
        </is>
      </c>
      <c r="E9" s="7" t="inlineStr">
        <is>
          <t>person_id/company_id</t>
        </is>
      </c>
      <c r="F9" s="7" t="inlineStr">
        <is>
          <t>Ativação</t>
        </is>
      </c>
      <c r="G9" s="7" t="inlineStr">
        <is>
          <t>conclusão, prontidão</t>
        </is>
      </c>
      <c r="H9" s="7" t="inlineStr">
        <is>
          <t>habilita recomendação</t>
        </is>
      </c>
      <c r="I9" s="7" t="inlineStr">
        <is>
          <t>Sim</t>
        </is>
      </c>
      <c r="J9" s="7" t="inlineStr">
        <is>
          <t>36 meses</t>
        </is>
      </c>
      <c r="K9" s="7" t="inlineStr">
        <is>
          <t>score dentro da faixa</t>
        </is>
      </c>
    </row>
    <row r="10" ht="56" customHeight="1">
      <c r="A10" s="6" t="inlineStr">
        <is>
          <t>recommendation_viewed</t>
        </is>
      </c>
      <c r="B10" s="6" t="inlineStr">
        <is>
          <t>recomendação exibida</t>
        </is>
      </c>
      <c r="C10" s="6" t="inlineStr">
        <is>
          <t>recommendation</t>
        </is>
      </c>
      <c r="D10" s="6" t="inlineStr">
        <is>
          <t>model_version, rank, explanation</t>
        </is>
      </c>
      <c r="E10" s="6" t="inlineStr">
        <is>
          <t>person_id/company_id</t>
        </is>
      </c>
      <c r="F10" s="6" t="inlineStr">
        <is>
          <t>Engajamento</t>
        </is>
      </c>
      <c r="G10" s="6" t="inlineStr">
        <is>
          <t>CTR de recomendação</t>
        </is>
      </c>
      <c r="H10" s="6" t="inlineStr">
        <is>
          <t>sinal de interesse</t>
        </is>
      </c>
      <c r="I10" s="6" t="inlineStr">
        <is>
          <t>Sim</t>
        </is>
      </c>
      <c r="J10" s="6" t="inlineStr">
        <is>
          <t>24 meses</t>
        </is>
      </c>
      <c r="K10" s="6" t="inlineStr">
        <is>
          <t>versão registrada</t>
        </is>
      </c>
    </row>
    <row r="11" ht="56" customHeight="1">
      <c r="A11" s="7" t="inlineStr">
        <is>
          <t>recommendation_accepted</t>
        </is>
      </c>
      <c r="B11" s="7" t="inlineStr">
        <is>
          <t>usuário confirma ação</t>
        </is>
      </c>
      <c r="C11" s="7" t="inlineStr">
        <is>
          <t>recommendation</t>
        </is>
      </c>
      <c r="D11" s="7" t="inlineStr">
        <is>
          <t>type, rank, model_version</t>
        </is>
      </c>
      <c r="E11" s="7" t="inlineStr">
        <is>
          <t>person_id/company_id</t>
        </is>
      </c>
      <c r="F11" s="7" t="inlineStr">
        <is>
          <t>Conversão</t>
        </is>
      </c>
      <c r="G11" s="7" t="inlineStr">
        <is>
          <t>aceitação, uplift</t>
        </is>
      </c>
      <c r="H11" s="7" t="inlineStr">
        <is>
          <t>inicia ação</t>
        </is>
      </c>
      <c r="I11" s="7" t="inlineStr">
        <is>
          <t>Sim</t>
        </is>
      </c>
      <c r="J11" s="7" t="inlineStr">
        <is>
          <t>36 meses</t>
        </is>
      </c>
      <c r="K11" s="7" t="inlineStr">
        <is>
          <t>recomendação válida</t>
        </is>
      </c>
    </row>
    <row r="12" ht="56" customHeight="1">
      <c r="A12" s="6" t="inlineStr">
        <is>
          <t>journey_started</t>
        </is>
      </c>
      <c r="B12" s="6" t="inlineStr">
        <is>
          <t>primeira etapa iniciada</t>
        </is>
      </c>
      <c r="C12" s="6" t="inlineStr">
        <is>
          <t>journey</t>
        </is>
      </c>
      <c r="D12" s="6" t="inlineStr">
        <is>
          <t>goal, version, origin</t>
        </is>
      </c>
      <c r="E12" s="6" t="inlineStr">
        <is>
          <t>person_id</t>
        </is>
      </c>
      <c r="F12" s="6" t="inlineStr">
        <is>
          <t>Engajamento</t>
        </is>
      </c>
      <c r="G12" s="6" t="inlineStr">
        <is>
          <t>início, time-to-value</t>
        </is>
      </c>
      <c r="H12" s="6" t="inlineStr">
        <is>
          <t>exposição</t>
        </is>
      </c>
      <c r="I12" s="6" t="inlineStr">
        <is>
          <t>Sim</t>
        </is>
      </c>
      <c r="J12" s="6" t="inlineStr">
        <is>
          <t>36 meses</t>
        </is>
      </c>
      <c r="K12" s="6" t="inlineStr">
        <is>
          <t>origin registrado</t>
        </is>
      </c>
    </row>
    <row r="13" ht="56" customHeight="1">
      <c r="A13" s="7" t="inlineStr">
        <is>
          <t>journey_step_completed</t>
        </is>
      </c>
      <c r="B13" s="7" t="inlineStr">
        <is>
          <t>etapa validada</t>
        </is>
      </c>
      <c r="C13" s="7" t="inlineStr">
        <is>
          <t>journey_step</t>
        </is>
      </c>
      <c r="D13" s="7" t="inlineStr">
        <is>
          <t>journey_id, step_id, evidence</t>
        </is>
      </c>
      <c r="E13" s="7" t="inlineStr">
        <is>
          <t>person_id</t>
        </is>
      </c>
      <c r="F13" s="7" t="inlineStr">
        <is>
          <t>Engajamento</t>
        </is>
      </c>
      <c r="G13" s="7" t="inlineStr">
        <is>
          <t>progresso, drop-off</t>
        </is>
      </c>
      <c r="H13" s="7" t="inlineStr">
        <is>
          <t>dose da ação</t>
        </is>
      </c>
      <c r="I13" s="7" t="inlineStr">
        <is>
          <t>Sim</t>
        </is>
      </c>
      <c r="J13" s="7" t="inlineStr">
        <is>
          <t>36 meses</t>
        </is>
      </c>
      <c r="K13" s="7" t="inlineStr">
        <is>
          <t>ordem e timestamp válidos</t>
        </is>
      </c>
    </row>
    <row r="14" ht="56" customHeight="1">
      <c r="A14" s="6" t="inlineStr">
        <is>
          <t>journey_completed</t>
        </is>
      </c>
      <c r="B14" s="6" t="inlineStr">
        <is>
          <t>critério de conclusão</t>
        </is>
      </c>
      <c r="C14" s="6" t="inlineStr">
        <is>
          <t>journey</t>
        </is>
      </c>
      <c r="D14" s="6" t="inlineStr">
        <is>
          <t>outcome_expected, duration</t>
        </is>
      </c>
      <c r="E14" s="6" t="inlineStr">
        <is>
          <t>person_id</t>
        </is>
      </c>
      <c r="F14" s="6" t="inlineStr">
        <is>
          <t>Conversão</t>
        </is>
      </c>
      <c r="G14" s="6" t="inlineStr">
        <is>
          <t>conclusão, evolução</t>
        </is>
      </c>
      <c r="H14" s="6" t="inlineStr">
        <is>
          <t>habilita pós-medição</t>
        </is>
      </c>
      <c r="I14" s="6" t="inlineStr">
        <is>
          <t>Sim</t>
        </is>
      </c>
      <c r="J14" s="6" t="inlineStr">
        <is>
          <t>36 meses</t>
        </is>
      </c>
      <c r="K14" s="6" t="inlineStr">
        <is>
          <t>todas etapas obrigatórias</t>
        </is>
      </c>
    </row>
    <row r="15" ht="56" customHeight="1">
      <c r="A15" s="7" t="inlineStr">
        <is>
          <t>opportunity_created</t>
        </is>
      </c>
      <c r="B15" s="7" t="inlineStr">
        <is>
          <t>demanda publicada</t>
        </is>
      </c>
      <c r="C15" s="7" t="inlineStr">
        <is>
          <t>opportunity</t>
        </is>
      </c>
      <c r="D15" s="7" t="inlineStr">
        <is>
          <t>type, requirements, value, deadline</t>
        </is>
      </c>
      <c r="E15" s="7" t="inlineStr">
        <is>
          <t>company_id</t>
        </is>
      </c>
      <c r="F15" s="7" t="inlineStr">
        <is>
          <t>Aquisição</t>
        </is>
      </c>
      <c r="G15" s="7" t="inlineStr">
        <is>
          <t>pipeline, cobertura</t>
        </is>
      </c>
      <c r="H15" s="7" t="inlineStr">
        <is>
          <t>demanda monetizável</t>
        </is>
      </c>
      <c r="I15" s="7" t="inlineStr">
        <is>
          <t>Não</t>
        </is>
      </c>
      <c r="J15" s="7" t="inlineStr">
        <is>
          <t>60 meses</t>
        </is>
      </c>
      <c r="K15" s="7" t="inlineStr">
        <is>
          <t>requisitos estruturados</t>
        </is>
      </c>
    </row>
    <row r="16" ht="56" customHeight="1">
      <c r="A16" s="6" t="inlineStr">
        <is>
          <t>match_generated</t>
        </is>
      </c>
      <c r="B16" s="6" t="inlineStr">
        <is>
          <t>motor conclui ranking</t>
        </is>
      </c>
      <c r="C16" s="6" t="inlineStr">
        <is>
          <t>match</t>
        </is>
      </c>
      <c r="D16" s="6" t="inlineStr">
        <is>
          <t>score, model_version, rank, criteria</t>
        </is>
      </c>
      <c r="E16" s="6" t="inlineStr">
        <is>
          <t>company_id/person_id</t>
        </is>
      </c>
      <c r="F16" s="6" t="inlineStr">
        <is>
          <t>Engajamento</t>
        </is>
      </c>
      <c r="G16" s="6" t="inlineStr">
        <is>
          <t>precisão, cobertura</t>
        </is>
      </c>
      <c r="H16" s="6" t="inlineStr">
        <is>
          <t>reduz busca</t>
        </is>
      </c>
      <c r="I16" s="6" t="inlineStr">
        <is>
          <t>Possível</t>
        </is>
      </c>
      <c r="J16" s="6" t="inlineStr">
        <is>
          <t>36 meses</t>
        </is>
      </c>
      <c r="K16" s="6" t="inlineStr">
        <is>
          <t>modelo e explicação</t>
        </is>
      </c>
    </row>
    <row r="17" ht="56" customHeight="1">
      <c r="A17" s="7" t="inlineStr">
        <is>
          <t>match_viewed</t>
        </is>
      </c>
      <c r="B17" s="7" t="inlineStr">
        <is>
          <t>match é visualizado</t>
        </is>
      </c>
      <c r="C17" s="7" t="inlineStr">
        <is>
          <t>match</t>
        </is>
      </c>
      <c r="D17" s="7" t="inlineStr">
        <is>
          <t>rank, channel</t>
        </is>
      </c>
      <c r="E17" s="7" t="inlineStr">
        <is>
          <t>person_id/company_id</t>
        </is>
      </c>
      <c r="F17" s="7" t="inlineStr">
        <is>
          <t>Engajamento</t>
        </is>
      </c>
      <c r="G17" s="7" t="inlineStr">
        <is>
          <t>CTR de match</t>
        </is>
      </c>
      <c r="H17" s="7" t="inlineStr">
        <is>
          <t>sinal de qualidade</t>
        </is>
      </c>
      <c r="I17" s="7" t="inlineStr">
        <is>
          <t>Possível</t>
        </is>
      </c>
      <c r="J17" s="7" t="inlineStr">
        <is>
          <t>36 meses</t>
        </is>
      </c>
      <c r="K17" s="7" t="inlineStr">
        <is>
          <t>rank consistente</t>
        </is>
      </c>
    </row>
    <row r="18" ht="56" customHeight="1">
      <c r="A18" s="6" t="inlineStr">
        <is>
          <t>match_accepted</t>
        </is>
      </c>
      <c r="B18" s="6" t="inlineStr">
        <is>
          <t>parte aceita conexão</t>
        </is>
      </c>
      <c r="C18" s="6" t="inlineStr">
        <is>
          <t>match</t>
        </is>
      </c>
      <c r="D18" s="6" t="inlineStr">
        <is>
          <t>side, score, response_time</t>
        </is>
      </c>
      <c r="E18" s="6" t="inlineStr">
        <is>
          <t>person_id/company_id</t>
        </is>
      </c>
      <c r="F18" s="6" t="inlineStr">
        <is>
          <t>Conversão</t>
        </is>
      </c>
      <c r="G18" s="6" t="inlineStr">
        <is>
          <t>aceitação, ciclo</t>
        </is>
      </c>
      <c r="H18" s="6" t="inlineStr">
        <is>
          <t>leva a contato</t>
        </is>
      </c>
      <c r="I18" s="6" t="inlineStr">
        <is>
          <t>Possível</t>
        </is>
      </c>
      <c r="J18" s="6" t="inlineStr">
        <is>
          <t>60 meses</t>
        </is>
      </c>
      <c r="K18" s="6" t="inlineStr">
        <is>
          <t>lado registrado</t>
        </is>
      </c>
    </row>
    <row r="19" ht="56" customHeight="1">
      <c r="A19" s="7" t="inlineStr">
        <is>
          <t>connection_completed</t>
        </is>
      </c>
      <c r="B19" s="7" t="inlineStr">
        <is>
          <t>duas partes conectadas</t>
        </is>
      </c>
      <c r="C19" s="7" t="inlineStr">
        <is>
          <t>connection</t>
        </is>
      </c>
      <c r="D19" s="7" t="inlineStr">
        <is>
          <t>match_id, participants, timestamp</t>
        </is>
      </c>
      <c r="E19" s="7" t="inlineStr">
        <is>
          <t>person_id/company_id</t>
        </is>
      </c>
      <c r="F19" s="7" t="inlineStr">
        <is>
          <t>Conversão</t>
        </is>
      </c>
      <c r="G19" s="7" t="inlineStr">
        <is>
          <t>conexões efetivas</t>
        </is>
      </c>
      <c r="H19" s="7" t="inlineStr">
        <is>
          <t>resultado intermediário</t>
        </is>
      </c>
      <c r="I19" s="7" t="inlineStr">
        <is>
          <t>Sim</t>
        </is>
      </c>
      <c r="J19" s="7" t="inlineStr">
        <is>
          <t>60 meses</t>
        </is>
      </c>
      <c r="K19" s="7" t="inlineStr">
        <is>
          <t>partes válidas</t>
        </is>
      </c>
    </row>
    <row r="20" ht="56" customHeight="1">
      <c r="A20" s="6" t="inlineStr">
        <is>
          <t>proposal_submitted</t>
        </is>
      </c>
      <c r="B20" s="6" t="inlineStr">
        <is>
          <t>proposta enviada</t>
        </is>
      </c>
      <c r="C20" s="6" t="inlineStr">
        <is>
          <t>opportunity</t>
        </is>
      </c>
      <c r="D20" s="6" t="inlineStr">
        <is>
          <t>match_id, amount, date</t>
        </is>
      </c>
      <c r="E20" s="6" t="inlineStr">
        <is>
          <t>supplier_id</t>
        </is>
      </c>
      <c r="F20" s="6" t="inlineStr">
        <is>
          <t>Conversão</t>
        </is>
      </c>
      <c r="G20" s="6" t="inlineStr">
        <is>
          <t>propostas, GMV</t>
        </is>
      </c>
      <c r="H20" s="6" t="inlineStr">
        <is>
          <t>pipeline</t>
        </is>
      </c>
      <c r="I20" s="6" t="inlineStr">
        <is>
          <t>Não</t>
        </is>
      </c>
      <c r="J20" s="6" t="inlineStr">
        <is>
          <t>60 meses</t>
        </is>
      </c>
      <c r="K20" s="6" t="inlineStr">
        <is>
          <t>moeda e valor</t>
        </is>
      </c>
    </row>
    <row r="21" ht="56" customHeight="1">
      <c r="A21" s="7" t="inlineStr">
        <is>
          <t>contract_signed</t>
        </is>
      </c>
      <c r="B21" s="7" t="inlineStr">
        <is>
          <t>contrato confirmado</t>
        </is>
      </c>
      <c r="C21" s="7" t="inlineStr">
        <is>
          <t>contract</t>
        </is>
      </c>
      <c r="D21" s="7" t="inlineStr">
        <is>
          <t>origin, value, margin, date</t>
        </is>
      </c>
      <c r="E21" s="7" t="inlineStr">
        <is>
          <t>company_id/supplier_id</t>
        </is>
      </c>
      <c r="F21" s="7" t="inlineStr">
        <is>
          <t>Resultado</t>
        </is>
      </c>
      <c r="G21" s="7" t="inlineStr">
        <is>
          <t>conversão, receita, GMV</t>
        </is>
      </c>
      <c r="H21" s="7" t="inlineStr">
        <is>
          <t>resultado financeiro</t>
        </is>
      </c>
      <c r="I21" s="7" t="inlineStr">
        <is>
          <t>Não</t>
        </is>
      </c>
      <c r="J21" s="7" t="inlineStr">
        <is>
          <t>120 meses</t>
        </is>
      </c>
      <c r="K21" s="7" t="inlineStr">
        <is>
          <t>conciliado com CRM/ERP</t>
        </is>
      </c>
    </row>
    <row r="22" ht="56" customHeight="1">
      <c r="A22" s="6" t="inlineStr">
        <is>
          <t>transaction_recognized</t>
        </is>
      </c>
      <c r="B22" s="6" t="inlineStr">
        <is>
          <t>receita/custo reconhecido</t>
        </is>
      </c>
      <c r="C22" s="6" t="inlineStr">
        <is>
          <t>transaction</t>
        </is>
      </c>
      <c r="D22" s="6" t="inlineStr">
        <is>
          <t>contract_id, amount, type, competence</t>
        </is>
      </c>
      <c r="E22" s="6" t="inlineStr">
        <is>
          <t>company_id</t>
        </is>
      </c>
      <c r="F22" s="6" t="inlineStr">
        <is>
          <t>Impacto</t>
        </is>
      </c>
      <c r="G22" s="6" t="inlineStr">
        <is>
          <t>MRR, ARR, GMV, margem</t>
        </is>
      </c>
      <c r="H22" s="6" t="inlineStr">
        <is>
          <t>valor realizado</t>
        </is>
      </c>
      <c r="I22" s="6" t="inlineStr">
        <is>
          <t>Não</t>
        </is>
      </c>
      <c r="J22" s="6" t="inlineStr">
        <is>
          <t>120 meses</t>
        </is>
      </c>
      <c r="K22" s="6" t="inlineStr">
        <is>
          <t>conciliação financeira</t>
        </is>
      </c>
    </row>
    <row r="23" ht="56" customHeight="1">
      <c r="A23" s="7" t="inlineStr">
        <is>
          <t>business_metric_received</t>
        </is>
      </c>
      <c r="B23" s="7" t="inlineStr">
        <is>
          <t>KPI importado</t>
        </is>
      </c>
      <c r="C23" s="7" t="inlineStr">
        <is>
          <t>metric</t>
        </is>
      </c>
      <c r="D23" s="7" t="inlineStr">
        <is>
          <t>metric_id, period, value, baseline</t>
        </is>
      </c>
      <c r="E23" s="7" t="inlineStr">
        <is>
          <t>company_id</t>
        </is>
      </c>
      <c r="F23" s="7" t="inlineStr">
        <is>
          <t>Resultado</t>
        </is>
      </c>
      <c r="G23" s="7" t="inlineStr">
        <is>
          <t>outcomes e impacto</t>
        </is>
      </c>
      <c r="H23" s="7" t="inlineStr">
        <is>
          <t>prova de valor</t>
        </is>
      </c>
      <c r="I23" s="7" t="inlineStr">
        <is>
          <t>Possível</t>
        </is>
      </c>
      <c r="J23" s="7" t="inlineStr">
        <is>
          <t>120 meses</t>
        </is>
      </c>
      <c r="K23" s="7" t="inlineStr">
        <is>
          <t>mesma definição e período</t>
        </is>
      </c>
    </row>
    <row r="24" ht="56" customHeight="1">
      <c r="A24" s="6" t="inlineStr">
        <is>
          <t>outcome_confirmed</t>
        </is>
      </c>
      <c r="B24" s="6" t="inlineStr">
        <is>
          <t>owner confirma resultado</t>
        </is>
      </c>
      <c r="C24" s="6" t="inlineStr">
        <is>
          <t>outcome</t>
        </is>
      </c>
      <c r="D24" s="6" t="inlineStr">
        <is>
          <t>type, value, evidence, period</t>
        </is>
      </c>
      <c r="E24" s="6" t="inlineStr">
        <is>
          <t>person_id/company_id</t>
        </is>
      </c>
      <c r="F24" s="6" t="inlineStr">
        <is>
          <t>Resultado</t>
        </is>
      </c>
      <c r="G24" s="6" t="inlineStr">
        <is>
          <t>qualidade, retenção, saving</t>
        </is>
      </c>
      <c r="H24" s="6" t="inlineStr">
        <is>
          <t>resultado validado</t>
        </is>
      </c>
      <c r="I24" s="6" t="inlineStr">
        <is>
          <t>Sim</t>
        </is>
      </c>
      <c r="J24" s="6" t="inlineStr">
        <is>
          <t>120 meses</t>
        </is>
      </c>
      <c r="K24" s="6" t="inlineStr">
        <is>
          <t>evidência anexada</t>
        </is>
      </c>
    </row>
    <row r="25" ht="56" customHeight="1">
      <c r="A25" s="7" t="inlineStr">
        <is>
          <t>financial_value_approved</t>
        </is>
      </c>
      <c r="B25" s="7" t="inlineStr">
        <is>
          <t>controladoria aprova</t>
        </is>
      </c>
      <c r="C25" s="7" t="inlineStr">
        <is>
          <t>financial_value</t>
        </is>
      </c>
      <c r="D25" s="7" t="inlineStr">
        <is>
          <t>lever, formula, attribution, evidence</t>
        </is>
      </c>
      <c r="E25" s="7" t="inlineStr">
        <is>
          <t>company_id</t>
        </is>
      </c>
      <c r="F25" s="7" t="inlineStr">
        <is>
          <t>Impacto</t>
        </is>
      </c>
      <c r="G25" s="7" t="inlineStr">
        <is>
          <t>benefício, ROI</t>
        </is>
      </c>
      <c r="H25" s="7" t="inlineStr">
        <is>
          <t>valor monetizado</t>
        </is>
      </c>
      <c r="I25" s="7" t="inlineStr">
        <is>
          <t>Não</t>
        </is>
      </c>
      <c r="J25" s="7" t="inlineStr">
        <is>
          <t>120 meses</t>
        </is>
      </c>
      <c r="K25" s="7" t="inlineStr">
        <is>
          <t>owner e versão da fórmula</t>
        </is>
      </c>
    </row>
    <row r="26" ht="56" customHeight="1">
      <c r="A26" s="6" t="inlineStr">
        <is>
          <t>benchmark_viewed</t>
        </is>
      </c>
      <c r="B26" s="6" t="inlineStr">
        <is>
          <t>benchmark consultado</t>
        </is>
      </c>
      <c r="C26" s="6" t="inlineStr">
        <is>
          <t>benchmark</t>
        </is>
      </c>
      <c r="D26" s="6" t="inlineStr">
        <is>
          <t>segment, metric, percentile</t>
        </is>
      </c>
      <c r="E26" s="6" t="inlineStr">
        <is>
          <t>company_id</t>
        </is>
      </c>
      <c r="F26" s="6" t="inlineStr">
        <is>
          <t>Engajamento</t>
        </is>
      </c>
      <c r="G26" s="6" t="inlineStr">
        <is>
          <t>adoção de inteligência</t>
        </is>
      </c>
      <c r="H26" s="6" t="inlineStr">
        <is>
          <t>sinal de valor</t>
        </is>
      </c>
      <c r="I26" s="6" t="inlineStr">
        <is>
          <t>Não</t>
        </is>
      </c>
      <c r="J26" s="6" t="inlineStr">
        <is>
          <t>24 meses</t>
        </is>
      </c>
      <c r="K26" s="6" t="inlineStr">
        <is>
          <t>amostra mínima</t>
        </is>
      </c>
    </row>
    <row r="27" ht="56" customHeight="1">
      <c r="A27" s="7" t="inlineStr">
        <is>
          <t>benchmark_action_taken</t>
        </is>
      </c>
      <c r="B27" s="7" t="inlineStr">
        <is>
          <t>ação registrada após benchmark</t>
        </is>
      </c>
      <c r="C27" s="7" t="inlineStr">
        <is>
          <t>benchmark</t>
        </is>
      </c>
      <c r="D27" s="7" t="inlineStr">
        <is>
          <t>action_type, target, due_date</t>
        </is>
      </c>
      <c r="E27" s="7" t="inlineStr">
        <is>
          <t>company_id</t>
        </is>
      </c>
      <c r="F27" s="7" t="inlineStr">
        <is>
          <t>Conversão</t>
        </is>
      </c>
      <c r="G27" s="7" t="inlineStr">
        <is>
          <t>benchmark→ação</t>
        </is>
      </c>
      <c r="H27" s="7" t="inlineStr">
        <is>
          <t>potencial outcome</t>
        </is>
      </c>
      <c r="I27" s="7" t="inlineStr">
        <is>
          <t>Não</t>
        </is>
      </c>
      <c r="J27" s="7" t="inlineStr">
        <is>
          <t>60 meses</t>
        </is>
      </c>
      <c r="K27" s="7" t="inlineStr">
        <is>
          <t>vínculo com benchmark</t>
        </is>
      </c>
    </row>
    <row r="28" ht="56" customHeight="1">
      <c r="A28" s="6" t="inlineStr">
        <is>
          <t>content_exposed</t>
        </is>
      </c>
      <c r="B28" s="6" t="inlineStr">
        <is>
          <t>impressão elegível</t>
        </is>
      </c>
      <c r="C28" s="6" t="inlineStr">
        <is>
          <t>content</t>
        </is>
      </c>
      <c r="D28" s="6" t="inlineStr">
        <is>
          <t>campaign, channel, audience, cost</t>
        </is>
      </c>
      <c r="E28" s="6" t="inlineStr">
        <is>
          <t>person_id/company_id</t>
        </is>
      </c>
      <c r="F28" s="6" t="inlineStr">
        <is>
          <t>Aquisição</t>
        </is>
      </c>
      <c r="G28" s="6" t="inlineStr">
        <is>
          <t>alcance, frequência</t>
        </is>
      </c>
      <c r="H28" s="6" t="inlineStr">
        <is>
          <t>entrada de atribuição</t>
        </is>
      </c>
      <c r="I28" s="6" t="inlineStr">
        <is>
          <t>Possível</t>
        </is>
      </c>
      <c r="J28" s="6" t="inlineStr">
        <is>
          <t>24 meses</t>
        </is>
      </c>
      <c r="K28" s="6" t="inlineStr">
        <is>
          <t>UTM/campaign_id</t>
        </is>
      </c>
    </row>
    <row r="29" ht="56" customHeight="1">
      <c r="A29" s="7" t="inlineStr">
        <is>
          <t>content_action</t>
        </is>
      </c>
      <c r="B29" s="7" t="inlineStr">
        <is>
          <t>clique, cadastro ou pedido</t>
        </is>
      </c>
      <c r="C29" s="7" t="inlineStr">
        <is>
          <t>content</t>
        </is>
      </c>
      <c r="D29" s="7" t="inlineStr">
        <is>
          <t>campaign, action, session</t>
        </is>
      </c>
      <c r="E29" s="7" t="inlineStr">
        <is>
          <t>person_id/company_id</t>
        </is>
      </c>
      <c r="F29" s="7" t="inlineStr">
        <is>
          <t>Conversão</t>
        </is>
      </c>
      <c r="G29" s="7" t="inlineStr">
        <is>
          <t>conteúdo→ação</t>
        </is>
      </c>
      <c r="H29" s="7" t="inlineStr">
        <is>
          <t>sinal de demanda</t>
        </is>
      </c>
      <c r="I29" s="7" t="inlineStr">
        <is>
          <t>Possível</t>
        </is>
      </c>
      <c r="J29" s="7" t="inlineStr">
        <is>
          <t>36 meses</t>
        </is>
      </c>
      <c r="K29" s="7" t="inlineStr">
        <is>
          <t>sessão e janela válidas</t>
        </is>
      </c>
    </row>
    <row r="30" ht="56" customHeight="1">
      <c r="A30" s="6" t="inlineStr">
        <is>
          <t>consent_updated</t>
        </is>
      </c>
      <c r="B30" s="6" t="inlineStr">
        <is>
          <t>consentimento muda</t>
        </is>
      </c>
      <c r="C30" s="6" t="inlineStr">
        <is>
          <t>consent</t>
        </is>
      </c>
      <c r="D30" s="6" t="inlineStr">
        <is>
          <t>purpose, status, version, timestamp</t>
        </is>
      </c>
      <c r="E30" s="6" t="inlineStr">
        <is>
          <t>person_id</t>
        </is>
      </c>
      <c r="F30" s="6" t="inlineStr">
        <is>
          <t>Governança</t>
        </is>
      </c>
      <c r="G30" s="6" t="inlineStr">
        <is>
          <t>cobertura de consentimento</t>
        </is>
      </c>
      <c r="H30" s="6" t="inlineStr">
        <is>
          <t>habilita/bloqueia uso</t>
        </is>
      </c>
      <c r="I30" s="6" t="inlineStr">
        <is>
          <t>Sim</t>
        </is>
      </c>
      <c r="J30" s="6" t="inlineStr">
        <is>
          <t>permanente enquanto necessário</t>
        </is>
      </c>
      <c r="K30" s="6" t="inlineStr">
        <is>
          <t>efeito imediato</t>
        </is>
      </c>
    </row>
    <row r="31" ht="56" customHeight="1">
      <c r="A31" s="7" t="inlineStr">
        <is>
          <t>data_quality_incident</t>
        </is>
      </c>
      <c r="B31" s="7" t="inlineStr">
        <is>
          <t>regra crítica falha</t>
        </is>
      </c>
      <c r="C31" s="7" t="inlineStr">
        <is>
          <t>dataset</t>
        </is>
      </c>
      <c r="D31" s="7" t="inlineStr">
        <is>
          <t>rule, severity, owner, records</t>
        </is>
      </c>
      <c r="E31" s="7" t="inlineStr">
        <is>
          <t>company_id opcional</t>
        </is>
      </c>
      <c r="F31" s="7" t="inlineStr">
        <is>
          <t>Governança</t>
        </is>
      </c>
      <c r="G31" s="7" t="inlineStr">
        <is>
          <t>SLA, qualidade</t>
        </is>
      </c>
      <c r="H31" s="7" t="inlineStr">
        <is>
          <t>protege decisão</t>
        </is>
      </c>
      <c r="I31" s="7" t="inlineStr">
        <is>
          <t>Possível</t>
        </is>
      </c>
      <c r="J31" s="7" t="inlineStr">
        <is>
          <t>60 meses</t>
        </is>
      </c>
      <c r="K31" s="7" t="inlineStr">
        <is>
          <t>ticket obrigatório</t>
        </is>
      </c>
    </row>
    <row r="32" ht="56" customHeight="1">
      <c r="A32" s="6" t="inlineStr">
        <is>
          <t>model_prediction</t>
        </is>
      </c>
      <c r="B32" s="6" t="inlineStr">
        <is>
          <t>score é produzido</t>
        </is>
      </c>
      <c r="C32" s="6" t="inlineStr">
        <is>
          <t>model</t>
        </is>
      </c>
      <c r="D32" s="6" t="inlineStr">
        <is>
          <t>version, input_hash, score, explanation</t>
        </is>
      </c>
      <c r="E32" s="6" t="inlineStr">
        <is>
          <t>person_id/company_id</t>
        </is>
      </c>
      <c r="F32" s="6" t="inlineStr">
        <is>
          <t>Inteligência</t>
        </is>
      </c>
      <c r="G32" s="6" t="inlineStr">
        <is>
          <t>cobertura, performance, drift</t>
        </is>
      </c>
      <c r="H32" s="6" t="inlineStr">
        <is>
          <t>auditabilidade</t>
        </is>
      </c>
      <c r="I32" s="6" t="inlineStr">
        <is>
          <t>Possível</t>
        </is>
      </c>
      <c r="J32" s="6" t="inlineStr">
        <is>
          <t>60 meses</t>
        </is>
      </c>
      <c r="K32" s="6" t="inlineStr">
        <is>
          <t>log reproduzível</t>
        </is>
      </c>
    </row>
  </sheetData>
  <autoFilter ref="A5:K32"/>
  <mergeCells count="2">
    <mergeCell ref="A1:K2"/>
    <mergeCell ref="A3:K3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8D92"/>
    <outlinePr summaryBelow="1" summaryRight="1"/>
    <pageSetUpPr fitToPage="1"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16" customWidth="1" min="5" max="5"/>
    <col width="42" customWidth="1" min="6" max="6"/>
    <col width="34" customWidth="1" min="7" max="7"/>
    <col width="20" customWidth="1" min="8" max="8"/>
    <col width="14" customWidth="1" min="9" max="9"/>
    <col width="36" customWidth="1" min="10" max="10"/>
    <col width="22" customWidth="1" min="11" max="11"/>
    <col width="10" customWidth="1" min="12" max="12"/>
  </cols>
  <sheetData>
    <row r="1" ht="26" customHeight="1">
      <c r="A1" s="1" t="inlineStr">
        <is>
          <t>Mapa de integrações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Integrações devem preservar identidade, consentimento, linhagem e SLA de decisão.</t>
        </is>
      </c>
    </row>
    <row r="5" ht="34" customHeight="1">
      <c r="A5" s="44" t="inlineStr">
        <is>
          <t>Sistema / fonte</t>
        </is>
      </c>
      <c r="B5" s="44" t="inlineStr">
        <is>
          <t>Domínio</t>
        </is>
      </c>
      <c r="C5" s="44" t="inlineStr">
        <is>
          <t>Direção</t>
        </is>
      </c>
      <c r="D5" s="44" t="inlineStr">
        <is>
          <t>Método</t>
        </is>
      </c>
      <c r="E5" s="44" t="inlineStr">
        <is>
          <t>Frequência</t>
        </is>
      </c>
      <c r="F5" s="44" t="inlineStr">
        <is>
          <t>Dados principais</t>
        </is>
      </c>
      <c r="G5" s="44" t="inlineStr">
        <is>
          <t>Chave de integração</t>
        </is>
      </c>
      <c r="H5" s="44" t="inlineStr">
        <is>
          <t>Autenticação</t>
        </is>
      </c>
      <c r="I5" s="44" t="inlineStr">
        <is>
          <t>SLA</t>
        </is>
      </c>
      <c r="J5" s="44" t="inlineStr">
        <is>
          <t>Tratamento de erro</t>
        </is>
      </c>
      <c r="K5" s="44" t="inlineStr">
        <is>
          <t>Owner</t>
        </is>
      </c>
      <c r="L5" s="44" t="inlineStr">
        <is>
          <t>Fase</t>
        </is>
      </c>
    </row>
    <row r="6" ht="56" customHeight="1">
      <c r="A6" s="6" t="inlineStr">
        <is>
          <t>HRIS / folha</t>
        </is>
      </c>
      <c r="B6" s="6" t="inlineStr">
        <is>
          <t>Pessoas</t>
        </is>
      </c>
      <c r="C6" s="6" t="inlineStr">
        <is>
          <t>Entrada</t>
        </is>
      </c>
      <c r="D6" s="6" t="inlineStr">
        <is>
          <t>API / arquivo seguro</t>
        </is>
      </c>
      <c r="E6" s="6" t="inlineStr">
        <is>
          <t>Diária</t>
        </is>
      </c>
      <c r="F6" s="6" t="inlineStr">
        <is>
          <t>vínculo, função, custo, status</t>
        </is>
      </c>
      <c r="G6" s="6" t="inlineStr">
        <is>
          <t>person_external_id + company_id</t>
        </is>
      </c>
      <c r="H6" s="6" t="inlineStr">
        <is>
          <t>OAuth2 / SFTP</t>
        </is>
      </c>
      <c r="I6" s="6" t="inlineStr">
        <is>
          <t>D+1</t>
        </is>
      </c>
      <c r="J6" s="6" t="inlineStr">
        <is>
          <t>quarentena + reconciliação</t>
        </is>
      </c>
      <c r="K6" s="6" t="inlineStr">
        <is>
          <t>Data cliente</t>
        </is>
      </c>
      <c r="L6" s="6" t="inlineStr">
        <is>
          <t>M1</t>
        </is>
      </c>
    </row>
    <row r="7" ht="56" customHeight="1">
      <c r="A7" s="7" t="inlineStr">
        <is>
          <t>ATS</t>
        </is>
      </c>
      <c r="B7" s="7" t="inlineStr">
        <is>
          <t>Recrutamento</t>
        </is>
      </c>
      <c r="C7" s="7" t="inlineStr">
        <is>
          <t>Bidirecional</t>
        </is>
      </c>
      <c r="D7" s="7" t="inlineStr">
        <is>
          <t>API / webhook</t>
        </is>
      </c>
      <c r="E7" s="7" t="inlineStr">
        <is>
          <t>Tempo real</t>
        </is>
      </c>
      <c r="F7" s="7" t="inlineStr">
        <is>
          <t>vaga, candidato, estágio, contratação</t>
        </is>
      </c>
      <c r="G7" s="7" t="inlineStr">
        <is>
          <t>opportunity_id / person_id</t>
        </is>
      </c>
      <c r="H7" s="7" t="inlineStr">
        <is>
          <t>OAuth2</t>
        </is>
      </c>
      <c r="I7" s="7" t="inlineStr">
        <is>
          <t>15 min</t>
        </is>
      </c>
      <c r="J7" s="7" t="inlineStr">
        <is>
          <t>retry idempotente</t>
        </is>
      </c>
      <c r="K7" s="7" t="inlineStr">
        <is>
          <t>Talent Acquisition</t>
        </is>
      </c>
      <c r="L7" s="7" t="inlineStr">
        <is>
          <t>M1</t>
        </is>
      </c>
    </row>
    <row r="8" ht="56" customHeight="1">
      <c r="A8" s="6" t="inlineStr">
        <is>
          <t>LMS</t>
        </is>
      </c>
      <c r="B8" s="6" t="inlineStr">
        <is>
          <t>Desenvolvimento</t>
        </is>
      </c>
      <c r="C8" s="6" t="inlineStr">
        <is>
          <t>Bidirecional</t>
        </is>
      </c>
      <c r="D8" s="6" t="inlineStr">
        <is>
          <t>API / xAPI</t>
        </is>
      </c>
      <c r="E8" s="6" t="inlineStr">
        <is>
          <t>Tempo real</t>
        </is>
      </c>
      <c r="F8" s="6" t="inlineStr">
        <is>
          <t>trilha, inscrição, conclusão, avaliação</t>
        </is>
      </c>
      <c r="G8" s="6" t="inlineStr">
        <is>
          <t>person_id + journey_id</t>
        </is>
      </c>
      <c r="H8" s="6" t="inlineStr">
        <is>
          <t>OAuth2</t>
        </is>
      </c>
      <c r="I8" s="6" t="inlineStr">
        <is>
          <t>1 h</t>
        </is>
      </c>
      <c r="J8" s="6" t="inlineStr">
        <is>
          <t>dead-letter queue</t>
        </is>
      </c>
      <c r="K8" s="6" t="inlineStr">
        <is>
          <t>L&amp;D</t>
        </is>
      </c>
      <c r="L8" s="6" t="inlineStr">
        <is>
          <t>M1</t>
        </is>
      </c>
    </row>
    <row r="9" ht="56" customHeight="1">
      <c r="A9" s="7" t="inlineStr">
        <is>
          <t>CRM HUB</t>
        </is>
      </c>
      <c r="B9" s="7" t="inlineStr">
        <is>
          <t>Comercial</t>
        </is>
      </c>
      <c r="C9" s="7" t="inlineStr">
        <is>
          <t>Bidirecional</t>
        </is>
      </c>
      <c r="D9" s="7" t="inlineStr">
        <is>
          <t>API / webhook</t>
        </is>
      </c>
      <c r="E9" s="7" t="inlineStr">
        <is>
          <t>Tempo real</t>
        </is>
      </c>
      <c r="F9" s="7" t="inlineStr">
        <is>
          <t>empresa, oportunidade, contrato, touchpoint</t>
        </is>
      </c>
      <c r="G9" s="7" t="inlineStr">
        <is>
          <t>company_id / opportunity_id</t>
        </is>
      </c>
      <c r="H9" s="7" t="inlineStr">
        <is>
          <t>OAuth2</t>
        </is>
      </c>
      <c r="I9" s="7" t="inlineStr">
        <is>
          <t>15 min</t>
        </is>
      </c>
      <c r="J9" s="7" t="inlineStr">
        <is>
          <t>retry + conciliação</t>
        </is>
      </c>
      <c r="K9" s="7" t="inlineStr">
        <is>
          <t>RevOps</t>
        </is>
      </c>
      <c r="L9" s="7" t="inlineStr">
        <is>
          <t>M0</t>
        </is>
      </c>
    </row>
    <row r="10" ht="56" customHeight="1">
      <c r="A10" s="6" t="inlineStr">
        <is>
          <t>ERP / financeiro HUB</t>
        </is>
      </c>
      <c r="B10" s="6" t="inlineStr">
        <is>
          <t>Financeiro</t>
        </is>
      </c>
      <c r="C10" s="6" t="inlineStr">
        <is>
          <t>Entrada</t>
        </is>
      </c>
      <c r="D10" s="6" t="inlineStr">
        <is>
          <t>API / arquivo</t>
        </is>
      </c>
      <c r="E10" s="6" t="inlineStr">
        <is>
          <t>Diária</t>
        </is>
      </c>
      <c r="F10" s="6" t="inlineStr">
        <is>
          <t>receita, custo, margem, competência</t>
        </is>
      </c>
      <c r="G10" s="6" t="inlineStr">
        <is>
          <t>contract_id / transaction_id</t>
        </is>
      </c>
      <c r="H10" s="6" t="inlineStr">
        <is>
          <t>OAuth2 / SFTP</t>
        </is>
      </c>
      <c r="I10" s="6" t="inlineStr">
        <is>
          <t>D+1</t>
        </is>
      </c>
      <c r="J10" s="6" t="inlineStr">
        <is>
          <t>conciliação contábil</t>
        </is>
      </c>
      <c r="K10" s="6" t="inlineStr">
        <is>
          <t>Financeiro HUB</t>
        </is>
      </c>
      <c r="L10" s="6" t="inlineStr">
        <is>
          <t>M1</t>
        </is>
      </c>
    </row>
    <row r="11" ht="56" customHeight="1">
      <c r="A11" s="7" t="inlineStr">
        <is>
          <t>ERP / financeiro cliente</t>
        </is>
      </c>
      <c r="B11" s="7" t="inlineStr">
        <is>
          <t>Impacto</t>
        </is>
      </c>
      <c r="C11" s="7" t="inlineStr">
        <is>
          <t>Entrada</t>
        </is>
      </c>
      <c r="D11" s="7" t="inlineStr">
        <is>
          <t>data share / API</t>
        </is>
      </c>
      <c r="E11" s="7" t="inlineStr">
        <is>
          <t>Mensal</t>
        </is>
      </c>
      <c r="F11" s="7" t="inlineStr">
        <is>
          <t>KPI financeiro, custo, saving, margem</t>
        </is>
      </c>
      <c r="G11" s="7" t="inlineStr">
        <is>
          <t>company_id + metric_id + period</t>
        </is>
      </c>
      <c r="H11" s="7" t="inlineStr">
        <is>
          <t>Private link</t>
        </is>
      </c>
      <c r="I11" s="7" t="inlineStr">
        <is>
          <t>D+5</t>
        </is>
      </c>
      <c r="J11" s="7" t="inlineStr">
        <is>
          <t>aprovação da controladoria</t>
        </is>
      </c>
      <c r="K11" s="7" t="inlineStr">
        <is>
          <t>Financeiro cliente</t>
        </is>
      </c>
      <c r="L11" s="7" t="inlineStr">
        <is>
          <t>M2</t>
        </is>
      </c>
    </row>
    <row r="12" ht="56" customHeight="1">
      <c r="A12" s="6" t="inlineStr">
        <is>
          <t>Compras / SRM</t>
        </is>
      </c>
      <c r="B12" s="6" t="inlineStr">
        <is>
          <t>Fornecedores</t>
        </is>
      </c>
      <c r="C12" s="6" t="inlineStr">
        <is>
          <t>Bidirecional</t>
        </is>
      </c>
      <c r="D12" s="6" t="inlineStr">
        <is>
          <t>API / arquivo</t>
        </is>
      </c>
      <c r="E12" s="6" t="inlineStr">
        <is>
          <t>Diária</t>
        </is>
      </c>
      <c r="F12" s="6" t="inlineStr">
        <is>
          <t>categoria, homologação, desempenho, contrato</t>
        </is>
      </c>
      <c r="G12" s="6" t="inlineStr">
        <is>
          <t>supplier_id / category_id</t>
        </is>
      </c>
      <c r="H12" s="6" t="inlineStr">
        <is>
          <t>OAuth2 / SFTP</t>
        </is>
      </c>
      <c r="I12" s="6" t="inlineStr">
        <is>
          <t>D+1</t>
        </is>
      </c>
      <c r="J12" s="6" t="inlineStr">
        <is>
          <t>quarentena por categoria</t>
        </is>
      </c>
      <c r="K12" s="6" t="inlineStr">
        <is>
          <t>Compras</t>
        </is>
      </c>
      <c r="L12" s="6" t="inlineStr">
        <is>
          <t>M1</t>
        </is>
      </c>
    </row>
    <row r="13" ht="56" customHeight="1">
      <c r="A13" s="7" t="inlineStr">
        <is>
          <t>GRC / riscos</t>
        </is>
      </c>
      <c r="B13" s="7" t="inlineStr">
        <is>
          <t>Risco</t>
        </is>
      </c>
      <c r="C13" s="7" t="inlineStr">
        <is>
          <t>Entrada</t>
        </is>
      </c>
      <c r="D13" s="7" t="inlineStr">
        <is>
          <t>API / arquivo</t>
        </is>
      </c>
      <c r="E13" s="7" t="inlineStr">
        <is>
          <t>Mensal</t>
        </is>
      </c>
      <c r="F13" s="7" t="inlineStr">
        <is>
          <t>risco, probabilidade, impacto, controle</t>
        </is>
      </c>
      <c r="G13" s="7" t="inlineStr">
        <is>
          <t>risk_id</t>
        </is>
      </c>
      <c r="H13" s="7" t="inlineStr">
        <is>
          <t>OAuth2 / SFTP</t>
        </is>
      </c>
      <c r="I13" s="7" t="inlineStr">
        <is>
          <t>D+3</t>
        </is>
      </c>
      <c r="J13" s="7" t="inlineStr">
        <is>
          <t>revisão de especialista</t>
        </is>
      </c>
      <c r="K13" s="7" t="inlineStr">
        <is>
          <t>Riscos</t>
        </is>
      </c>
      <c r="L13" s="7" t="inlineStr">
        <is>
          <t>M2</t>
        </is>
      </c>
    </row>
    <row r="14" ht="56" customHeight="1">
      <c r="A14" s="6" t="inlineStr">
        <is>
          <t>BI cliente</t>
        </is>
      </c>
      <c r="B14" s="6" t="inlineStr">
        <is>
          <t>Indicadores</t>
        </is>
      </c>
      <c r="C14" s="6" t="inlineStr">
        <is>
          <t>Entrada</t>
        </is>
      </c>
      <c r="D14" s="6" t="inlineStr">
        <is>
          <t>data share / arquivo</t>
        </is>
      </c>
      <c r="E14" s="6" t="inlineStr">
        <is>
          <t>Mensal</t>
        </is>
      </c>
      <c r="F14" s="6" t="inlineStr">
        <is>
          <t>produtividade, retenção, receita, custo</t>
        </is>
      </c>
      <c r="G14" s="6" t="inlineStr">
        <is>
          <t>metric_id + period + cohort</t>
        </is>
      </c>
      <c r="H14" s="6" t="inlineStr">
        <is>
          <t>Private link</t>
        </is>
      </c>
      <c r="I14" s="6" t="inlineStr">
        <is>
          <t>D+5</t>
        </is>
      </c>
      <c r="J14" s="6" t="inlineStr">
        <is>
          <t>validação semântica</t>
        </is>
      </c>
      <c r="K14" s="6" t="inlineStr">
        <is>
          <t>People Analytics / BI</t>
        </is>
      </c>
      <c r="L14" s="6" t="inlineStr">
        <is>
          <t>M2</t>
        </is>
      </c>
    </row>
    <row r="15" ht="56" customHeight="1">
      <c r="A15" s="7" t="inlineStr">
        <is>
          <t>Plataforma HUB</t>
        </is>
      </c>
      <c r="B15" s="7" t="inlineStr">
        <is>
          <t>Produto</t>
        </is>
      </c>
      <c r="C15" s="7" t="inlineStr">
        <is>
          <t>Saída</t>
        </is>
      </c>
      <c r="D15" s="7" t="inlineStr">
        <is>
          <t>event stream</t>
        </is>
      </c>
      <c r="E15" s="7" t="inlineStr">
        <is>
          <t>Tempo real</t>
        </is>
      </c>
      <c r="F15" s="7" t="inlineStr">
        <is>
          <t>eventos, jornadas, recomendações</t>
        </is>
      </c>
      <c r="G15" s="7" t="inlineStr">
        <is>
          <t>event_id / person_id</t>
        </is>
      </c>
      <c r="H15" s="7" t="inlineStr">
        <is>
          <t>token / mTLS</t>
        </is>
      </c>
      <c r="I15" s="7" t="inlineStr">
        <is>
          <t>&lt;5 min</t>
        </is>
      </c>
      <c r="J15" s="7" t="inlineStr">
        <is>
          <t>fila + replay</t>
        </is>
      </c>
      <c r="K15" s="7" t="inlineStr">
        <is>
          <t>Produto</t>
        </is>
      </c>
      <c r="L15" s="7" t="inlineStr">
        <is>
          <t>M0</t>
        </is>
      </c>
    </row>
    <row r="16" ht="56" customHeight="1">
      <c r="A16" s="6" t="inlineStr">
        <is>
          <t>Motor de inteligência</t>
        </is>
      </c>
      <c r="B16" s="6" t="inlineStr">
        <is>
          <t>IA</t>
        </is>
      </c>
      <c r="C16" s="6" t="inlineStr">
        <is>
          <t>Bidirecional</t>
        </is>
      </c>
      <c r="D16" s="6" t="inlineStr">
        <is>
          <t>API</t>
        </is>
      </c>
      <c r="E16" s="6" t="inlineStr">
        <is>
          <t>Tempo real</t>
        </is>
      </c>
      <c r="F16" s="6" t="inlineStr">
        <is>
          <t>features, score, explicação, versão</t>
        </is>
      </c>
      <c r="G16" s="6" t="inlineStr">
        <is>
          <t>model_version + object_id</t>
        </is>
      </c>
      <c r="H16" s="6" t="inlineStr">
        <is>
          <t>mTLS</t>
        </is>
      </c>
      <c r="I16" s="6" t="inlineStr">
        <is>
          <t>&lt;2 s</t>
        </is>
      </c>
      <c r="J16" s="6" t="inlineStr">
        <is>
          <t>fallback por regra</t>
        </is>
      </c>
      <c r="K16" s="6" t="inlineStr">
        <is>
          <t>Data Science</t>
        </is>
      </c>
      <c r="L16" s="6" t="inlineStr">
        <is>
          <t>M1</t>
        </is>
      </c>
    </row>
    <row r="17" ht="56" customHeight="1">
      <c r="A17" s="7" t="inlineStr">
        <is>
          <t>CMP / consentimento</t>
        </is>
      </c>
      <c r="B17" s="7" t="inlineStr">
        <is>
          <t>Privacidade</t>
        </is>
      </c>
      <c r="C17" s="7" t="inlineStr">
        <is>
          <t>Bidirecional</t>
        </is>
      </c>
      <c r="D17" s="7" t="inlineStr">
        <is>
          <t>API / webhook</t>
        </is>
      </c>
      <c r="E17" s="7" t="inlineStr">
        <is>
          <t>Tempo real</t>
        </is>
      </c>
      <c r="F17" s="7" t="inlineStr">
        <is>
          <t>finalidade, status, versão, revogação</t>
        </is>
      </c>
      <c r="G17" s="7" t="inlineStr">
        <is>
          <t>person_id + purpose</t>
        </is>
      </c>
      <c r="H17" s="7" t="inlineStr">
        <is>
          <t>OAuth2</t>
        </is>
      </c>
      <c r="I17" s="7" t="inlineStr">
        <is>
          <t>&lt;5 min</t>
        </is>
      </c>
      <c r="J17" s="7" t="inlineStr">
        <is>
          <t>bloqueio preventivo</t>
        </is>
      </c>
      <c r="K17" s="7" t="inlineStr">
        <is>
          <t>DPO</t>
        </is>
      </c>
      <c r="L17" s="7" t="inlineStr">
        <is>
          <t>M0</t>
        </is>
      </c>
    </row>
    <row r="18" ht="56" customHeight="1">
      <c r="A18" s="6" t="inlineStr">
        <is>
          <t>Mídia / analytics</t>
        </is>
      </c>
      <c r="B18" s="6" t="inlineStr">
        <is>
          <t>Marketing</t>
        </is>
      </c>
      <c r="C18" s="6" t="inlineStr">
        <is>
          <t>Entrada</t>
        </is>
      </c>
      <c r="D18" s="6" t="inlineStr">
        <is>
          <t>API</t>
        </is>
      </c>
      <c r="E18" s="6" t="inlineStr">
        <is>
          <t>Diária</t>
        </is>
      </c>
      <c r="F18" s="6" t="inlineStr">
        <is>
          <t>campanha, custo, impressão, clique, conversão</t>
        </is>
      </c>
      <c r="G18" s="6" t="inlineStr">
        <is>
          <t>campaign_id / UTM</t>
        </is>
      </c>
      <c r="H18" s="6" t="inlineStr">
        <is>
          <t>OAuth2</t>
        </is>
      </c>
      <c r="I18" s="6" t="inlineStr">
        <is>
          <t>D+1</t>
        </is>
      </c>
      <c r="J18" s="6" t="inlineStr">
        <is>
          <t>deduplicação cross-channel</t>
        </is>
      </c>
      <c r="K18" s="6" t="inlineStr">
        <is>
          <t>Marketing</t>
        </is>
      </c>
      <c r="L18" s="6" t="inlineStr">
        <is>
          <t>M1</t>
        </is>
      </c>
    </row>
    <row r="19" ht="56" customHeight="1">
      <c r="A19" s="7" t="inlineStr">
        <is>
          <t>Entidade / associados</t>
        </is>
      </c>
      <c r="B19" s="7" t="inlineStr">
        <is>
          <t>Ecossistema</t>
        </is>
      </c>
      <c r="C19" s="7" t="inlineStr">
        <is>
          <t>Bidirecional</t>
        </is>
      </c>
      <c r="D19" s="7" t="inlineStr">
        <is>
          <t>API / arquivo</t>
        </is>
      </c>
      <c r="E19" s="7" t="inlineStr">
        <is>
          <t>Diária</t>
        </is>
      </c>
      <c r="F19" s="7" t="inlineStr">
        <is>
          <t>associado, vínculo, tier, renovação</t>
        </is>
      </c>
      <c r="G19" s="7" t="inlineStr">
        <is>
          <t>entity_id + company_id</t>
        </is>
      </c>
      <c r="H19" s="7" t="inlineStr">
        <is>
          <t>OAuth2 / SFTP</t>
        </is>
      </c>
      <c r="I19" s="7" t="inlineStr">
        <is>
          <t>D+1</t>
        </is>
      </c>
      <c r="J19" s="7" t="inlineStr">
        <is>
          <t>reconciliação de vigência</t>
        </is>
      </c>
      <c r="K19" s="7" t="inlineStr">
        <is>
          <t>Entidade</t>
        </is>
      </c>
      <c r="L19" s="7" t="inlineStr">
        <is>
          <t>M0</t>
        </is>
      </c>
    </row>
    <row r="20" ht="56" customHeight="1">
      <c r="A20" s="6" t="inlineStr">
        <is>
          <t>Data warehouse / lakehouse</t>
        </is>
      </c>
      <c r="B20" s="6" t="inlineStr">
        <is>
          <t>Todos</t>
        </is>
      </c>
      <c r="C20" s="6" t="inlineStr">
        <is>
          <t>Bidirecional</t>
        </is>
      </c>
      <c r="D20" s="6" t="inlineStr">
        <is>
          <t>ELT / data share</t>
        </is>
      </c>
      <c r="E20" s="6" t="inlineStr">
        <is>
          <t>Horária/diária</t>
        </is>
      </c>
      <c r="F20" s="6" t="inlineStr">
        <is>
          <t>dimensões, fatos, marts</t>
        </is>
      </c>
      <c r="G20" s="6" t="inlineStr">
        <is>
          <t>surrogate keys + business keys</t>
        </is>
      </c>
      <c r="H20" s="6" t="inlineStr">
        <is>
          <t>IAM / private link</t>
        </is>
      </c>
      <c r="I20" s="6" t="inlineStr">
        <is>
          <t>1 h</t>
        </is>
      </c>
      <c r="J20" s="6" t="inlineStr">
        <is>
          <t>observabilidade e rollback</t>
        </is>
      </c>
      <c r="K20" s="6" t="inlineStr">
        <is>
          <t>Data Engineering</t>
        </is>
      </c>
      <c r="L20" s="6" t="inlineStr">
        <is>
          <t>M0</t>
        </is>
      </c>
    </row>
  </sheetData>
  <autoFilter ref="A5:L20"/>
  <mergeCells count="2">
    <mergeCell ref="A3:L3"/>
    <mergeCell ref="A1:L2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F2B84B"/>
    <outlinePr summaryBelow="1" summaryRight="1"/>
    <pageSetUpPr fitToPage="1"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30" customWidth="1" min="4" max="4"/>
    <col width="22" customWidth="1" min="5" max="5"/>
    <col width="16" customWidth="1" min="6" max="6"/>
    <col width="16" customWidth="1" min="7" max="7"/>
    <col width="18" customWidth="1" min="8" max="8"/>
    <col width="24" customWidth="1" min="9" max="9"/>
    <col width="10" customWidth="1" min="10" max="10"/>
  </cols>
  <sheetData>
    <row r="1" ht="26" customHeight="1">
      <c r="A1" s="1" t="inlineStr">
        <is>
          <t>Governança, LGPD e confiabilidade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Regras mínimas para que a prova de valor seja legal, reproduzível e defensável.</t>
        </is>
      </c>
    </row>
    <row r="5" ht="34" customHeight="1">
      <c r="A5" s="44" t="inlineStr">
        <is>
          <t>Dimensão</t>
        </is>
      </c>
      <c r="B5" s="44" t="inlineStr">
        <is>
          <t>Regra</t>
        </is>
      </c>
      <c r="C5" s="44" t="inlineStr">
        <is>
          <t>Aplicação prática</t>
        </is>
      </c>
      <c r="D5" s="44" t="inlineStr">
        <is>
          <t>Evidência / artefato</t>
        </is>
      </c>
      <c r="E5" s="44" t="inlineStr">
        <is>
          <t>Owner</t>
        </is>
      </c>
      <c r="F5" s="44" t="inlineStr">
        <is>
          <t>Cadência</t>
        </is>
      </c>
      <c r="G5" s="44" t="inlineStr">
        <is>
          <t>Severidade</t>
        </is>
      </c>
      <c r="H5" s="44" t="inlineStr">
        <is>
          <t>Bloqueia publicação?</t>
        </is>
      </c>
      <c r="I5" s="44" t="inlineStr">
        <is>
          <t>Indicador</t>
        </is>
      </c>
      <c r="J5" s="44" t="inlineStr">
        <is>
          <t>Fase</t>
        </is>
      </c>
    </row>
    <row r="6" ht="54" customHeight="1">
      <c r="A6" s="6" t="inlineStr">
        <is>
          <t>Finalidade</t>
        </is>
      </c>
      <c r="B6" s="6" t="inlineStr">
        <is>
          <t>Cada uso de dado deve ter finalidade registrada.</t>
        </is>
      </c>
      <c r="C6" s="6" t="inlineStr">
        <is>
          <t>mapear campo→finalidade→produto</t>
        </is>
      </c>
      <c r="D6" s="6" t="inlineStr">
        <is>
          <t>ROPA / catálogo</t>
        </is>
      </c>
      <c r="E6" s="6" t="inlineStr">
        <is>
          <t>DPO</t>
        </is>
      </c>
      <c r="F6" s="6" t="inlineStr">
        <is>
          <t>Release</t>
        </is>
      </c>
      <c r="G6" s="6" t="inlineStr">
        <is>
          <t>Crítica</t>
        </is>
      </c>
      <c r="H6" s="6" t="inlineStr">
        <is>
          <t>Sim</t>
        </is>
      </c>
      <c r="I6" s="6" t="inlineStr">
        <is>
          <t>% campos com finalidade</t>
        </is>
      </c>
      <c r="J6" s="6" t="inlineStr">
        <is>
          <t>M0</t>
        </is>
      </c>
    </row>
    <row r="7" ht="54" customHeight="1">
      <c r="A7" s="7" t="inlineStr">
        <is>
          <t>Base legal</t>
        </is>
      </c>
      <c r="B7" s="7" t="inlineStr">
        <is>
          <t>Base legal e consentimento devem ser verificáveis.</t>
        </is>
      </c>
      <c r="C7" s="7" t="inlineStr">
        <is>
          <t>gate antes de feature/modelo</t>
        </is>
      </c>
      <c r="D7" s="7" t="inlineStr">
        <is>
          <t>registro de consentimento</t>
        </is>
      </c>
      <c r="E7" s="7" t="inlineStr">
        <is>
          <t>DPO</t>
        </is>
      </c>
      <c r="F7" s="7" t="inlineStr">
        <is>
          <t>Tempo real</t>
        </is>
      </c>
      <c r="G7" s="7" t="inlineStr">
        <is>
          <t>Crítica</t>
        </is>
      </c>
      <c r="H7" s="7" t="inlineStr">
        <is>
          <t>Sim</t>
        </is>
      </c>
      <c r="I7" s="7" t="inlineStr">
        <is>
          <t>cobertura de consentimento</t>
        </is>
      </c>
      <c r="J7" s="7" t="inlineStr">
        <is>
          <t>M0</t>
        </is>
      </c>
    </row>
    <row r="8" ht="54" customHeight="1">
      <c r="A8" s="6" t="inlineStr">
        <is>
          <t>Minimização</t>
        </is>
      </c>
      <c r="B8" s="6" t="inlineStr">
        <is>
          <t>Coletar apenas o necessário.</t>
        </is>
      </c>
      <c r="C8" s="6" t="inlineStr">
        <is>
          <t>revisão semestral de campos</t>
        </is>
      </c>
      <c r="D8" s="6" t="inlineStr">
        <is>
          <t>matriz necessidade</t>
        </is>
      </c>
      <c r="E8" s="6" t="inlineStr">
        <is>
          <t>Data Governance</t>
        </is>
      </c>
      <c r="F8" s="6" t="inlineStr">
        <is>
          <t>Semestral</t>
        </is>
      </c>
      <c r="G8" s="6" t="inlineStr">
        <is>
          <t>Alta</t>
        </is>
      </c>
      <c r="H8" s="6" t="inlineStr">
        <is>
          <t>Sim</t>
        </is>
      </c>
      <c r="I8" s="6" t="inlineStr">
        <is>
          <t>% campos justificados</t>
        </is>
      </c>
      <c r="J8" s="6" t="inlineStr">
        <is>
          <t>M0</t>
        </is>
      </c>
    </row>
    <row r="9" ht="54" customHeight="1">
      <c r="A9" s="7" t="inlineStr">
        <is>
          <t>Segurança</t>
        </is>
      </c>
      <c r="B9" s="7" t="inlineStr">
        <is>
          <t>Dados sensíveis criptografados e segregados.</t>
        </is>
      </c>
      <c r="C9" s="7" t="inlineStr">
        <is>
          <t>KMS, RBAC, logs</t>
        </is>
      </c>
      <c r="D9" s="7" t="inlineStr">
        <is>
          <t>evidência de controle</t>
        </is>
      </c>
      <c r="E9" s="7" t="inlineStr">
        <is>
          <t>Security</t>
        </is>
      </c>
      <c r="F9" s="7" t="inlineStr">
        <is>
          <t>Contínua</t>
        </is>
      </c>
      <c r="G9" s="7" t="inlineStr">
        <is>
          <t>Crítica</t>
        </is>
      </c>
      <c r="H9" s="7" t="inlineStr">
        <is>
          <t>Sim</t>
        </is>
      </c>
      <c r="I9" s="7" t="inlineStr">
        <is>
          <t>incidentes e acessos</t>
        </is>
      </c>
      <c r="J9" s="7" t="inlineStr">
        <is>
          <t>M0</t>
        </is>
      </c>
    </row>
    <row r="10" ht="54" customHeight="1">
      <c r="A10" s="6" t="inlineStr">
        <is>
          <t>Pseudonimização</t>
        </is>
      </c>
      <c r="B10" s="6" t="inlineStr">
        <is>
          <t>Camada analítica não expõe identidade direta.</t>
        </is>
      </c>
      <c r="C10" s="6" t="inlineStr">
        <is>
          <t>tokens e vault separado</t>
        </is>
      </c>
      <c r="D10" s="6" t="inlineStr">
        <is>
          <t>arquitetura / teste</t>
        </is>
      </c>
      <c r="E10" s="6" t="inlineStr">
        <is>
          <t>Data Engineering</t>
        </is>
      </c>
      <c r="F10" s="6" t="inlineStr">
        <is>
          <t>Release</t>
        </is>
      </c>
      <c r="G10" s="6" t="inlineStr">
        <is>
          <t>Crítica</t>
        </is>
      </c>
      <c r="H10" s="6" t="inlineStr">
        <is>
          <t>Sim</t>
        </is>
      </c>
      <c r="I10" s="6" t="inlineStr">
        <is>
          <t>% fatos pseudonimizados</t>
        </is>
      </c>
      <c r="J10" s="6" t="inlineStr">
        <is>
          <t>M0</t>
        </is>
      </c>
    </row>
    <row r="11" ht="54" customHeight="1">
      <c r="A11" s="7" t="inlineStr">
        <is>
          <t>Retenção</t>
        </is>
      </c>
      <c r="B11" s="7" t="inlineStr">
        <is>
          <t>Prazo definido por tabela e finalidade.</t>
        </is>
      </c>
      <c r="C11" s="7" t="inlineStr">
        <is>
          <t>política automática de expurgo</t>
        </is>
      </c>
      <c r="D11" s="7" t="inlineStr">
        <is>
          <t>log de deleção</t>
        </is>
      </c>
      <c r="E11" s="7" t="inlineStr">
        <is>
          <t>DPO / Data</t>
        </is>
      </c>
      <c r="F11" s="7" t="inlineStr">
        <is>
          <t>Mensal</t>
        </is>
      </c>
      <c r="G11" s="7" t="inlineStr">
        <is>
          <t>Alta</t>
        </is>
      </c>
      <c r="H11" s="7" t="inlineStr">
        <is>
          <t>Sim</t>
        </is>
      </c>
      <c r="I11" s="7" t="inlineStr">
        <is>
          <t>% tabelas com TTL</t>
        </is>
      </c>
      <c r="J11" s="7" t="inlineStr">
        <is>
          <t>M0</t>
        </is>
      </c>
    </row>
    <row r="12" ht="54" customHeight="1">
      <c r="A12" s="6" t="inlineStr">
        <is>
          <t>Direitos do titular</t>
        </is>
      </c>
      <c r="B12" s="6" t="inlineStr">
        <is>
          <t>Acesso, correção e revogação aplicáveis.</t>
        </is>
      </c>
      <c r="C12" s="6" t="inlineStr">
        <is>
          <t>workflow de DSAR</t>
        </is>
      </c>
      <c r="D12" s="6" t="inlineStr">
        <is>
          <t>SLA de atendimento</t>
        </is>
      </c>
      <c r="E12" s="6" t="inlineStr">
        <is>
          <t>DPO</t>
        </is>
      </c>
      <c r="F12" s="6" t="inlineStr">
        <is>
          <t>Mensal</t>
        </is>
      </c>
      <c r="G12" s="6" t="inlineStr">
        <is>
          <t>Crítica</t>
        </is>
      </c>
      <c r="H12" s="6" t="inlineStr">
        <is>
          <t>Sim</t>
        </is>
      </c>
      <c r="I12" s="6" t="inlineStr">
        <is>
          <t>SLA DSAR</t>
        </is>
      </c>
      <c r="J12" s="6" t="inlineStr">
        <is>
          <t>M0</t>
        </is>
      </c>
    </row>
    <row r="13" ht="54" customHeight="1">
      <c r="A13" s="7" t="inlineStr">
        <is>
          <t>Completude</t>
        </is>
      </c>
      <c r="B13" s="7" t="inlineStr">
        <is>
          <t>Campos críticos dentro do piso acordado.</t>
        </is>
      </c>
      <c r="C13" s="7" t="inlineStr">
        <is>
          <t>quality gate por pipeline</t>
        </is>
      </c>
      <c r="D13" s="7" t="inlineStr">
        <is>
          <t>relatório de qualidade</t>
        </is>
      </c>
      <c r="E13" s="7" t="inlineStr">
        <is>
          <t>Data Owner</t>
        </is>
      </c>
      <c r="F13" s="7" t="inlineStr">
        <is>
          <t>Diária</t>
        </is>
      </c>
      <c r="G13" s="7" t="inlineStr">
        <is>
          <t>Alta</t>
        </is>
      </c>
      <c r="H13" s="7" t="inlineStr">
        <is>
          <t>Depende</t>
        </is>
      </c>
      <c r="I13" s="7" t="inlineStr">
        <is>
          <t>completude</t>
        </is>
      </c>
      <c r="J13" s="7" t="inlineStr">
        <is>
          <t>M0</t>
        </is>
      </c>
    </row>
    <row r="14" ht="54" customHeight="1">
      <c r="A14" s="6" t="inlineStr">
        <is>
          <t>Atualidade</t>
        </is>
      </c>
      <c r="B14" s="6" t="inlineStr">
        <is>
          <t>Dado chega dentro do SLA da decisão.</t>
        </is>
      </c>
      <c r="C14" s="6" t="inlineStr">
        <is>
          <t>monitor de freshness</t>
        </is>
      </c>
      <c r="D14" s="6" t="inlineStr">
        <is>
          <t>alerta / incidente</t>
        </is>
      </c>
      <c r="E14" s="6" t="inlineStr">
        <is>
          <t>Data Engineering</t>
        </is>
      </c>
      <c r="F14" s="6" t="inlineStr">
        <is>
          <t>Diária</t>
        </is>
      </c>
      <c r="G14" s="6" t="inlineStr">
        <is>
          <t>Alta</t>
        </is>
      </c>
      <c r="H14" s="6" t="inlineStr">
        <is>
          <t>Depende</t>
        </is>
      </c>
      <c r="I14" s="6" t="inlineStr">
        <is>
          <t>freshness</t>
        </is>
      </c>
      <c r="J14" s="6" t="inlineStr">
        <is>
          <t>M0</t>
        </is>
      </c>
    </row>
    <row r="15" ht="54" customHeight="1">
      <c r="A15" s="7" t="inlineStr">
        <is>
          <t>Unicidade</t>
        </is>
      </c>
      <c r="B15" s="7" t="inlineStr">
        <is>
          <t>Identidades e fatos não podem duplicar valor.</t>
        </is>
      </c>
      <c r="C15" s="7" t="inlineStr">
        <is>
          <t>MDM e chaves idempotentes</t>
        </is>
      </c>
      <c r="D15" s="7" t="inlineStr">
        <is>
          <t>relatório de duplicidade</t>
        </is>
      </c>
      <c r="E15" s="7" t="inlineStr">
        <is>
          <t>Data Engineering</t>
        </is>
      </c>
      <c r="F15" s="7" t="inlineStr">
        <is>
          <t>Diária</t>
        </is>
      </c>
      <c r="G15" s="7" t="inlineStr">
        <is>
          <t>Alta</t>
        </is>
      </c>
      <c r="H15" s="7" t="inlineStr">
        <is>
          <t>Sim</t>
        </is>
      </c>
      <c r="I15" s="7" t="inlineStr">
        <is>
          <t>identidade resolvida</t>
        </is>
      </c>
      <c r="J15" s="7" t="inlineStr">
        <is>
          <t>M0</t>
        </is>
      </c>
    </row>
    <row r="16" ht="54" customHeight="1">
      <c r="A16" s="6" t="inlineStr">
        <is>
          <t>Semântica</t>
        </is>
      </c>
      <c r="B16" s="6" t="inlineStr">
        <is>
          <t>KPI possui definição, fórmula, owner e versão.</t>
        </is>
      </c>
      <c r="C16" s="6" t="inlineStr">
        <is>
          <t>catálogo de métricas</t>
        </is>
      </c>
      <c r="D16" s="6" t="inlineStr">
        <is>
          <t>registro aprovado</t>
        </is>
      </c>
      <c r="E16" s="6" t="inlineStr">
        <is>
          <t>Metric Owner</t>
        </is>
      </c>
      <c r="F16" s="6" t="inlineStr">
        <is>
          <t>Trimestral</t>
        </is>
      </c>
      <c r="G16" s="6" t="inlineStr">
        <is>
          <t>Alta</t>
        </is>
      </c>
      <c r="H16" s="6" t="inlineStr">
        <is>
          <t>Sim</t>
        </is>
      </c>
      <c r="I16" s="6" t="inlineStr">
        <is>
          <t>% KPIs certificados</t>
        </is>
      </c>
      <c r="J16" s="6" t="inlineStr">
        <is>
          <t>M0</t>
        </is>
      </c>
    </row>
    <row r="17" ht="54" customHeight="1">
      <c r="A17" s="7" t="inlineStr">
        <is>
          <t>Baseline</t>
        </is>
      </c>
      <c r="B17" s="7" t="inlineStr">
        <is>
          <t>Impacto exige baseline comparável.</t>
        </is>
      </c>
      <c r="C17" s="7" t="inlineStr">
        <is>
          <t>checklist pré-intervenção</t>
        </is>
      </c>
      <c r="D17" s="7" t="inlineStr">
        <is>
          <t>plano de mensuração</t>
        </is>
      </c>
      <c r="E17" s="7" t="inlineStr">
        <is>
          <t>Inteligência</t>
        </is>
      </c>
      <c r="F17" s="7" t="inlineStr">
        <is>
          <t>Projeto</t>
        </is>
      </c>
      <c r="G17" s="7" t="inlineStr">
        <is>
          <t>Crítica</t>
        </is>
      </c>
      <c r="H17" s="7" t="inlineStr">
        <is>
          <t>Sim</t>
        </is>
      </c>
      <c r="I17" s="7" t="inlineStr">
        <is>
          <t>% cases com baseline</t>
        </is>
      </c>
      <c r="J17" s="7" t="inlineStr">
        <is>
          <t>M1</t>
        </is>
      </c>
    </row>
    <row r="18" ht="54" customHeight="1">
      <c r="A18" s="6" t="inlineStr">
        <is>
          <t>Atribuição</t>
        </is>
      </c>
      <c r="B18" s="6" t="inlineStr">
        <is>
          <t>Percentual de efeito deve ser explícito.</t>
        </is>
      </c>
      <c r="C18" s="6" t="inlineStr">
        <is>
          <t>campo obrigatório no value mart</t>
        </is>
      </c>
      <c r="D18" s="6" t="inlineStr">
        <is>
          <t>memória de cálculo</t>
        </is>
      </c>
      <c r="E18" s="6" t="inlineStr">
        <is>
          <t>Financeiro</t>
        </is>
      </c>
      <c r="F18" s="6" t="inlineStr">
        <is>
          <t>Trimestral</t>
        </is>
      </c>
      <c r="G18" s="6" t="inlineStr">
        <is>
          <t>Crítica</t>
        </is>
      </c>
      <c r="H18" s="6" t="inlineStr">
        <is>
          <t>Sim</t>
        </is>
      </c>
      <c r="I18" s="6" t="inlineStr">
        <is>
          <t>% valor com atribuição</t>
        </is>
      </c>
      <c r="J18" s="6" t="inlineStr">
        <is>
          <t>M2</t>
        </is>
      </c>
    </row>
    <row r="19" ht="54" customHeight="1">
      <c r="A19" s="7" t="inlineStr">
        <is>
          <t>Dupla contagem</t>
        </is>
      </c>
      <c r="B19" s="7" t="inlineStr">
        <is>
          <t>Benefícios sobrepostos são deduplicados.</t>
        </is>
      </c>
      <c r="C19" s="7" t="inlineStr">
        <is>
          <t>chave pessoa-resultado-período-alavanca</t>
        </is>
      </c>
      <c r="D19" s="7" t="inlineStr">
        <is>
          <t>relatório de conflitos</t>
        </is>
      </c>
      <c r="E19" s="7" t="inlineStr">
        <is>
          <t>Financeiro</t>
        </is>
      </c>
      <c r="F19" s="7" t="inlineStr">
        <is>
          <t>Trimestral</t>
        </is>
      </c>
      <c r="G19" s="7" t="inlineStr">
        <is>
          <t>Crítica</t>
        </is>
      </c>
      <c r="H19" s="7" t="inlineStr">
        <is>
          <t>Sim</t>
        </is>
      </c>
      <c r="I19" s="7" t="inlineStr">
        <is>
          <t>valor deduplicado</t>
        </is>
      </c>
      <c r="J19" s="7" t="inlineStr">
        <is>
          <t>M2</t>
        </is>
      </c>
    </row>
    <row r="20" ht="54" customHeight="1">
      <c r="A20" s="6" t="inlineStr">
        <is>
          <t>Evidência</t>
        </is>
      </c>
      <c r="B20" s="6" t="inlineStr">
        <is>
          <t>Toda estimativa recebe nível metodológico.</t>
        </is>
      </c>
      <c r="C20" s="6" t="inlineStr">
        <is>
          <t>descritivo→experimental</t>
        </is>
      </c>
      <c r="D20" s="6" t="inlineStr">
        <is>
          <t>score de confiança</t>
        </is>
      </c>
      <c r="E20" s="6" t="inlineStr">
        <is>
          <t>Inteligência</t>
        </is>
      </c>
      <c r="F20" s="6" t="inlineStr">
        <is>
          <t>Trimestral</t>
        </is>
      </c>
      <c r="G20" s="6" t="inlineStr">
        <is>
          <t>Alta</t>
        </is>
      </c>
      <c r="H20" s="6" t="inlineStr">
        <is>
          <t>Sim</t>
        </is>
      </c>
      <c r="I20" s="6" t="inlineStr">
        <is>
          <t>índice de confiança</t>
        </is>
      </c>
      <c r="J20" s="6" t="inlineStr">
        <is>
          <t>M2</t>
        </is>
      </c>
    </row>
    <row r="21" ht="54" customHeight="1">
      <c r="A21" s="7" t="inlineStr">
        <is>
          <t>Reprodutibilidade</t>
        </is>
      </c>
      <c r="B21" s="7" t="inlineStr">
        <is>
          <t>Análise deve ser reproduzível por versão.</t>
        </is>
      </c>
      <c r="C21" s="7" t="inlineStr">
        <is>
          <t>snapshot, código, parâmetros</t>
        </is>
      </c>
      <c r="D21" s="7" t="inlineStr">
        <is>
          <t>run_id / hash</t>
        </is>
      </c>
      <c r="E21" s="7" t="inlineStr">
        <is>
          <t>Data Science</t>
        </is>
      </c>
      <c r="F21" s="7" t="inlineStr">
        <is>
          <t>Release</t>
        </is>
      </c>
      <c r="G21" s="7" t="inlineStr">
        <is>
          <t>Alta</t>
        </is>
      </c>
      <c r="H21" s="7" t="inlineStr">
        <is>
          <t>Sim</t>
        </is>
      </c>
      <c r="I21" s="7" t="inlineStr">
        <is>
          <t>% análises reproduzíveis</t>
        </is>
      </c>
      <c r="J21" s="7" t="inlineStr">
        <is>
          <t>M1</t>
        </is>
      </c>
    </row>
    <row r="22" ht="54" customHeight="1">
      <c r="A22" s="6" t="inlineStr">
        <is>
          <t>Explicabilidade</t>
        </is>
      </c>
      <c r="B22" s="6" t="inlineStr">
        <is>
          <t>Score que orienta decisão deve explicar fatores.</t>
        </is>
      </c>
      <c r="C22" s="6" t="inlineStr">
        <is>
          <t>reason codes e documentação</t>
        </is>
      </c>
      <c r="D22" s="6" t="inlineStr">
        <is>
          <t>model card</t>
        </is>
      </c>
      <c r="E22" s="6" t="inlineStr">
        <is>
          <t>AI Governance</t>
        </is>
      </c>
      <c r="F22" s="6" t="inlineStr">
        <is>
          <t>Release</t>
        </is>
      </c>
      <c r="G22" s="6" t="inlineStr">
        <is>
          <t>Alta</t>
        </is>
      </c>
      <c r="H22" s="6" t="inlineStr">
        <is>
          <t>Sim</t>
        </is>
      </c>
      <c r="I22" s="6" t="inlineStr">
        <is>
          <t>% scores explicáveis</t>
        </is>
      </c>
      <c r="J22" s="6" t="inlineStr">
        <is>
          <t>M1</t>
        </is>
      </c>
    </row>
    <row r="23" ht="54" customHeight="1">
      <c r="A23" s="7" t="inlineStr">
        <is>
          <t>Fairness</t>
        </is>
      </c>
      <c r="B23" s="7" t="inlineStr">
        <is>
          <t>Performance é monitorada por grupos pertinentes.</t>
        </is>
      </c>
      <c r="C23" s="7" t="inlineStr">
        <is>
          <t>métricas de erro/seleção</t>
        </is>
      </c>
      <c r="D23" s="7" t="inlineStr">
        <is>
          <t>fairness report</t>
        </is>
      </c>
      <c r="E23" s="7" t="inlineStr">
        <is>
          <t>AI Governance</t>
        </is>
      </c>
      <c r="F23" s="7" t="inlineStr">
        <is>
          <t>Mensal</t>
        </is>
      </c>
      <c r="G23" s="7" t="inlineStr">
        <is>
          <t>Crítica</t>
        </is>
      </c>
      <c r="H23" s="7" t="inlineStr">
        <is>
          <t>Sim</t>
        </is>
      </c>
      <c r="I23" s="7" t="inlineStr">
        <is>
          <t>gap de fairness</t>
        </is>
      </c>
      <c r="J23" s="7" t="inlineStr">
        <is>
          <t>M1</t>
        </is>
      </c>
    </row>
    <row r="24" ht="54" customHeight="1">
      <c r="A24" s="6" t="inlineStr">
        <is>
          <t>Drift</t>
        </is>
      </c>
      <c r="B24" s="6" t="inlineStr">
        <is>
          <t>Mudança de população ou performance gera alerta.</t>
        </is>
      </c>
      <c r="C24" s="6" t="inlineStr">
        <is>
          <t>monitor de feature/model drift</t>
        </is>
      </c>
      <c r="D24" s="6" t="inlineStr">
        <is>
          <t>alerta / rollback</t>
        </is>
      </c>
      <c r="E24" s="6" t="inlineStr">
        <is>
          <t>Data Science</t>
        </is>
      </c>
      <c r="F24" s="6" t="inlineStr">
        <is>
          <t>Semanal</t>
        </is>
      </c>
      <c r="G24" s="6" t="inlineStr">
        <is>
          <t>Alta</t>
        </is>
      </c>
      <c r="H24" s="6" t="inlineStr">
        <is>
          <t>Depende</t>
        </is>
      </c>
      <c r="I24" s="6" t="inlineStr">
        <is>
          <t>drift</t>
        </is>
      </c>
      <c r="J24" s="6" t="inlineStr">
        <is>
          <t>M1</t>
        </is>
      </c>
    </row>
    <row r="25" ht="54" customHeight="1">
      <c r="A25" s="7" t="inlineStr">
        <is>
          <t>Humano no loop</t>
        </is>
      </c>
      <c r="B25" s="7" t="inlineStr">
        <is>
          <t>Decisões de alto impacto permitem revisão humana.</t>
        </is>
      </c>
      <c r="C25" s="7" t="inlineStr">
        <is>
          <t>fila de revisão e justificativa</t>
        </is>
      </c>
      <c r="D25" s="7" t="inlineStr">
        <is>
          <t>audit log</t>
        </is>
      </c>
      <c r="E25" s="7" t="inlineStr">
        <is>
          <t>Process Owner</t>
        </is>
      </c>
      <c r="F25" s="7" t="inlineStr">
        <is>
          <t>Contínua</t>
        </is>
      </c>
      <c r="G25" s="7" t="inlineStr">
        <is>
          <t>Crítica</t>
        </is>
      </c>
      <c r="H25" s="7" t="inlineStr">
        <is>
          <t>Sim</t>
        </is>
      </c>
      <c r="I25" s="7" t="inlineStr">
        <is>
          <t>% revisões</t>
        </is>
      </c>
      <c r="J25" s="7" t="inlineStr">
        <is>
          <t>M1</t>
        </is>
      </c>
    </row>
    <row r="26" ht="54" customHeight="1">
      <c r="A26" s="6" t="inlineStr">
        <is>
          <t>Acesso</t>
        </is>
      </c>
      <c r="B26" s="6" t="inlineStr">
        <is>
          <t>Privilégio mínimo por visão e finalidade.</t>
        </is>
      </c>
      <c r="C26" s="6" t="inlineStr">
        <is>
          <t>RBAC/ABAC</t>
        </is>
      </c>
      <c r="D26" s="6" t="inlineStr">
        <is>
          <t>access review</t>
        </is>
      </c>
      <c r="E26" s="6" t="inlineStr">
        <is>
          <t>Security</t>
        </is>
      </c>
      <c r="F26" s="6" t="inlineStr">
        <is>
          <t>Trimestral</t>
        </is>
      </c>
      <c r="G26" s="6" t="inlineStr">
        <is>
          <t>Crítica</t>
        </is>
      </c>
      <c r="H26" s="6" t="inlineStr">
        <is>
          <t>Sim</t>
        </is>
      </c>
      <c r="I26" s="6" t="inlineStr">
        <is>
          <t>acessos indevidos</t>
        </is>
      </c>
      <c r="J26" s="6" t="inlineStr">
        <is>
          <t>M0</t>
        </is>
      </c>
    </row>
    <row r="27" ht="54" customHeight="1">
      <c r="A27" s="7" t="inlineStr">
        <is>
          <t>Publicação</t>
        </is>
      </c>
      <c r="B27" s="7" t="inlineStr">
        <is>
          <t>Dashboard executivo usa somente métricas certificadas.</t>
        </is>
      </c>
      <c r="C27" s="7" t="inlineStr">
        <is>
          <t>status draft/certified/deprecated</t>
        </is>
      </c>
      <c r="D27" s="7" t="inlineStr">
        <is>
          <t>catálogo</t>
        </is>
      </c>
      <c r="E27" s="7" t="inlineStr">
        <is>
          <t>Analytics</t>
        </is>
      </c>
      <c r="F27" s="7" t="inlineStr">
        <is>
          <t>Release</t>
        </is>
      </c>
      <c r="G27" s="7" t="inlineStr">
        <is>
          <t>Alta</t>
        </is>
      </c>
      <c r="H27" s="7" t="inlineStr">
        <is>
          <t>Sim</t>
        </is>
      </c>
      <c r="I27" s="7" t="inlineStr">
        <is>
          <t>% métricas certificadas</t>
        </is>
      </c>
      <c r="J27" s="7" t="inlineStr">
        <is>
          <t>M0</t>
        </is>
      </c>
    </row>
    <row r="28" ht="54" customHeight="1">
      <c r="A28" s="6" t="inlineStr">
        <is>
          <t>Auditoria financeira</t>
        </is>
      </c>
      <c r="B28" s="6" t="inlineStr">
        <is>
          <t>Benefício monetizado tem validação do cliente.</t>
        </is>
      </c>
      <c r="C28" s="6" t="inlineStr">
        <is>
          <t>sign-off da controladoria</t>
        </is>
      </c>
      <c r="D28" s="6" t="inlineStr">
        <is>
          <t>termo / comentário</t>
        </is>
      </c>
      <c r="E28" s="6" t="inlineStr">
        <is>
          <t>Financeiro cliente</t>
        </is>
      </c>
      <c r="F28" s="6" t="inlineStr">
        <is>
          <t>Trimestral</t>
        </is>
      </c>
      <c r="G28" s="6" t="inlineStr">
        <is>
          <t>Crítica</t>
        </is>
      </c>
      <c r="H28" s="6" t="inlineStr">
        <is>
          <t>Sim</t>
        </is>
      </c>
      <c r="I28" s="6" t="inlineStr">
        <is>
          <t>% valor aprovado</t>
        </is>
      </c>
      <c r="J28" s="6" t="inlineStr">
        <is>
          <t>M2</t>
        </is>
      </c>
    </row>
  </sheetData>
  <autoFilter ref="A5:J28"/>
  <mergeCells count="2">
    <mergeCell ref="A1:J2"/>
    <mergeCell ref="A3:J3"/>
  </mergeCells>
  <conditionalFormatting sqref="G6:G28">
    <cfRule type="expression" priority="1" dxfId="0">
      <formula>$G6="Crítica"</formula>
    </cfRule>
  </conditionalFormatting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B7D51F"/>
    <outlinePr summaryBelow="1" summaryRight="1"/>
    <pageSetUpPr fitToPage="1"/>
  </sheetPr>
  <dimension ref="A1:J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8" customWidth="1" min="3" max="3"/>
    <col width="46" customWidth="1" min="4" max="4"/>
    <col width="42" customWidth="1" min="5" max="5"/>
    <col width="40" customWidth="1" min="6" max="6"/>
    <col width="40" customWidth="1" min="7" max="7"/>
    <col width="34" customWidth="1" min="8" max="8"/>
    <col width="24" customWidth="1" min="9" max="9"/>
    <col width="14" customWidth="1" min="10" max="10"/>
  </cols>
  <sheetData>
    <row r="1" ht="26" customHeight="1">
      <c r="A1" s="1" t="inlineStr">
        <is>
          <t>Roadmap de metrificação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O primeiro ativo não é o software: é a evidência de que a decisão melhora.</t>
        </is>
      </c>
    </row>
    <row r="5" ht="34" customHeight="1">
      <c r="A5" s="44" t="inlineStr">
        <is>
          <t>Fase</t>
        </is>
      </c>
      <c r="B5" s="44" t="inlineStr">
        <is>
          <t>Horizonte</t>
        </is>
      </c>
      <c r="C5" s="44" t="inlineStr">
        <is>
          <t>Objetivo</t>
        </is>
      </c>
      <c r="D5" s="44" t="inlineStr">
        <is>
          <t>Entregas</t>
        </is>
      </c>
      <c r="E5" s="44" t="inlineStr">
        <is>
          <t>Indicadores habilitados</t>
        </is>
      </c>
      <c r="F5" s="44" t="inlineStr">
        <is>
          <t>Dados / integrações</t>
        </is>
      </c>
      <c r="G5" s="44" t="inlineStr">
        <is>
          <t>Critério de saída</t>
        </is>
      </c>
      <c r="H5" s="44" t="inlineStr">
        <is>
          <t>Riscos</t>
        </is>
      </c>
      <c r="I5" s="44" t="inlineStr">
        <is>
          <t>Owner</t>
        </is>
      </c>
      <c r="J5" s="44" t="inlineStr">
        <is>
          <t>Prioridade</t>
        </is>
      </c>
    </row>
    <row r="6" ht="78" customHeight="1">
      <c r="A6" s="6" t="inlineStr">
        <is>
          <t>M0 — Organizar</t>
        </is>
      </c>
      <c r="B6" s="6" t="inlineStr">
        <is>
          <t>0–8 semanas</t>
        </is>
      </c>
      <c r="C6" s="6" t="inlineStr">
        <is>
          <t>Criar linguagem comum e instrumentação mínima.</t>
        </is>
      </c>
      <c r="D6" s="6" t="inlineStr">
        <is>
          <t>taxonomia, IDs, eventos, catálogo, dashboards operacionais</t>
        </is>
      </c>
      <c r="E6" s="6" t="inlineStr">
        <is>
          <t>cadastro, completude, ativação, eventos, ARR</t>
        </is>
      </c>
      <c r="F6" s="6" t="inlineStr">
        <is>
          <t>CRM, plataforma, consentimento, warehouse</t>
        </is>
      </c>
      <c r="G6" s="6" t="inlineStr">
        <is>
          <t>eventos críticos &gt;95% e métricas certificadas</t>
        </is>
      </c>
      <c r="H6" s="6" t="inlineStr">
        <is>
          <t>identidade fragmentada; falta de owner</t>
        </is>
      </c>
      <c r="I6" s="6" t="inlineStr">
        <is>
          <t>Produto + Data</t>
        </is>
      </c>
      <c r="J6" s="6" t="inlineStr">
        <is>
          <t>Imediata</t>
        </is>
      </c>
    </row>
    <row r="7" ht="78" customHeight="1">
      <c r="A7" s="7" t="inlineStr">
        <is>
          <t>M1 — Conectar</t>
        </is>
      </c>
      <c r="B7" s="7" t="inlineStr">
        <is>
          <t>2–5 meses</t>
        </is>
      </c>
      <c r="C7" s="7" t="inlineStr">
        <is>
          <t>Relacionar ações, oportunidades e resultados.</t>
        </is>
      </c>
      <c r="D7" s="7" t="inlineStr">
        <is>
          <t>grafo de relações, cohorts, integrações RH/compras/marketing</t>
        </is>
      </c>
      <c r="E7" s="7" t="inlineStr">
        <is>
          <t>matching, conversão, ciclo, adoção, churn, pipeline</t>
        </is>
      </c>
      <c r="F7" s="7" t="inlineStr">
        <is>
          <t>ATS, LMS, SRM, mídia, contratos</t>
        </is>
      </c>
      <c r="G7" s="7" t="inlineStr">
        <is>
          <t>origem e outcome rastreáveis ponta a ponta</t>
        </is>
      </c>
      <c r="H7" s="7" t="inlineStr">
        <is>
          <t>chaves inconsistentes; baixa adesão</t>
        </is>
      </c>
      <c r="I7" s="7" t="inlineStr">
        <is>
          <t>Data + Operações</t>
        </is>
      </c>
      <c r="J7" s="7" t="inlineStr">
        <is>
          <t>Alta</t>
        </is>
      </c>
    </row>
    <row r="8" ht="78" customHeight="1">
      <c r="A8" s="6" t="inlineStr">
        <is>
          <t>M2 — Provar</t>
        </is>
      </c>
      <c r="B8" s="6" t="inlineStr">
        <is>
          <t>5–9 meses</t>
        </is>
      </c>
      <c r="C8" s="6" t="inlineStr">
        <is>
          <t>Monetizar efeito com baseline e atribuição.</t>
        </is>
      </c>
      <c r="D8" s="6" t="inlineStr">
        <is>
          <t>value mart, simulador, estudos quase-experimentais, sign-off</t>
        </is>
      </c>
      <c r="E8" s="6" t="inlineStr">
        <is>
          <t>produtividade, retenção, saving, risco, ROI, payback</t>
        </is>
      </c>
      <c r="F8" s="6" t="inlineStr">
        <is>
          <t>BI/financeiro cliente, GRC, controladoria</t>
        </is>
      </c>
      <c r="G8" s="6" t="inlineStr">
        <is>
          <t>&gt;70% do valor com evidência quase-experimental</t>
        </is>
      </c>
      <c r="H8" s="6" t="inlineStr">
        <is>
          <t>baseline tardio; dupla contagem</t>
        </is>
      </c>
      <c r="I8" s="6" t="inlineStr">
        <is>
          <t>Inteligência + Financeiro</t>
        </is>
      </c>
      <c r="J8" s="6" t="inlineStr">
        <is>
          <t>Alta</t>
        </is>
      </c>
    </row>
    <row r="9" ht="78" customHeight="1">
      <c r="A9" s="7" t="inlineStr">
        <is>
          <t>M3 — Prever</t>
        </is>
      </c>
      <c r="B9" s="7" t="inlineStr">
        <is>
          <t>9–14 meses</t>
        </is>
      </c>
      <c r="C9" s="7" t="inlineStr">
        <is>
          <t>Antecipar riscos, capacidades e oportunidades.</t>
        </is>
      </c>
      <c r="D9" s="7" t="inlineStr">
        <is>
          <t>modelos preditivos, propensão, alertas, model cards</t>
        </is>
      </c>
      <c r="E9" s="7" t="inlineStr">
        <is>
          <t>precisão, calibração, uplift, drift, fairness</t>
        </is>
      </c>
      <c r="F9" s="7" t="inlineStr">
        <is>
          <t>MLOps e histórico de outcomes</t>
        </is>
      </c>
      <c r="G9" s="7" t="inlineStr">
        <is>
          <t>modelo supera regra e passa fairness</t>
        </is>
      </c>
      <c r="H9" s="7" t="inlineStr">
        <is>
          <t>viés; pouca amostra; drift</t>
        </is>
      </c>
      <c r="I9" s="7" t="inlineStr">
        <is>
          <t>Data Science</t>
        </is>
      </c>
      <c r="J9" s="7" t="inlineStr">
        <is>
          <t>Média</t>
        </is>
      </c>
    </row>
    <row r="10" ht="78" customHeight="1">
      <c r="A10" s="6" t="inlineStr">
        <is>
          <t>M4 — Escalar</t>
        </is>
      </c>
      <c r="B10" s="6" t="inlineStr">
        <is>
          <t>14–24 meses</t>
        </is>
      </c>
      <c r="C10" s="6" t="inlineStr">
        <is>
          <t>Benchmark e inteligência de ecossistema.</t>
        </is>
      </c>
      <c r="D10" s="6" t="inlineStr">
        <is>
          <t>benchmarks anônimos, marketplace, serviços por segmento</t>
        </is>
      </c>
      <c r="E10" s="6" t="inlineStr">
        <is>
          <t>valor por associado, densidade, NRR, impacto econômico</t>
        </is>
      </c>
      <c r="F10" s="6" t="inlineStr">
        <is>
          <t>entidades, data shares e contratos</t>
        </is>
      </c>
      <c r="G10" s="6" t="inlineStr">
        <is>
          <t>unit economics sustentável e confiança alta</t>
        </is>
      </c>
      <c r="H10" s="6" t="inlineStr">
        <is>
          <t>governança multiempresa</t>
        </is>
      </c>
      <c r="I10" s="6" t="inlineStr">
        <is>
          <t>HUB + Entidades</t>
        </is>
      </c>
      <c r="J10" s="6" t="inlineStr">
        <is>
          <t>Média</t>
        </is>
      </c>
    </row>
  </sheetData>
  <autoFilter ref="A5:J10"/>
  <mergeCells count="2">
    <mergeCell ref="A1:J2"/>
    <mergeCell ref="A3:J3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FF4B35"/>
    <outlinePr summaryBelow="1" summaryRight="1"/>
    <pageSetUpPr fitToPage="1"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36" customWidth="1" min="11" max="11"/>
    <col width="42" customWidth="1" min="12" max="12"/>
  </cols>
  <sheetData>
    <row r="1" ht="26" customHeight="1">
      <c r="A1" s="1" t="inlineStr">
        <is>
          <t>Matriz de integração entre vertentes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A mesma evidência pode servir a várias visões, mas a regra financeira é única e deduplicada.</t>
        </is>
      </c>
    </row>
    <row r="5" ht="34" customHeight="1">
      <c r="A5" s="44" t="inlineStr">
        <is>
          <t>Família de indicador</t>
        </is>
      </c>
      <c r="B5" s="44" t="inlineStr">
        <is>
          <t>Pessoas</t>
        </is>
      </c>
      <c r="C5" s="44" t="inlineStr">
        <is>
          <t>Empresas / RH</t>
        </is>
      </c>
      <c r="D5" s="44" t="inlineStr">
        <is>
          <t>Compras</t>
        </is>
      </c>
      <c r="E5" s="44" t="inlineStr">
        <is>
          <t>Entidades</t>
        </is>
      </c>
      <c r="F5" s="44" t="inlineStr">
        <is>
          <t>Marketing</t>
        </is>
      </c>
      <c r="G5" s="44" t="inlineStr">
        <is>
          <t>Produto</t>
        </is>
      </c>
      <c r="H5" s="44" t="inlineStr">
        <is>
          <t>Financeiro</t>
        </is>
      </c>
      <c r="I5" s="44" t="inlineStr">
        <is>
          <t>Dados / IA</t>
        </is>
      </c>
      <c r="J5" s="44" t="inlineStr">
        <is>
          <t>Nó central</t>
        </is>
      </c>
      <c r="K5" s="44" t="inlineStr">
        <is>
          <t>Output compartilhado</t>
        </is>
      </c>
      <c r="L5" s="44" t="inlineStr">
        <is>
          <t>Risco de dupla contagem</t>
        </is>
      </c>
    </row>
    <row r="6" ht="48" customHeight="1">
      <c r="A6" s="6" t="inlineStr">
        <is>
          <t>Prontidão e capacidades</t>
        </is>
      </c>
      <c r="B6" s="70" t="inlineStr">
        <is>
          <t>●</t>
        </is>
      </c>
      <c r="C6" s="70" t="inlineStr">
        <is>
          <t>●</t>
        </is>
      </c>
      <c r="D6" s="71" t="inlineStr">
        <is>
          <t>○</t>
        </is>
      </c>
      <c r="E6" s="70" t="inlineStr">
        <is>
          <t>●</t>
        </is>
      </c>
      <c r="F6" s="71" t="inlineStr">
        <is>
          <t>○</t>
        </is>
      </c>
      <c r="G6" s="70" t="inlineStr">
        <is>
          <t>●</t>
        </is>
      </c>
      <c r="H6" s="71" t="inlineStr">
        <is>
          <t>○</t>
        </is>
      </c>
      <c r="I6" s="70" t="inlineStr">
        <is>
          <t>●</t>
        </is>
      </c>
      <c r="J6" s="6" t="inlineStr">
        <is>
          <t>Competência</t>
        </is>
      </c>
      <c r="K6" s="6" t="inlineStr">
        <is>
          <t>gap e recomendação</t>
        </is>
      </c>
      <c r="L6" s="6" t="inlineStr">
        <is>
          <t>usar uma única evolução por pessoa-período</t>
        </is>
      </c>
    </row>
    <row r="7" ht="48" customHeight="1">
      <c r="A7" s="7" t="inlineStr">
        <is>
          <t>Matching e oportunidades</t>
        </is>
      </c>
      <c r="B7" s="72" t="inlineStr">
        <is>
          <t>●</t>
        </is>
      </c>
      <c r="C7" s="72" t="inlineStr">
        <is>
          <t>●</t>
        </is>
      </c>
      <c r="D7" s="72" t="inlineStr">
        <is>
          <t>●</t>
        </is>
      </c>
      <c r="E7" s="72" t="inlineStr">
        <is>
          <t>●</t>
        </is>
      </c>
      <c r="F7" s="73" t="inlineStr">
        <is>
          <t>○</t>
        </is>
      </c>
      <c r="G7" s="72" t="inlineStr">
        <is>
          <t>●</t>
        </is>
      </c>
      <c r="H7" s="73" t="inlineStr">
        <is>
          <t>○</t>
        </is>
      </c>
      <c r="I7" s="72" t="inlineStr">
        <is>
          <t>●</t>
        </is>
      </c>
      <c r="J7" s="7" t="inlineStr">
        <is>
          <t>Match</t>
        </is>
      </c>
      <c r="K7" s="7" t="inlineStr">
        <is>
          <t>fit, ciclo e conversão</t>
        </is>
      </c>
      <c r="L7" s="7" t="inlineStr">
        <is>
          <t>uma origem principal por contrato</t>
        </is>
      </c>
    </row>
    <row r="8" ht="48" customHeight="1">
      <c r="A8" s="6" t="inlineStr">
        <is>
          <t>Jornadas e desenvolvimento</t>
        </is>
      </c>
      <c r="B8" s="70" t="inlineStr">
        <is>
          <t>●</t>
        </is>
      </c>
      <c r="C8" s="70" t="inlineStr">
        <is>
          <t>●</t>
        </is>
      </c>
      <c r="D8" s="71" t="inlineStr">
        <is>
          <t>○</t>
        </is>
      </c>
      <c r="E8" s="70" t="inlineStr">
        <is>
          <t>●</t>
        </is>
      </c>
      <c r="F8" s="71" t="inlineStr">
        <is>
          <t>○</t>
        </is>
      </c>
      <c r="G8" s="70" t="inlineStr">
        <is>
          <t>●</t>
        </is>
      </c>
      <c r="H8" s="71" t="inlineStr">
        <is>
          <t>○</t>
        </is>
      </c>
      <c r="I8" s="70" t="inlineStr">
        <is>
          <t>●</t>
        </is>
      </c>
      <c r="J8" s="6" t="inlineStr">
        <is>
          <t>Jornada</t>
        </is>
      </c>
      <c r="K8" s="6" t="inlineStr">
        <is>
          <t>dose, conclusão e outcome</t>
        </is>
      </c>
      <c r="L8" s="6" t="inlineStr">
        <is>
          <t>não somar conclusão como benefício</t>
        </is>
      </c>
    </row>
    <row r="9" ht="48" customHeight="1">
      <c r="A9" s="7" t="inlineStr">
        <is>
          <t>Produtividade</t>
        </is>
      </c>
      <c r="B9" s="72" t="inlineStr">
        <is>
          <t>●</t>
        </is>
      </c>
      <c r="C9" s="72" t="inlineStr">
        <is>
          <t>●</t>
        </is>
      </c>
      <c r="D9" s="73" t="inlineStr">
        <is>
          <t>○</t>
        </is>
      </c>
      <c r="E9" s="72" t="inlineStr">
        <is>
          <t>●</t>
        </is>
      </c>
      <c r="F9" s="73" t="inlineStr">
        <is>
          <t>○</t>
        </is>
      </c>
      <c r="G9" s="73" t="inlineStr">
        <is>
          <t>○</t>
        </is>
      </c>
      <c r="H9" s="72" t="inlineStr">
        <is>
          <t>●</t>
        </is>
      </c>
      <c r="I9" s="72" t="inlineStr">
        <is>
          <t>●</t>
        </is>
      </c>
      <c r="J9" s="7" t="inlineStr">
        <is>
          <t>Indicador de negócio</t>
        </is>
      </c>
      <c r="K9" s="7" t="inlineStr">
        <is>
          <t>ganho monetizado</t>
        </is>
      </c>
      <c r="L9" s="7" t="inlineStr">
        <is>
          <t>não somar horas e output sobrepostos</t>
        </is>
      </c>
    </row>
    <row r="10" ht="48" customHeight="1">
      <c r="A10" s="6" t="inlineStr">
        <is>
          <t>Retenção</t>
        </is>
      </c>
      <c r="B10" s="70" t="inlineStr">
        <is>
          <t>●</t>
        </is>
      </c>
      <c r="C10" s="70" t="inlineStr">
        <is>
          <t>●</t>
        </is>
      </c>
      <c r="D10" s="71" t="inlineStr">
        <is>
          <t>○</t>
        </is>
      </c>
      <c r="E10" s="70" t="inlineStr">
        <is>
          <t>●</t>
        </is>
      </c>
      <c r="F10" s="71" t="inlineStr">
        <is>
          <t>○</t>
        </is>
      </c>
      <c r="G10" s="70" t="inlineStr">
        <is>
          <t>●</t>
        </is>
      </c>
      <c r="H10" s="70" t="inlineStr">
        <is>
          <t>●</t>
        </is>
      </c>
      <c r="I10" s="70" t="inlineStr">
        <is>
          <t>●</t>
        </is>
      </c>
      <c r="J10" s="6" t="inlineStr">
        <is>
          <t>Vínculo</t>
        </is>
      </c>
      <c r="K10" s="6" t="inlineStr">
        <is>
          <t>turnover evitado</t>
        </is>
      </c>
      <c r="L10" s="6" t="inlineStr">
        <is>
          <t>uma saída evitada por pessoa</t>
        </is>
      </c>
    </row>
    <row r="11" ht="48" customHeight="1">
      <c r="A11" s="7" t="inlineStr">
        <is>
          <t>Compras e fornecedores</t>
        </is>
      </c>
      <c r="B11" s="73" t="inlineStr">
        <is>
          <t>○</t>
        </is>
      </c>
      <c r="C11" s="72" t="inlineStr">
        <is>
          <t>●</t>
        </is>
      </c>
      <c r="D11" s="72" t="inlineStr">
        <is>
          <t>●</t>
        </is>
      </c>
      <c r="E11" s="72" t="inlineStr">
        <is>
          <t>●</t>
        </is>
      </c>
      <c r="F11" s="73" t="inlineStr">
        <is>
          <t>○</t>
        </is>
      </c>
      <c r="G11" s="72" t="inlineStr">
        <is>
          <t>●</t>
        </is>
      </c>
      <c r="H11" s="72" t="inlineStr">
        <is>
          <t>●</t>
        </is>
      </c>
      <c r="I11" s="72" t="inlineStr">
        <is>
          <t>●</t>
        </is>
      </c>
      <c r="J11" s="7" t="inlineStr">
        <is>
          <t>Fornecedor / contrato</t>
        </is>
      </c>
      <c r="K11" s="7" t="inlineStr">
        <is>
          <t>saving, ciclo, risco</t>
        </is>
      </c>
      <c r="L11" s="7" t="inlineStr">
        <is>
          <t>separar saving de custo operacional</t>
        </is>
      </c>
    </row>
    <row r="12" ht="48" customHeight="1">
      <c r="A12" s="6" t="inlineStr">
        <is>
          <t>Marketing e pipeline</t>
        </is>
      </c>
      <c r="B12" s="71" t="inlineStr">
        <is>
          <t>○</t>
        </is>
      </c>
      <c r="C12" s="70" t="inlineStr">
        <is>
          <t>●</t>
        </is>
      </c>
      <c r="D12" s="71" t="inlineStr">
        <is>
          <t>○</t>
        </is>
      </c>
      <c r="E12" s="70" t="inlineStr">
        <is>
          <t>●</t>
        </is>
      </c>
      <c r="F12" s="70" t="inlineStr">
        <is>
          <t>●</t>
        </is>
      </c>
      <c r="G12" s="70" t="inlineStr">
        <is>
          <t>●</t>
        </is>
      </c>
      <c r="H12" s="70" t="inlineStr">
        <is>
          <t>●</t>
        </is>
      </c>
      <c r="I12" s="70" t="inlineStr">
        <is>
          <t>●</t>
        </is>
      </c>
      <c r="J12" s="6" t="inlineStr">
        <is>
          <t>Campanha / oportunidade</t>
        </is>
      </c>
      <c r="K12" s="6" t="inlineStr">
        <is>
          <t>pipeline e margem</t>
        </is>
      </c>
      <c r="L12" s="6" t="inlineStr">
        <is>
          <t>não somar pipeline e receita</t>
        </is>
      </c>
    </row>
    <row r="13" ht="48" customHeight="1">
      <c r="A13" s="7" t="inlineStr">
        <is>
          <t>Entidade e associados</t>
        </is>
      </c>
      <c r="B13" s="73" t="inlineStr">
        <is>
          <t>○</t>
        </is>
      </c>
      <c r="C13" s="72" t="inlineStr">
        <is>
          <t>●</t>
        </is>
      </c>
      <c r="D13" s="72" t="inlineStr">
        <is>
          <t>●</t>
        </is>
      </c>
      <c r="E13" s="72" t="inlineStr">
        <is>
          <t>●</t>
        </is>
      </c>
      <c r="F13" s="72" t="inlineStr">
        <is>
          <t>●</t>
        </is>
      </c>
      <c r="G13" s="72" t="inlineStr">
        <is>
          <t>●</t>
        </is>
      </c>
      <c r="H13" s="72" t="inlineStr">
        <is>
          <t>●</t>
        </is>
      </c>
      <c r="I13" s="72" t="inlineStr">
        <is>
          <t>●</t>
        </is>
      </c>
      <c r="J13" s="7" t="inlineStr">
        <is>
          <t>Entidade / vínculo</t>
        </is>
      </c>
      <c r="K13" s="7" t="inlineStr">
        <is>
          <t>ativação, renovação, valor</t>
        </is>
      </c>
      <c r="L13" s="7" t="inlineStr">
        <is>
          <t>separar valor do associado e receita da entidade</t>
        </is>
      </c>
    </row>
    <row r="14" ht="48" customHeight="1">
      <c r="A14" s="6" t="inlineStr">
        <is>
          <t>Risco</t>
        </is>
      </c>
      <c r="B14" s="70" t="inlineStr">
        <is>
          <t>●</t>
        </is>
      </c>
      <c r="C14" s="70" t="inlineStr">
        <is>
          <t>●</t>
        </is>
      </c>
      <c r="D14" s="70" t="inlineStr">
        <is>
          <t>●</t>
        </is>
      </c>
      <c r="E14" s="70" t="inlineStr">
        <is>
          <t>●</t>
        </is>
      </c>
      <c r="F14" s="71" t="inlineStr">
        <is>
          <t>○</t>
        </is>
      </c>
      <c r="G14" s="70" t="inlineStr">
        <is>
          <t>●</t>
        </is>
      </c>
      <c r="H14" s="70" t="inlineStr">
        <is>
          <t>●</t>
        </is>
      </c>
      <c r="I14" s="70" t="inlineStr">
        <is>
          <t>●</t>
        </is>
      </c>
      <c r="J14" s="6" t="inlineStr">
        <is>
          <t>Risco / controle</t>
        </is>
      </c>
      <c r="K14" s="6" t="inlineStr">
        <is>
          <t>perda esperada evitada</t>
        </is>
      </c>
      <c r="L14" s="6" t="inlineStr">
        <is>
          <t>não somar risco esperado e perda real</t>
        </is>
      </c>
    </row>
    <row r="15" ht="48" customHeight="1">
      <c r="A15" s="7" t="inlineStr">
        <is>
          <t>Receita recorrente HUB</t>
        </is>
      </c>
      <c r="B15" s="73" t="inlineStr">
        <is>
          <t>○</t>
        </is>
      </c>
      <c r="C15" s="73" t="inlineStr">
        <is>
          <t>○</t>
        </is>
      </c>
      <c r="D15" s="73" t="inlineStr">
        <is>
          <t>○</t>
        </is>
      </c>
      <c r="E15" s="72" t="inlineStr">
        <is>
          <t>●</t>
        </is>
      </c>
      <c r="F15" s="72" t="inlineStr">
        <is>
          <t>●</t>
        </is>
      </c>
      <c r="G15" s="72" t="inlineStr">
        <is>
          <t>●</t>
        </is>
      </c>
      <c r="H15" s="72" t="inlineStr">
        <is>
          <t>●</t>
        </is>
      </c>
      <c r="I15" s="73" t="inlineStr">
        <is>
          <t>○</t>
        </is>
      </c>
      <c r="J15" s="7" t="inlineStr">
        <is>
          <t>Contrato / transação</t>
        </is>
      </c>
      <c r="K15" s="7" t="inlineStr">
        <is>
          <t>MRR, ARR, NRR</t>
        </is>
      </c>
      <c r="L15" s="7" t="inlineStr">
        <is>
          <t>não somar MRR e ARR</t>
        </is>
      </c>
    </row>
    <row r="16" ht="48" customHeight="1">
      <c r="A16" s="6" t="inlineStr">
        <is>
          <t>Impacto financeiro cliente</t>
        </is>
      </c>
      <c r="B16" s="71" t="inlineStr">
        <is>
          <t>○</t>
        </is>
      </c>
      <c r="C16" s="70" t="inlineStr">
        <is>
          <t>●</t>
        </is>
      </c>
      <c r="D16" s="70" t="inlineStr">
        <is>
          <t>●</t>
        </is>
      </c>
      <c r="E16" s="70" t="inlineStr">
        <is>
          <t>●</t>
        </is>
      </c>
      <c r="F16" s="70" t="inlineStr">
        <is>
          <t>●</t>
        </is>
      </c>
      <c r="G16" s="71" t="inlineStr">
        <is>
          <t>○</t>
        </is>
      </c>
      <c r="H16" s="70" t="inlineStr">
        <is>
          <t>●</t>
        </is>
      </c>
      <c r="I16" s="70" t="inlineStr">
        <is>
          <t>●</t>
        </is>
      </c>
      <c r="J16" s="6" t="inlineStr">
        <is>
          <t>Valor financeiro</t>
        </is>
      </c>
      <c r="K16" s="6" t="inlineStr">
        <is>
          <t>ROI e payback</t>
        </is>
      </c>
      <c r="L16" s="6" t="inlineStr">
        <is>
          <t>deduplicação por alavanca e período</t>
        </is>
      </c>
    </row>
    <row r="17" ht="48" customHeight="1">
      <c r="A17" s="7" t="inlineStr">
        <is>
          <t>Qualidade e confiança</t>
        </is>
      </c>
      <c r="B17" s="72" t="inlineStr">
        <is>
          <t>●</t>
        </is>
      </c>
      <c r="C17" s="72" t="inlineStr">
        <is>
          <t>●</t>
        </is>
      </c>
      <c r="D17" s="72" t="inlineStr">
        <is>
          <t>●</t>
        </is>
      </c>
      <c r="E17" s="72" t="inlineStr">
        <is>
          <t>●</t>
        </is>
      </c>
      <c r="F17" s="72" t="inlineStr">
        <is>
          <t>●</t>
        </is>
      </c>
      <c r="G17" s="72" t="inlineStr">
        <is>
          <t>●</t>
        </is>
      </c>
      <c r="H17" s="72" t="inlineStr">
        <is>
          <t>●</t>
        </is>
      </c>
      <c r="I17" s="72" t="inlineStr">
        <is>
          <t>●</t>
        </is>
      </c>
      <c r="J17" s="7" t="inlineStr">
        <is>
          <t>Consentimento / modelo</t>
        </is>
      </c>
      <c r="K17" s="7" t="inlineStr">
        <is>
          <t>score de confiança</t>
        </is>
      </c>
      <c r="L17" s="7" t="inlineStr">
        <is>
          <t>não monetizar qualidade isoladamente</t>
        </is>
      </c>
    </row>
  </sheetData>
  <autoFilter ref="A5:L17"/>
  <mergeCells count="2">
    <mergeCell ref="A3:L3"/>
    <mergeCell ref="A1:L2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041C35"/>
    <outlinePr summaryBelow="1" summaryRight="1"/>
    <pageSetUpPr fitToPage="1"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2" customWidth="1" min="7" max="7"/>
    <col width="22" customWidth="1" min="8" max="8"/>
    <col width="22" customWidth="1" min="9" max="9"/>
    <col width="20" customWidth="1" min="10" max="10"/>
    <col width="16" customWidth="1" min="11" max="11"/>
    <col width="42" customWidth="1" min="12" max="12"/>
  </cols>
  <sheetData>
    <row r="1" ht="26" customHeight="1">
      <c r="A1" s="1" t="inlineStr">
        <is>
          <t>RACI de dados, métricas e valor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R = executa | A = responde pelo resultado | C = consultado | I = informado.</t>
        </is>
      </c>
    </row>
    <row r="5" ht="34" customHeight="1">
      <c r="A5" s="44" t="inlineStr">
        <is>
          <t>Atividade</t>
        </is>
      </c>
      <c r="B5" s="44" t="inlineStr">
        <is>
          <t>CEO HUB</t>
        </is>
      </c>
      <c r="C5" s="44" t="inlineStr">
        <is>
          <t>Produto</t>
        </is>
      </c>
      <c r="D5" s="44" t="inlineStr">
        <is>
          <t>Data Eng.</t>
        </is>
      </c>
      <c r="E5" s="44" t="inlineStr">
        <is>
          <t>Data Science</t>
        </is>
      </c>
      <c r="F5" s="44" t="inlineStr">
        <is>
          <t>Financeiro HUB</t>
        </is>
      </c>
      <c r="G5" s="44" t="inlineStr">
        <is>
          <t>Cliente / patrocinador</t>
        </is>
      </c>
      <c r="H5" s="44" t="inlineStr">
        <is>
          <t>Owner do processo</t>
        </is>
      </c>
      <c r="I5" s="44" t="inlineStr">
        <is>
          <t>Controladoria cliente</t>
        </is>
      </c>
      <c r="J5" s="44" t="inlineStr">
        <is>
          <t>DPO / Segurança</t>
        </is>
      </c>
      <c r="K5" s="44" t="inlineStr">
        <is>
          <t>Entidade</t>
        </is>
      </c>
      <c r="L5" s="44" t="inlineStr">
        <is>
          <t>Observação</t>
        </is>
      </c>
    </row>
    <row r="6" ht="48" customHeight="1">
      <c r="A6" s="6" t="inlineStr">
        <is>
          <t>Definir objetivo e decisão</t>
        </is>
      </c>
      <c r="B6" s="6" t="inlineStr">
        <is>
          <t>A</t>
        </is>
      </c>
      <c r="C6" s="6" t="inlineStr">
        <is>
          <t>C</t>
        </is>
      </c>
      <c r="D6" s="6" t="inlineStr">
        <is>
          <t>I</t>
        </is>
      </c>
      <c r="E6" s="6" t="inlineStr">
        <is>
          <t>C</t>
        </is>
      </c>
      <c r="F6" s="6" t="inlineStr">
        <is>
          <t>C</t>
        </is>
      </c>
      <c r="G6" s="6" t="inlineStr">
        <is>
          <t>A</t>
        </is>
      </c>
      <c r="H6" s="6" t="inlineStr">
        <is>
          <t>R</t>
        </is>
      </c>
      <c r="I6" s="6" t="inlineStr">
        <is>
          <t>C</t>
        </is>
      </c>
      <c r="J6" s="6" t="inlineStr">
        <is>
          <t>I</t>
        </is>
      </c>
      <c r="K6" s="6" t="inlineStr">
        <is>
          <t>C</t>
        </is>
      </c>
      <c r="L6" s="6" t="inlineStr">
        <is>
          <t>Começar pela decisão, não pelo dashboard</t>
        </is>
      </c>
    </row>
    <row r="7" ht="48" customHeight="1">
      <c r="A7" s="7" t="inlineStr">
        <is>
          <t>Definir indicador e fórmula</t>
        </is>
      </c>
      <c r="B7" s="7" t="inlineStr">
        <is>
          <t>I</t>
        </is>
      </c>
      <c r="C7" s="7" t="inlineStr">
        <is>
          <t>C</t>
        </is>
      </c>
      <c r="D7" s="7" t="inlineStr">
        <is>
          <t>C</t>
        </is>
      </c>
      <c r="E7" s="7" t="inlineStr">
        <is>
          <t>C</t>
        </is>
      </c>
      <c r="F7" s="7" t="inlineStr">
        <is>
          <t>C</t>
        </is>
      </c>
      <c r="G7" s="7" t="inlineStr">
        <is>
          <t>A</t>
        </is>
      </c>
      <c r="H7" s="7" t="inlineStr">
        <is>
          <t>R</t>
        </is>
      </c>
      <c r="I7" s="7" t="inlineStr">
        <is>
          <t>C</t>
        </is>
      </c>
      <c r="J7" s="7" t="inlineStr">
        <is>
          <t>C</t>
        </is>
      </c>
      <c r="K7" s="7" t="inlineStr">
        <is>
          <t>C</t>
        </is>
      </c>
      <c r="L7" s="7" t="inlineStr">
        <is>
          <t>Owner de negócio aprova semântica</t>
        </is>
      </c>
    </row>
    <row r="8" ht="48" customHeight="1">
      <c r="A8" s="6" t="inlineStr">
        <is>
          <t>Instrumentar eventos</t>
        </is>
      </c>
      <c r="B8" s="6" t="inlineStr">
        <is>
          <t>I</t>
        </is>
      </c>
      <c r="C8" s="6" t="inlineStr">
        <is>
          <t>A/R</t>
        </is>
      </c>
      <c r="D8" s="6" t="inlineStr">
        <is>
          <t>R</t>
        </is>
      </c>
      <c r="E8" s="6" t="inlineStr">
        <is>
          <t>C</t>
        </is>
      </c>
      <c r="F8" s="6" t="inlineStr">
        <is>
          <t>I</t>
        </is>
      </c>
      <c r="G8" s="6" t="inlineStr">
        <is>
          <t>I</t>
        </is>
      </c>
      <c r="H8" s="6" t="inlineStr">
        <is>
          <t>C</t>
        </is>
      </c>
      <c r="I8" s="6" t="inlineStr">
        <is>
          <t>I</t>
        </is>
      </c>
      <c r="J8" s="6" t="inlineStr">
        <is>
          <t>C</t>
        </is>
      </c>
      <c r="K8" s="6" t="inlineStr">
        <is>
          <t>I</t>
        </is>
      </c>
      <c r="L8" s="6" t="inlineStr">
        <is>
          <t>Contrato de dados versionado</t>
        </is>
      </c>
    </row>
    <row r="9" ht="48" customHeight="1">
      <c r="A9" s="7" t="inlineStr">
        <is>
          <t>Integrar fontes</t>
        </is>
      </c>
      <c r="B9" s="7" t="inlineStr">
        <is>
          <t>I</t>
        </is>
      </c>
      <c r="C9" s="7" t="inlineStr">
        <is>
          <t>C</t>
        </is>
      </c>
      <c r="D9" s="7" t="inlineStr">
        <is>
          <t>A/R</t>
        </is>
      </c>
      <c r="E9" s="7" t="inlineStr">
        <is>
          <t>C</t>
        </is>
      </c>
      <c r="F9" s="7" t="inlineStr">
        <is>
          <t>I</t>
        </is>
      </c>
      <c r="G9" s="7" t="inlineStr">
        <is>
          <t>C</t>
        </is>
      </c>
      <c r="H9" s="7" t="inlineStr">
        <is>
          <t>C</t>
        </is>
      </c>
      <c r="I9" s="7" t="inlineStr">
        <is>
          <t>I</t>
        </is>
      </c>
      <c r="J9" s="7" t="inlineStr">
        <is>
          <t>C</t>
        </is>
      </c>
      <c r="K9" s="7" t="inlineStr">
        <is>
          <t>C</t>
        </is>
      </c>
      <c r="L9" s="7" t="inlineStr">
        <is>
          <t>SLA e linhagem obrigatórios</t>
        </is>
      </c>
    </row>
    <row r="10" ht="48" customHeight="1">
      <c r="A10" s="6" t="inlineStr">
        <is>
          <t>Garantir consentimento e acesso</t>
        </is>
      </c>
      <c r="B10" s="6" t="inlineStr">
        <is>
          <t>I</t>
        </is>
      </c>
      <c r="C10" s="6" t="inlineStr">
        <is>
          <t>C</t>
        </is>
      </c>
      <c r="D10" s="6" t="inlineStr">
        <is>
          <t>R</t>
        </is>
      </c>
      <c r="E10" s="6" t="inlineStr">
        <is>
          <t>C</t>
        </is>
      </c>
      <c r="F10" s="6" t="inlineStr">
        <is>
          <t>I</t>
        </is>
      </c>
      <c r="G10" s="6" t="inlineStr">
        <is>
          <t>C</t>
        </is>
      </c>
      <c r="H10" s="6" t="inlineStr">
        <is>
          <t>I</t>
        </is>
      </c>
      <c r="I10" s="6" t="inlineStr">
        <is>
          <t>I</t>
        </is>
      </c>
      <c r="J10" s="6" t="inlineStr">
        <is>
          <t>A/R</t>
        </is>
      </c>
      <c r="K10" s="6" t="inlineStr">
        <is>
          <t>I</t>
        </is>
      </c>
      <c r="L10" s="6" t="inlineStr">
        <is>
          <t>Gate de privacidade</t>
        </is>
      </c>
    </row>
    <row r="11" ht="48" customHeight="1">
      <c r="A11" s="7" t="inlineStr">
        <is>
          <t>Certificar qualidade</t>
        </is>
      </c>
      <c r="B11" s="7" t="inlineStr">
        <is>
          <t>I</t>
        </is>
      </c>
      <c r="C11" s="7" t="inlineStr">
        <is>
          <t>C</t>
        </is>
      </c>
      <c r="D11" s="7" t="inlineStr">
        <is>
          <t>A/R</t>
        </is>
      </c>
      <c r="E11" s="7" t="inlineStr">
        <is>
          <t>C</t>
        </is>
      </c>
      <c r="F11" s="7" t="inlineStr">
        <is>
          <t>I</t>
        </is>
      </c>
      <c r="G11" s="7" t="inlineStr">
        <is>
          <t>C</t>
        </is>
      </c>
      <c r="H11" s="7" t="inlineStr">
        <is>
          <t>C</t>
        </is>
      </c>
      <c r="I11" s="7" t="inlineStr">
        <is>
          <t>I</t>
        </is>
      </c>
      <c r="J11" s="7" t="inlineStr">
        <is>
          <t>C</t>
        </is>
      </c>
      <c r="K11" s="7" t="inlineStr">
        <is>
          <t>I</t>
        </is>
      </c>
      <c r="L11" s="7" t="inlineStr">
        <is>
          <t>Quality gate antes da publicação</t>
        </is>
      </c>
    </row>
    <row r="12" ht="48" customHeight="1">
      <c r="A12" s="6" t="inlineStr">
        <is>
          <t>Definir baseline e cohort</t>
        </is>
      </c>
      <c r="B12" s="6" t="inlineStr">
        <is>
          <t>I</t>
        </is>
      </c>
      <c r="C12" s="6" t="inlineStr">
        <is>
          <t>C</t>
        </is>
      </c>
      <c r="D12" s="6" t="inlineStr">
        <is>
          <t>C</t>
        </is>
      </c>
      <c r="E12" s="6" t="inlineStr">
        <is>
          <t>A/R</t>
        </is>
      </c>
      <c r="F12" s="6" t="inlineStr">
        <is>
          <t>C</t>
        </is>
      </c>
      <c r="G12" s="6" t="inlineStr">
        <is>
          <t>A</t>
        </is>
      </c>
      <c r="H12" s="6" t="inlineStr">
        <is>
          <t>C</t>
        </is>
      </c>
      <c r="I12" s="6" t="inlineStr">
        <is>
          <t>C</t>
        </is>
      </c>
      <c r="J12" s="6" t="inlineStr">
        <is>
          <t>C</t>
        </is>
      </c>
      <c r="K12" s="6" t="inlineStr">
        <is>
          <t>I</t>
        </is>
      </c>
      <c r="L12" s="6" t="inlineStr">
        <is>
          <t>Antes da intervenção</t>
        </is>
      </c>
    </row>
    <row r="13" ht="48" customHeight="1">
      <c r="A13" s="7" t="inlineStr">
        <is>
          <t>Calcular efeito</t>
        </is>
      </c>
      <c r="B13" s="7" t="inlineStr">
        <is>
          <t>I</t>
        </is>
      </c>
      <c r="C13" s="7" t="inlineStr">
        <is>
          <t>I</t>
        </is>
      </c>
      <c r="D13" s="7" t="inlineStr">
        <is>
          <t>C</t>
        </is>
      </c>
      <c r="E13" s="7" t="inlineStr">
        <is>
          <t>A/R</t>
        </is>
      </c>
      <c r="F13" s="7" t="inlineStr">
        <is>
          <t>C</t>
        </is>
      </c>
      <c r="G13" s="7" t="inlineStr">
        <is>
          <t>C</t>
        </is>
      </c>
      <c r="H13" s="7" t="inlineStr">
        <is>
          <t>C</t>
        </is>
      </c>
      <c r="I13" s="7" t="inlineStr">
        <is>
          <t>C</t>
        </is>
      </c>
      <c r="J13" s="7" t="inlineStr">
        <is>
          <t>I</t>
        </is>
      </c>
      <c r="K13" s="7" t="inlineStr">
        <is>
          <t>I</t>
        </is>
      </c>
      <c r="L13" s="7" t="inlineStr">
        <is>
          <t>Método e incerteza registrados</t>
        </is>
      </c>
    </row>
    <row r="14" ht="48" customHeight="1">
      <c r="A14" s="6" t="inlineStr">
        <is>
          <t>Monetizar benefício</t>
        </is>
      </c>
      <c r="B14" s="6" t="inlineStr">
        <is>
          <t>I</t>
        </is>
      </c>
      <c r="C14" s="6" t="inlineStr">
        <is>
          <t>I</t>
        </is>
      </c>
      <c r="D14" s="6" t="inlineStr">
        <is>
          <t>C</t>
        </is>
      </c>
      <c r="E14" s="6" t="inlineStr">
        <is>
          <t>C</t>
        </is>
      </c>
      <c r="F14" s="6" t="inlineStr">
        <is>
          <t>A/R</t>
        </is>
      </c>
      <c r="G14" s="6" t="inlineStr">
        <is>
          <t>C</t>
        </is>
      </c>
      <c r="H14" s="6" t="inlineStr">
        <is>
          <t>C</t>
        </is>
      </c>
      <c r="I14" s="6" t="inlineStr">
        <is>
          <t>A</t>
        </is>
      </c>
      <c r="J14" s="6" t="inlineStr">
        <is>
          <t>I</t>
        </is>
      </c>
      <c r="K14" s="6" t="inlineStr">
        <is>
          <t>I</t>
        </is>
      </c>
      <c r="L14" s="6" t="inlineStr">
        <is>
          <t>Conversão financeira transparente</t>
        </is>
      </c>
    </row>
    <row r="15" ht="48" customHeight="1">
      <c r="A15" s="7" t="inlineStr">
        <is>
          <t>Aprovar benefício</t>
        </is>
      </c>
      <c r="B15" s="7" t="inlineStr">
        <is>
          <t>I</t>
        </is>
      </c>
      <c r="C15" s="7" t="inlineStr">
        <is>
          <t>I</t>
        </is>
      </c>
      <c r="D15" s="7" t="inlineStr">
        <is>
          <t>I</t>
        </is>
      </c>
      <c r="E15" s="7" t="inlineStr">
        <is>
          <t>C</t>
        </is>
      </c>
      <c r="F15" s="7" t="inlineStr">
        <is>
          <t>R</t>
        </is>
      </c>
      <c r="G15" s="7" t="inlineStr">
        <is>
          <t>A</t>
        </is>
      </c>
      <c r="H15" s="7" t="inlineStr">
        <is>
          <t>C</t>
        </is>
      </c>
      <c r="I15" s="7" t="inlineStr">
        <is>
          <t>A/R</t>
        </is>
      </c>
      <c r="J15" s="7" t="inlineStr">
        <is>
          <t>I</t>
        </is>
      </c>
      <c r="K15" s="7" t="inlineStr">
        <is>
          <t>I</t>
        </is>
      </c>
      <c r="L15" s="7" t="inlineStr">
        <is>
          <t>Sign-off do cliente</t>
        </is>
      </c>
    </row>
    <row r="16" ht="48" customHeight="1">
      <c r="A16" s="6" t="inlineStr">
        <is>
          <t>Publicar dashboard</t>
        </is>
      </c>
      <c r="B16" s="6" t="inlineStr">
        <is>
          <t>I</t>
        </is>
      </c>
      <c r="C16" s="6" t="inlineStr">
        <is>
          <t>A</t>
        </is>
      </c>
      <c r="D16" s="6" t="inlineStr">
        <is>
          <t>R</t>
        </is>
      </c>
      <c r="E16" s="6" t="inlineStr">
        <is>
          <t>C</t>
        </is>
      </c>
      <c r="F16" s="6" t="inlineStr">
        <is>
          <t>C</t>
        </is>
      </c>
      <c r="G16" s="6" t="inlineStr">
        <is>
          <t>C</t>
        </is>
      </c>
      <c r="H16" s="6" t="inlineStr">
        <is>
          <t>C</t>
        </is>
      </c>
      <c r="I16" s="6" t="inlineStr">
        <is>
          <t>I</t>
        </is>
      </c>
      <c r="J16" s="6" t="inlineStr">
        <is>
          <t>C</t>
        </is>
      </c>
      <c r="K16" s="6" t="inlineStr">
        <is>
          <t>I</t>
        </is>
      </c>
      <c r="L16" s="6" t="inlineStr">
        <is>
          <t>Somente métrica certificada</t>
        </is>
      </c>
    </row>
    <row r="17" ht="48" customHeight="1">
      <c r="A17" s="7" t="inlineStr">
        <is>
          <t>Monitorar modelo</t>
        </is>
      </c>
      <c r="B17" s="7" t="inlineStr">
        <is>
          <t>I</t>
        </is>
      </c>
      <c r="C17" s="7" t="inlineStr">
        <is>
          <t>C</t>
        </is>
      </c>
      <c r="D17" s="7" t="inlineStr">
        <is>
          <t>C</t>
        </is>
      </c>
      <c r="E17" s="7" t="inlineStr">
        <is>
          <t>A/R</t>
        </is>
      </c>
      <c r="F17" s="7" t="inlineStr">
        <is>
          <t>I</t>
        </is>
      </c>
      <c r="G17" s="7" t="inlineStr">
        <is>
          <t>I</t>
        </is>
      </c>
      <c r="H17" s="7" t="inlineStr">
        <is>
          <t>C</t>
        </is>
      </c>
      <c r="I17" s="7" t="inlineStr">
        <is>
          <t>I</t>
        </is>
      </c>
      <c r="J17" s="7" t="inlineStr">
        <is>
          <t>A/C</t>
        </is>
      </c>
      <c r="K17" s="7" t="inlineStr">
        <is>
          <t>I</t>
        </is>
      </c>
      <c r="L17" s="7" t="inlineStr">
        <is>
          <t>Performance, fairness e drift</t>
        </is>
      </c>
    </row>
    <row r="18" ht="48" customHeight="1">
      <c r="A18" s="6" t="inlineStr">
        <is>
          <t>Decidir escala / correção</t>
        </is>
      </c>
      <c r="B18" s="6" t="inlineStr">
        <is>
          <t>A</t>
        </is>
      </c>
      <c r="C18" s="6" t="inlineStr">
        <is>
          <t>C</t>
        </is>
      </c>
      <c r="D18" s="6" t="inlineStr">
        <is>
          <t>I</t>
        </is>
      </c>
      <c r="E18" s="6" t="inlineStr">
        <is>
          <t>C</t>
        </is>
      </c>
      <c r="F18" s="6" t="inlineStr">
        <is>
          <t>C</t>
        </is>
      </c>
      <c r="G18" s="6" t="inlineStr">
        <is>
          <t>A</t>
        </is>
      </c>
      <c r="H18" s="6" t="inlineStr">
        <is>
          <t>R</t>
        </is>
      </c>
      <c r="I18" s="6" t="inlineStr">
        <is>
          <t>C</t>
        </is>
      </c>
      <c r="J18" s="6" t="inlineStr">
        <is>
          <t>I</t>
        </is>
      </c>
      <c r="K18" s="6" t="inlineStr">
        <is>
          <t>C</t>
        </is>
      </c>
      <c r="L18" s="6" t="inlineStr">
        <is>
          <t>Baseada em evidência e unit economics</t>
        </is>
      </c>
    </row>
  </sheetData>
  <autoFilter ref="A5:L18"/>
  <mergeCells count="2">
    <mergeCell ref="A3:L3"/>
    <mergeCell ref="A1:L2"/>
  </mergeCells>
  <pageMargins left="0.25" right="0.25" top="0.45" bottom="0.45" header="0.5" footer="0.5"/>
  <pageSetup orientation="landscape" fitToWidth="1"/>
  <headerFooter>
    <oddHeader/>
    <oddFooter>&amp;LArquitetura de inteligência — v1.0&amp;CHUB • Pessoas • Dados • Resultados&amp;RPágina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HUB</dc:creator>
  <dc:title xmlns:dc="http://purl.org/dc/elements/1.1/">HUB — Mapa de Inteligência de Dados e Indicadores</dc:title>
  <dc:subject xmlns:dc="http://purl.org/dc/elements/1.1/">Arquitetura de métricas, mapa neural, ROI e integração da plataforma</dc:subject>
  <dcterms:created xmlns:dcterms="http://purl.org/dc/terms/" xmlns:xsi="http://www.w3.org/2001/XMLSchema-instance" xsi:type="dcterms:W3CDTF">2026-08-17T19:53:25Z</dcterms:created>
  <dcterms:modified xmlns:dcterms="http://purl.org/dc/terms/" xmlns:xsi="http://www.w3.org/2001/XMLSchema-instance" xsi:type="dcterms:W3CDTF">2026-08-18T01:53:25Z</dcterms:modified>
</cp:coreProperties>
</file>