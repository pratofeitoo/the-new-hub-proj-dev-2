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6317f19b2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remissas" sheetId="1" r:id="Rce83a2ec91044f59"/>
    <x:sheet xmlns:r="http://schemas.openxmlformats.org/officeDocument/2006/relationships" name="02_Precificacao" sheetId="2" r:id="Rd67346e21dc141bd"/>
    <x:sheet xmlns:r="http://schemas.openxmlformats.org/officeDocument/2006/relationships" name="03_ROI_Cliente" sheetId="3" r:id="R6c4de1ab56c649aa"/>
    <x:sheet xmlns:r="http://schemas.openxmlformats.org/officeDocument/2006/relationships" name="04_Unit_Economics" sheetId="4" r:id="Ra981d9d0af3b426b"/>
    <x:sheet xmlns:r="http://schemas.openxmlformats.org/officeDocument/2006/relationships" name="05_Projecao_5_Anos" sheetId="5" r:id="Redfabea123aa428a"/>
    <x:sheet xmlns:r="http://schemas.openxmlformats.org/officeDocument/2006/relationships" name="06_Investidor" sheetId="6" r:id="R2b62d2d256cb4544"/>
    <x:sheet xmlns:r="http://schemas.openxmlformats.org/officeDocument/2006/relationships" name="07_Patrocinadores" sheetId="7" r:id="R2775daceb00b4ec5"/>
    <x:sheet xmlns:r="http://schemas.openxmlformats.org/officeDocument/2006/relationships" name="08_Fontes" sheetId="8" r:id="R05940d08807742b3"/>
    <x:sheet xmlns:r="http://schemas.openxmlformats.org/officeDocument/2006/relationships" name="00_Resumo_Executivo" sheetId="9" r:id="Rfb48b0c6a68a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R$ #,##0;[Red](R$ #,##0);-"/>
    <x:numFmt numFmtId="201" formatCode="0.0%"/>
    <x:numFmt numFmtId="202" formatCode="0.0x"/>
    <x:numFmt numFmtId="203" formatCode="0.0 &quot;meses&quot;"/>
    <x:numFmt numFmtId="204" formatCode="0.0 &quot;anos&quot;"/>
    <x:numFmt numFmtId="205" formatCode="0.0"/>
    <x:numFmt numFmtId="206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DCE6F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1A33"/>
      </x:patternFill>
    </x:fill>
    <x:fill>
      <x:patternFill patternType="solid">
        <x:fgColor rgb="FFFF4F45"/>
      </x:patternFill>
    </x:fill>
    <x:fill>
      <x:patternFill patternType="solid">
        <x:fgColor rgb="FFD9E0E7"/>
      </x:patternFill>
    </x:fill>
    <x:fill>
      <x:patternFill patternType="solid">
        <x:fgColor rgb="FF102A4C"/>
      </x:patternFill>
    </x:fill>
    <x:fill>
      <x:patternFill patternType="solid">
        <x:fgColor rgb="FF12A6A6"/>
      </x:patternFill>
    </x:fill>
    <x:fill>
      <x:patternFill patternType="solid">
        <x:fgColor rgb="FF7A3E9D"/>
      </x:patternFill>
    </x:fill>
    <x:fill>
      <x:patternFill patternType="solid">
        <x:fgColor rgb="FFF4F6F8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2" fontId="6" fillId="0" borderId="0" xfId="0" applyNumberFormat="1" applyFont="1" applyFill="1" applyBorder="1"/>
    <x:xf numFmtId="205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203" fontId="6" fillId="0" borderId="1" xfId="0" applyNumberFormat="1" applyFont="1" applyFill="1" applyBorder="1"/>
    <x:xf numFmtId="204" fontId="6" fillId="0" borderId="1" xfId="0" applyNumberFormat="1" applyFont="1" applyFill="1" applyBorder="1"/>
    <x:xf numFmtId="202" fontId="6" fillId="0" borderId="1" xfId="0" applyNumberFormat="1" applyFont="1" applyFill="1" applyBorder="1"/>
    <x:xf numFmtId="205" fontId="6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200" fontId="7" fillId="0" borderId="0" xfId="0" applyNumberFormat="1" applyFont="1" applyFill="1" applyBorder="1" applyAlignment="1">
      <x:alignment horizontal="center"/>
    </x:xf>
    <x:xf numFmtId="200" fontId="7" fillId="0" borderId="1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 applyAlignment="1">
      <x:alignment horizontal="center"/>
    </x:xf>
    <x:xf numFmtId="201" fontId="7" fillId="0" borderId="1" xfId="0" applyNumberFormat="1" applyFont="1" applyFill="1" applyBorder="1" applyAlignment="1">
      <x:alignment horizontal="center"/>
    </x:xf>
    <x:xf numFmtId="205" fontId="7" fillId="0" borderId="0" xfId="0" applyNumberFormat="1" applyFont="1" applyFill="1" applyBorder="1" applyAlignment="1">
      <x:alignment horizontal="center"/>
    </x:xf>
    <x:xf numFmtId="205" fontId="7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9a71153624401" /><Relationship Type="http://schemas.openxmlformats.org/officeDocument/2006/relationships/theme" Target="/xl/theme/theme1.xml" Id="R9336ef438be04acf" /><Relationship Type="http://schemas.openxmlformats.org/officeDocument/2006/relationships/sharedStrings" Target="/xl/sharedStrings.xml" Id="R4b5ce24a36ad419e" /><Relationship Type="http://schemas.openxmlformats.org/officeDocument/2006/relationships/worksheet" Target="/xl/worksheets/sheet1.xml" Id="Rce83a2ec91044f59" /><Relationship Type="http://schemas.openxmlformats.org/officeDocument/2006/relationships/worksheet" Target="/xl/worksheets/sheet2.xml" Id="Rd67346e21dc141bd" /><Relationship Type="http://schemas.openxmlformats.org/officeDocument/2006/relationships/worksheet" Target="/xl/worksheets/sheet3.xml" Id="R6c4de1ab56c649aa" /><Relationship Type="http://schemas.openxmlformats.org/officeDocument/2006/relationships/worksheet" Target="/xl/worksheets/sheet4.xml" Id="Ra981d9d0af3b426b" /><Relationship Type="http://schemas.openxmlformats.org/officeDocument/2006/relationships/worksheet" Target="/xl/worksheets/sheet5.xml" Id="Redfabea123aa428a" /><Relationship Type="http://schemas.openxmlformats.org/officeDocument/2006/relationships/worksheet" Target="/xl/worksheets/sheet6.xml" Id="R2b62d2d256cb4544" /><Relationship Type="http://schemas.openxmlformats.org/officeDocument/2006/relationships/worksheet" Target="/xl/worksheets/sheet7.xml" Id="R2775daceb00b4ec5" /><Relationship Type="http://schemas.openxmlformats.org/officeDocument/2006/relationships/worksheet" Target="/xl/worksheets/sheet8.xml" Id="R05940d08807742b3" /><Relationship Type="http://schemas.openxmlformats.org/officeDocument/2006/relationships/worksheet" Target="/xl/worksheets/sheet9.xml" Id="Rfb48b0c6a68a40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0da7ba18314b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projetada</a:t>
            </a:r>
          </a:p>
        </c:rich>
      </c:tx>
    </c:title>
    <c:plotArea>
      <c:lineChart>
        <c:grouping val="standard"/>
        <c:ser>
          <c:idx val="0"/>
          <c:order val="0"/>
          <c:tx>
            <c:v>Ano 2</c:v>
          </c:tx>
          <c:marker>
            <c:symbol val="none"/>
          </c:marker>
          <c:cat>
            <c:strRef>
              <c:f>'05_Projecao_5_Anos'!$B$5:$B$10</c:f>
              <c:strCache>
                <c:ptCount val="0"/>
              </c:strCache>
            </c:strRef>
          </c:cat>
          <c:val>
            <c:numRef>
              <c:f>'05_Projecao_5_Anos'!$C$5:$C$10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Ano 3</c:v>
          </c:tx>
          <c:marker>
            <c:symbol val="none"/>
          </c:marker>
          <c:cat>
            <c:strRef>
              <c:f>'05_Projecao_5_Anos'!$B$5:$B$10</c:f>
              <c:strCache>
                <c:ptCount val="0"/>
              </c:strCache>
            </c:strRef>
          </c:cat>
          <c:val>
            <c:numRef>
              <c:f>'05_Projecao_5_Anos'!$D$5:$D$10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Ano 4</c:v>
          </c:tx>
          <c:marker>
            <c:symbol val="none"/>
          </c:marker>
          <c:cat>
            <c:strRef>
              <c:f>'05_Projecao_5_Anos'!$B$5:$B$10</c:f>
              <c:strCache>
                <c:ptCount val="0"/>
              </c:strCache>
            </c:strRef>
          </c:cat>
          <c:val>
            <c:numRef>
              <c:f>'05_Projecao_5_Anos'!$E$5:$E$10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Ano 5</c:v>
          </c:tx>
          <c:marker>
            <c:symbol val="none"/>
          </c:marker>
          <c:cat>
            <c:strRef>
              <c:f>'05_Projecao_5_Anos'!$B$5:$B$10</c:f>
              <c:strCache>
                <c:ptCount val="0"/>
              </c:strCache>
            </c:strRef>
          </c:cat>
          <c:val>
            <c:numRef>
              <c:f>'05_Projecao_5_Anos'!$F$5:$F$10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0da7ba18314b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fca11f8266e422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7" hidden="0" customWidth="1"/>
    <x:col min="6" max="6" width="38" hidden="0" customWidth="1"/>
  </x:cols>
  <x:sheetData>
    <x:row r="1">
      <x:c r="A1" s="26" t="str">
        <x:v>Premissas do Modelo</x:v>
      </x:c>
      <x:c r="B1" s="27"/>
      <x:c r="C1" s="27"/>
      <x:c r="D1" s="27"/>
      <x:c r="E1" s="27"/>
      <x:c r="F1" s="27"/>
    </x:row>
    <x:row r="2">
      <x:c r="A2" s="6" t="str">
        <x:v>Azul = input editável. Valores em R$; cenário-base usado nas demais abas.</x:v>
      </x:c>
    </x:row>
    <x:row r="4">
      <x:c r="A4" s="9" t="str">
        <x:v>PREÇO E RECEITA</x:v>
      </x:c>
      <x:c r="B4" s="9" t="str"/>
      <x:c r="C4" s="9" t="str"/>
      <x:c r="D4" s="9" t="str"/>
      <x:c r="E4" s="9" t="str"/>
      <x:c r="F4" s="9" t="str"/>
    </x:row>
    <x:row r="5">
      <x:c r="A5" s="13" t="str">
        <x:v>Item</x:v>
      </x:c>
      <x:c r="B5" s="13" t="str">
        <x:v>Base</x:v>
      </x:c>
      <x:c r="C5" s="13" t="str">
        <x:v>Conservador</x:v>
      </x:c>
      <x:c r="D5" s="13" t="str">
        <x:v>Agressivo</x:v>
      </x:c>
      <x:c r="E5" s="13" t="str">
        <x:v>Unidade</x:v>
      </x:c>
      <x:c r="F5" s="13" t="str">
        <x:v>Racional</x:v>
      </x:c>
    </x:row>
    <x:row r="6">
      <x:c r="A6" t="str">
        <x:v>Fee Growth / mês</x:v>
      </x:c>
      <x:c r="B6" s="18" t="n">
        <x:v>14900</x:v>
      </x:c>
      <x:c r="C6" s="18" t="n">
        <x:v>11900</x:v>
      </x:c>
      <x:c r="D6" s="18" t="n">
        <x:v>17900</x:v>
      </x:c>
      <x:c r="E6" t="str">
        <x:v>R$/mês</x:v>
      </x:c>
      <x:c r="F6" t="str">
        <x:v>empresa média</x:v>
      </x:c>
    </x:row>
    <x:row r="7">
      <x:c r="A7" t="str">
        <x:v>Fee Enterprise / mês</x:v>
      </x:c>
      <x:c r="B7" s="18" t="n">
        <x:v>39900</x:v>
      </x:c>
      <x:c r="C7" s="18" t="n">
        <x:v>29900</x:v>
      </x:c>
      <x:c r="D7" s="18" t="n">
        <x:v>49900</x:v>
      </x:c>
      <x:c r="E7" t="str">
        <x:v>R$/mês</x:v>
      </x:c>
      <x:c r="F7" t="str">
        <x:v>grande empresa</x:v>
      </x:c>
    </x:row>
    <x:row r="8">
      <x:c r="A8" t="str">
        <x:v>Fee Ecosystem / mês</x:v>
      </x:c>
      <x:c r="B8" s="18" t="n">
        <x:v>79900</x:v>
      </x:c>
      <x:c r="C8" s="18" t="n">
        <x:v>59900</x:v>
      </x:c>
      <x:c r="D8" s="18" t="n">
        <x:v>119900</x:v>
      </x:c>
      <x:c r="E8" t="str">
        <x:v>R$/mês</x:v>
      </x:c>
      <x:c r="F8" t="str">
        <x:v>rede, universidade, federação, patrocinador</x:v>
      </x:c>
    </x:row>
    <x:row r="9">
      <x:c r="A9" t="str">
        <x:v>Implantação média</x:v>
      </x:c>
      <x:c r="B9" s="18" t="n">
        <x:v>60000</x:v>
      </x:c>
      <x:c r="C9" s="18" t="n">
        <x:v>35000</x:v>
      </x:c>
      <x:c r="D9" s="18" t="n">
        <x:v>90000</x:v>
      </x:c>
      <x:c r="E9" t="str">
        <x:v>R$/cliente</x:v>
      </x:c>
      <x:c r="F9" t="str">
        <x:v>onboarding, integrações, diagnóstico</x:v>
      </x:c>
    </x:row>
    <x:row r="10">
      <x:c r="A10" t="str">
        <x:v>Success fee</x:v>
      </x:c>
      <x:c r="B10" s="22" t="n">
        <x:v>0.02</x:v>
      </x:c>
      <x:c r="C10" s="22" t="n">
        <x:v>0</x:v>
      </x:c>
      <x:c r="D10" s="22" t="n">
        <x:v>0.03</x:v>
      </x:c>
      <x:c r="E10" t="str">
        <x:v>% convertido</x:v>
      </x:c>
      <x:c r="F10" t="str">
        <x:v>opcional</x:v>
      </x:c>
    </x:row>
    <x:row r="11">
      <x:c r="A11" t="str">
        <x:v>Valor convertido / cliente / ano</x:v>
      </x:c>
      <x:c r="B11" s="16" t="n">
        <x:v>1500000</x:v>
      </x:c>
      <x:c r="C11" s="16" t="n">
        <x:v>750000</x:v>
      </x:c>
      <x:c r="D11" s="16" t="n">
        <x:v>3000000</x:v>
      </x:c>
      <x:c r="E11" t="str">
        <x:v>R$/ano</x:v>
      </x:c>
      <x:c r="F11" t="str">
        <x:v>contratos, capital, patrocínios, projetos</x:v>
      </x:c>
    </x:row>
    <x:row r="12">
      <x:c r="A12" t="str"/>
      <x:c r="B12" t="str"/>
      <x:c r="C12" t="str"/>
      <x:c r="D12" t="str"/>
      <x:c r="E12" t="str"/>
      <x:c r="F12" t="str"/>
    </x:row>
    <x:row r="13">
      <x:c r="A13" s="9" t="str">
        <x:v>OPEX MENSAL</x:v>
      </x:c>
      <x:c r="B13" s="9" t="str"/>
      <x:c r="C13" s="9" t="str"/>
      <x:c r="D13" s="9" t="str"/>
      <x:c r="E13" s="9" t="str"/>
      <x:c r="F13" s="9" t="str"/>
    </x:row>
    <x:row r="14">
      <x:c r="A14" s="13" t="str">
        <x:v>Item</x:v>
      </x:c>
      <x:c r="B14" s="13" t="str">
        <x:v>Base</x:v>
      </x:c>
      <x:c r="C14" s="13" t="str">
        <x:v>Conservador</x:v>
      </x:c>
      <x:c r="D14" s="13" t="str">
        <x:v>Agressivo</x:v>
      </x:c>
      <x:c r="E14" s="13" t="str">
        <x:v>Unidade</x:v>
      </x:c>
      <x:c r="F14" s="13" t="str">
        <x:v>Racional</x:v>
      </x:c>
    </x:row>
    <x:row r="15">
      <x:c r="A15" t="str">
        <x:v>Tecnologia &amp; dados</x:v>
      </x:c>
      <x:c r="B15" s="18" t="n">
        <x:v>70000</x:v>
      </x:c>
      <x:c r="C15" s="18" t="n">
        <x:v>60000</x:v>
      </x:c>
      <x:c r="D15" s="18" t="n">
        <x:v>95000</x:v>
      </x:c>
      <x:c r="E15" t="str">
        <x:v>R$/mês</x:v>
      </x:c>
      <x:c r="F15" t="str">
        <x:v>dev, data, IA</x:v>
      </x:c>
    </x:row>
    <x:row r="16">
      <x:c r="A16" t="str">
        <x:v>Produto &amp; UX</x:v>
      </x:c>
      <x:c r="B16" s="18" t="n">
        <x:v>30000</x:v>
      </x:c>
      <x:c r="C16" s="18" t="n">
        <x:v>25000</x:v>
      </x:c>
      <x:c r="D16" s="18" t="n">
        <x:v>45000</x:v>
      </x:c>
      <x:c r="E16" t="str">
        <x:v>R$/mês</x:v>
      </x:c>
      <x:c r="F16" t="str">
        <x:v>produto e design</x:v>
      </x:c>
    </x:row>
    <x:row r="17">
      <x:c r="A17" t="str">
        <x:v>Comercial &amp; parcerias</x:v>
      </x:c>
      <x:c r="B17" s="18" t="n">
        <x:v>45000</x:v>
      </x:c>
      <x:c r="C17" s="18" t="n">
        <x:v>35000</x:v>
      </x:c>
      <x:c r="D17" s="18" t="n">
        <x:v>70000</x:v>
      </x:c>
      <x:c r="E17" t="str">
        <x:v>R$/mês</x:v>
      </x:c>
      <x:c r="F17" t="str">
        <x:v>venda enterprise</x:v>
      </x:c>
    </x:row>
    <x:row r="18">
      <x:c r="A18" t="str">
        <x:v>CS / operação</x:v>
      </x:c>
      <x:c r="B18" s="18" t="n">
        <x:v>35000</x:v>
      </x:c>
      <x:c r="C18" s="18" t="n">
        <x:v>30000</x:v>
      </x:c>
      <x:c r="D18" s="18" t="n">
        <x:v>55000</x:v>
      </x:c>
      <x:c r="E18" t="str">
        <x:v>R$/mês</x:v>
      </x:c>
      <x:c r="F18" t="str">
        <x:v>onboarding e sucesso</x:v>
      </x:c>
    </x:row>
    <x:row r="19">
      <x:c r="A19" t="str">
        <x:v>Marketing</x:v>
      </x:c>
      <x:c r="B19" s="18" t="n">
        <x:v>20000</x:v>
      </x:c>
      <x:c r="C19" s="18" t="n">
        <x:v>12000</x:v>
      </x:c>
      <x:c r="D19" s="18" t="n">
        <x:v>35000</x:v>
      </x:c>
      <x:c r="E19" t="str">
        <x:v>R$/mês</x:v>
      </x:c>
      <x:c r="F19" t="str">
        <x:v>aquisição e conteúdo</x:v>
      </x:c>
    </x:row>
    <x:row r="20">
      <x:c r="A20" t="str">
        <x:v>Jurídico / LGPD / contábil</x:v>
      </x:c>
      <x:c r="B20" s="18" t="n">
        <x:v>15000</x:v>
      </x:c>
      <x:c r="C20" s="18" t="n">
        <x:v>12000</x:v>
      </x:c>
      <x:c r="D20" s="18" t="n">
        <x:v>22000</x:v>
      </x:c>
      <x:c r="E20" t="str">
        <x:v>R$/mês</x:v>
      </x:c>
      <x:c r="F20" t="str">
        <x:v>compliance</x:v>
      </x:c>
    </x:row>
    <x:row r="21">
      <x:c r="A21" t="str">
        <x:v>Cloud / APIs / IA</x:v>
      </x:c>
      <x:c r="B21" s="18" t="n">
        <x:v>25000</x:v>
      </x:c>
      <x:c r="C21" s="18" t="n">
        <x:v>18000</x:v>
      </x:c>
      <x:c r="D21" s="18" t="n">
        <x:v>45000</x:v>
      </x:c>
      <x:c r="E21" t="str">
        <x:v>R$/mês</x:v>
      </x:c>
      <x:c r="F21" t="str">
        <x:v>infra variável/semi-fixa</x:v>
      </x:c>
    </x:row>
    <x:row r="22">
      <x:c r="A22" t="str">
        <x:v>Admin / ferramentas</x:v>
      </x:c>
      <x:c r="B22" s="18" t="n">
        <x:v>15000</x:v>
      </x:c>
      <x:c r="C22" s="18" t="n">
        <x:v>12000</x:v>
      </x:c>
      <x:c r="D22" s="18" t="n">
        <x:v>20000</x:v>
      </x:c>
      <x:c r="E22" t="str">
        <x:v>R$/mês</x:v>
      </x:c>
      <x:c r="F22" t="str">
        <x:v>backoffice</x:v>
      </x:c>
    </x:row>
    <x:row r="23">
      <x:c r="A23" t="str">
        <x:v>OPEX fixo total</x:v>
      </x:c>
      <x:c r="B23" s="20" t="n">
        <x:f>SUM(B15:B22)</x:f>
        <x:v>255000</x:v>
      </x:c>
      <x:c r="C23" s="20" t="n">
        <x:f>SUM(C15:C22)</x:f>
        <x:v>204000</x:v>
      </x:c>
      <x:c r="D23" s="20" t="n">
        <x:f>SUM(D15:D22)</x:f>
        <x:v>387000</x:v>
      </x:c>
      <x:c r="E23" t="str">
        <x:v>R$/mês</x:v>
      </x:c>
      <x:c r="F23" t="str">
        <x:v>soma</x:v>
      </x:c>
    </x:row>
    <x:row r="24">
      <x:c r="A24" t="str">
        <x:v>Custo variável / receita</x:v>
      </x:c>
      <x:c r="B24" s="22" t="n">
        <x:v>0.12</x:v>
      </x:c>
      <x:c r="C24" s="22" t="n">
        <x:v>0.15</x:v>
      </x:c>
      <x:c r="D24" s="22" t="n">
        <x:v>0.1</x:v>
      </x:c>
      <x:c r="E24" t="str">
        <x:v>% receita</x:v>
      </x:c>
      <x:c r="F24" t="str">
        <x:v>infra + suporte incremental</x:v>
      </x:c>
    </x:row>
    <x:row r="25">
      <x:c r="A25" t="str"/>
      <x:c r="B25" t="str"/>
      <x:c r="C25" t="str"/>
      <x:c r="D25" t="str"/>
      <x:c r="E25" t="str"/>
      <x:c r="F25" t="str"/>
    </x:row>
    <x:row r="26">
      <x:c r="A26" s="9" t="str">
        <x:v>UNIT ECONOMICS / VALUATION</x:v>
      </x:c>
      <x:c r="B26" s="9" t="str"/>
      <x:c r="C26" s="9" t="str"/>
      <x:c r="D26" s="9" t="str"/>
      <x:c r="E26" s="9" t="str"/>
      <x:c r="F26" s="9" t="str"/>
    </x:row>
    <x:row r="27">
      <x:c r="A27" s="13" t="str">
        <x:v>Item</x:v>
      </x:c>
      <x:c r="B27" s="13" t="str">
        <x:v>Base</x:v>
      </x:c>
      <x:c r="C27" s="13" t="str">
        <x:v>Conservador</x:v>
      </x:c>
      <x:c r="D27" s="13" t="str">
        <x:v>Agressivo</x:v>
      </x:c>
      <x:c r="E27" s="13" t="str">
        <x:v>Unidade</x:v>
      </x:c>
      <x:c r="F27" s="13" t="str">
        <x:v>Benchmark</x:v>
      </x:c>
    </x:row>
    <x:row r="28">
      <x:c r="A28" t="str">
        <x:v>Churn anual</x:v>
      </x:c>
      <x:c r="B28" s="22" t="n">
        <x:v>0.1</x:v>
      </x:c>
      <x:c r="C28" s="22" t="n">
        <x:v>0.16</x:v>
      </x:c>
      <x:c r="D28" s="22" t="n">
        <x:v>0.07</x:v>
      </x:c>
      <x:c r="E28" t="str">
        <x:v>%</x:v>
      </x:c>
      <x:c r="F28" t="str">
        <x:v>contratos enterprise</x:v>
      </x:c>
    </x:row>
    <x:row r="29">
      <x:c r="A29" t="str">
        <x:v>CAC médio</x:v>
      </x:c>
      <x:c r="B29" s="22" t="n">
        <x:v>65000</x:v>
      </x:c>
      <x:c r="C29" s="22" t="n">
        <x:v>85000</x:v>
      </x:c>
      <x:c r="D29" s="22" t="n">
        <x:v>50000</x:v>
      </x:c>
      <x:c r="E29" t="str">
        <x:v>R$/cliente</x:v>
      </x:c>
      <x:c r="F29" t="str">
        <x:v>venda consultiva</x:v>
      </x:c>
    </x:row>
    <x:row r="30">
      <x:c r="A30" t="str">
        <x:v>Margem bruta alvo</x:v>
      </x:c>
      <x:c r="B30" s="22" t="n">
        <x:v>0.78</x:v>
      </x:c>
      <x:c r="C30" s="22" t="n">
        <x:v>0.72</x:v>
      </x:c>
      <x:c r="D30" s="22" t="n">
        <x:v>0.82</x:v>
      </x:c>
      <x:c r="E30" t="str">
        <x:v>%</x:v>
      </x:c>
      <x:c r="F30" t="str">
        <x:v>software + serviço híbrido</x:v>
      </x:c>
    </x:row>
    <x:row r="31">
      <x:c r="A31" t="str">
        <x:v>Múltiplo EV/ARR</x:v>
      </x:c>
      <x:c r="B31" s="24" t="n">
        <x:v>4.7</x:v>
      </x:c>
      <x:c r="C31" s="24" t="n">
        <x:v>3.5</x:v>
      </x:c>
      <x:c r="D31" s="24" t="n">
        <x:v>6</x:v>
      </x:c>
      <x:c r="E31" t="str">
        <x:v>x</x:v>
      </x:c>
      <x:c r="F31" t="str">
        <x:v>vertical SaaS privado Q2/2026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6" hidden="0" customWidth="1"/>
    <x:col min="4" max="4" width="28" hidden="0" customWidth="1"/>
    <x:col min="5" max="5" width="34" hidden="0" customWidth="1"/>
    <x:col min="6" max="6" width="48" hidden="0" customWidth="1"/>
    <x:col min="7" max="7" width="13" hidden="0" customWidth="1"/>
    <x:col min="8" max="8" width="34" hidden="0" customWidth="1"/>
    <x:col min="9" max="9" width="28" hidden="0" customWidth="1"/>
    <x:col min="10" max="10" width="15" hidden="0" customWidth="1"/>
  </x:cols>
  <x:sheetData>
    <x:row r="1">
      <x:c r="A1" s="3" t="str">
        <x:v>Arquitetura de Preço</x:v>
      </x:c>
    </x:row>
    <x:row r="2">
      <x:c r="A2" s="6" t="str">
        <x:v>Preço por valor e complexidade do ecossistema, não por login.</x:v>
      </x:c>
    </x:row>
    <x:row r="4">
      <x:c r="A4" s="36" t="str">
        <x:v>Plano</x:v>
      </x:c>
      <x:c r="B4" s="36" t="str">
        <x:v>Cliente-alvo</x:v>
      </x:c>
      <x:c r="C4" s="36" t="str">
        <x:v>Fee mensal</x:v>
      </x:c>
      <x:c r="D4" s="36" t="str">
        <x:v>Implantação</x:v>
      </x:c>
      <x:c r="E4" s="36" t="str">
        <x:v>ARR</x:v>
      </x:c>
      <x:c r="F4" s="36" t="str">
        <x:v>Ano 1</x:v>
      </x:c>
      <x:c r="G4" s="36" t="str">
        <x:v>Variável</x:v>
      </x:c>
      <x:c r="H4" s="36" t="str">
        <x:v>Inclui</x:v>
      </x:c>
      <x:c r="I4" s="36" t="str">
        <x:v>Âncora</x:v>
      </x:c>
      <x:c r="J4" s="36" t="str">
        <x:v>Estratégia</x:v>
      </x:c>
    </x:row>
    <x:row r="5">
      <x:c r="A5" s="27" t="str">
        <x:v>Pilot</x:v>
      </x:c>
      <x:c r="B5" s="27" t="str">
        <x:v>90 dias</x:v>
      </x:c>
      <x:c r="C5" s="37" t="n">
        <x:v>0</x:v>
      </x:c>
      <x:c r="D5" s="37" t="n">
        <x:v>75000</x:v>
      </x:c>
      <x:c r="E5" s="38" t="n">
        <x:v>0</x:v>
      </x:c>
      <x:c r="F5" s="38" t="n">
        <x:v>75000</x:v>
      </x:c>
      <x:c r="G5" s="39" t="n">
        <x:v>0</x:v>
      </x:c>
      <x:c r="H5" s="27" t="str">
        <x:v>diagnóstico + match + ROI</x:v>
      </x:c>
      <x:c r="I5" s="27" t="str">
        <x:v>provar valor</x:v>
      </x:c>
      <x:c r="J5" s="27" t="str">
        <x:v>entrada</x:v>
      </x:c>
    </x:row>
    <x:row r="6">
      <x:c r="A6" s="27" t="str">
        <x:v>Growth</x:v>
      </x:c>
      <x:c r="B6" s="27" t="str">
        <x:v>empresa média</x:v>
      </x:c>
      <x:c r="C6" s="37" t="n">
        <x:v>14900</x:v>
      </x:c>
      <x:c r="D6" s="37" t="n">
        <x:v>25000</x:v>
      </x:c>
      <x:c r="E6" s="38" t="n">
        <x:f>C6*12</x:f>
        <x:v>178800</x:v>
      </x:c>
      <x:c r="F6" s="38" t="n">
        <x:f>E6+D6</x:f>
        <x:v>203800</x:v>
      </x:c>
      <x:c r="G6" s="39" t="n">
        <x:v>0</x:v>
      </x:c>
      <x:c r="H6" s="27" t="str">
        <x:v>pessoas + fornecedores + indicadores</x:v>
      </x:c>
      <x:c r="I6" s="27" t="str">
        <x:v>substitui fragmentos</x:v>
      </x:c>
      <x:c r="J6" s="27" t="str">
        <x:v>land</x:v>
      </x:c>
    </x:row>
    <x:row r="7">
      <x:c r="A7" s="27" t="str">
        <x:v>Enterprise</x:v>
      </x:c>
      <x:c r="B7" s="27" t="str">
        <x:v>grande empresa</x:v>
      </x:c>
      <x:c r="C7" s="37" t="n">
        <x:v>39900</x:v>
      </x:c>
      <x:c r="D7" s="37" t="n">
        <x:v>60000</x:v>
      </x:c>
      <x:c r="E7" s="38" t="n">
        <x:f>C7*12</x:f>
        <x:v>478800</x:v>
      </x:c>
      <x:c r="F7" s="38" t="n">
        <x:f>E7+D7</x:f>
        <x:v>538800</x:v>
      </x:c>
      <x:c r="G7" s="39" t="n">
        <x:v>0.03</x:v>
      </x:c>
      <x:c r="H7" s="27" t="str">
        <x:v>todos módulos + APIs + ROI</x:v>
      </x:c>
      <x:c r="I7" s="27" t="str">
        <x:v>stack integrado</x:v>
      </x:c>
      <x:c r="J7" s="27" t="str">
        <x:v>expand</x:v>
      </x:c>
    </x:row>
    <x:row r="8">
      <x:c r="A8" s="27" t="str">
        <x:v>Ecosystem</x:v>
      </x:c>
      <x:c r="B8" s="27" t="str">
        <x:v>rede / universidade / patrocinador</x:v>
      </x:c>
      <x:c r="C8" s="37" t="n">
        <x:v>79900</x:v>
      </x:c>
      <x:c r="D8" s="37" t="n">
        <x:v>120000</x:v>
      </x:c>
      <x:c r="E8" s="38" t="n">
        <x:f>C8*12</x:f>
        <x:v>958800</x:v>
      </x:c>
      <x:c r="F8" s="38" t="n">
        <x:f>E8+D8</x:f>
        <x:v>1078800</x:v>
      </x:c>
      <x:c r="G8" s="39" t="n">
        <x:v>0.02</x:v>
      </x:c>
      <x:c r="H8" s="27" t="str">
        <x:v>multiempresa + capital + benchmark</x:v>
      </x:c>
      <x:c r="I8" s="27" t="str">
        <x:v>infraestrutura da rede</x:v>
      </x:c>
      <x:c r="J8" s="27" t="str">
        <x:v>platform</x:v>
      </x:c>
    </x:row>
    <x:row r="9">
      <x:c r="A9" s="27" t="str">
        <x:v>Enterprise Plus</x:v>
      </x:c>
      <x:c r="B9" s="27" t="str">
        <x:v>ecossistema nacional</x:v>
      </x:c>
      <x:c r="C9" s="37" t="n">
        <x:v>119900</x:v>
      </x:c>
      <x:c r="D9" s="37" t="n">
        <x:v>180000</x:v>
      </x:c>
      <x:c r="E9" s="38" t="n">
        <x:f>C9*12</x:f>
        <x:v>1438800</x:v>
      </x:c>
      <x:c r="F9" s="38" t="n">
        <x:f>E9+D9</x:f>
        <x:v>1618800</x:v>
      </x:c>
      <x:c r="G9" s="39" t="n">
        <x:v>0.02</x:v>
      </x:c>
      <x:c r="H9" s="27" t="str">
        <x:v>white-label + data products</x:v>
      </x:c>
      <x:c r="I9" s="27" t="str">
        <x:v>inteligência proprietária</x:v>
      </x:c>
      <x:c r="J9" s="27" t="str">
        <x:v>strategic</x:v>
      </x:c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</x:row>
    <x:row r="12">
      <x:c r="A12" s="40" t="str">
        <x:v>BENCHMARK: FRAGMENTOS COMPRADOS SEPARADAMENTE</x:v>
      </x:c>
      <x:c r="B12" s="27"/>
      <x:c r="C12" s="27"/>
      <x:c r="D12" s="27"/>
      <x:c r="E12" s="27"/>
      <x:c r="F12" s="27"/>
      <x:c r="G12" s="27"/>
      <x:c r="H12" s="27"/>
      <x:c r="I12" s="27"/>
      <x:c r="J12" s="27"/>
    </x:row>
    <x:row r="13">
      <x:c r="A13" s="41" t="str">
        <x:v>Categoria</x:v>
      </x:c>
      <x:c r="B13" s="41" t="str">
        <x:v>Referência</x:v>
      </x:c>
      <x:c r="C13" s="41" t="str">
        <x:v>Preço / modelo público</x:v>
      </x:c>
      <x:c r="D13" s="41" t="str">
        <x:v>Fragmento</x:v>
      </x:c>
      <x:c r="E13" s="41" t="str">
        <x:v>Leitura HUB</x:v>
      </x:c>
      <x:c r="F13" s="41" t="str">
        <x:v>Fonte</x:v>
      </x:c>
      <x:c r="G13" s="27"/>
      <x:c r="H13" s="27"/>
      <x:c r="I13" s="27"/>
      <x:c r="J13" s="27"/>
    </x:row>
    <x:row r="14">
      <x:c r="A14" s="27" t="str">
        <x:v>Fornecedores</x:v>
      </x:c>
      <x:c r="B14" s="27" t="str">
        <x:v>SAP Spend Management</x:v>
      </x:c>
      <x:c r="C14" s="27" t="str">
        <x:v>R$ 12.394/mês</x:v>
      </x:c>
      <x:c r="D14" s="27" t="str">
        <x:v>supplier lifecycle, sourcing, contratos</x:v>
      </x:c>
      <x:c r="E14" s="27" t="str">
        <x:v>um fragmento já chega a 5 dígitos/mês</x:v>
      </x:c>
      <x:c r="F14" s="27" t="str">
        <x:v>https://www.sap.com/brazil/products/spend-management/pricing.html</x:v>
      </x:c>
      <x:c r="G14" s="27"/>
      <x:c r="H14" s="27"/>
      <x:c r="I14" s="27"/>
      <x:c r="J14" s="27"/>
    </x:row>
    <x:row r="15">
      <x:c r="A15" s="27" t="str">
        <x:v>Recrutamento</x:v>
      </x:c>
      <x:c r="B15" s="27" t="str">
        <x:v>LinkedIn Recruiter</x:v>
      </x:c>
      <x:c r="C15" s="27" t="str">
        <x:v>Lite US$170/mês; Corporate sob cotação</x:v>
      </x:c>
      <x:c r="D15" s="27" t="str">
        <x:v>sourcing</x:v>
      </x:c>
      <x:c r="E15" s="27" t="str">
        <x:v>por assento; sem ROI integrado</x:v>
      </x:c>
      <x:c r="F15" s="27" t="str">
        <x:v>https://business.linkedin.com/br/pt/hire/recruiter</x:v>
      </x:c>
      <x:c r="G15" s="27"/>
      <x:c r="H15" s="27"/>
      <x:c r="I15" s="27"/>
      <x:c r="J15" s="27"/>
    </x:row>
    <x:row r="16">
      <x:c r="A16" s="27" t="str">
        <x:v>HR Tech</x:v>
      </x:c>
      <x:c r="B16" s="27" t="str">
        <x:v>Gupy</x:v>
      </x:c>
      <x:c r="C16" s="27" t="str">
        <x:v>Enterprise sob cotação</x:v>
      </x:c>
      <x:c r="D16" s="27" t="str">
        <x:v>R&amp;S, admissão, educação, clima, performance</x:v>
      </x:c>
      <x:c r="E16" s="27" t="str">
        <x:v>mercado compra suíte modular de pessoas</x:v>
      </x:c>
      <x:c r="F16" s="27" t="str">
        <x:v>https://www.gupy.io/precos</x:v>
      </x:c>
      <x:c r="G16" s="27"/>
      <x:c r="H16" s="27"/>
      <x:c r="I16" s="27"/>
      <x:c r="J16" s="27"/>
    </x:row>
    <x:row r="17">
      <x:c r="A17" s="27" t="str">
        <x:v>Pesquisa</x:v>
      </x:c>
      <x:c r="B17" s="27" t="str">
        <x:v>SurveyMonkey</x:v>
      </x:c>
      <x:c r="C17" s="27" t="str">
        <x:v>US$30-92/usuário/mês</x:v>
      </x:c>
      <x:c r="D17" s="27" t="str">
        <x:v>pesquisa e análise</x:v>
      </x:c>
      <x:c r="E17" s="27" t="str">
        <x:v>pesquisa isolada monetiza por usuário/volume</x:v>
      </x:c>
      <x:c r="F17" s="27" t="str">
        <x:v>https://www.surveymonkey.com/pricing/</x:v>
      </x:c>
      <x:c r="G17" s="27"/>
      <x:c r="H17" s="27"/>
      <x:c r="I17" s="27"/>
      <x:c r="J17" s="27"/>
    </x:row>
    <x:row r="18">
      <x:c r="A18" s="27" t="str">
        <x:v>Experience</x:v>
      </x:c>
      <x:c r="B18" s="27" t="str">
        <x:v>Qualtrics</x:v>
      </x:c>
      <x:c r="C18" s="27" t="str">
        <x:v>sob cotação / uso planejado</x:v>
      </x:c>
      <x:c r="D18" s="27" t="str">
        <x:v>CX, EX, Strategy &amp; Research</x:v>
      </x:c>
      <x:c r="E18" s="27" t="str">
        <x:v>enterprise paga por inteligência e escala</x:v>
      </x:c>
      <x:c r="F18" s="27" t="str">
        <x:v>https://www.qualtrics.com/pt-br/pricing/</x:v>
      </x:c>
      <x:c r="G18" s="27"/>
      <x:c r="H18" s="27"/>
      <x:c r="I18" s="27"/>
      <x:c r="J18" s="27"/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20" hidden="0" customWidth="1"/>
    <x:col min="4" max="4" width="38" hidden="0" customWidth="1"/>
  </x:cols>
  <x:sheetData>
    <x:row r="1">
      <x:c r="A1" s="26" t="str">
        <x:v>ROI do Cliente / Patrocinador</x:v>
      </x:c>
      <x:c r="B1" s="27"/>
      <x:c r="C1" s="27"/>
      <x:c r="D1" s="27"/>
    </x:row>
    <x:row r="2">
      <x:c r="A2" s="6" t="str">
        <x:v>Modelo de valor gerado + protegido. Ajuste os inputs azuis por proposta.</x:v>
      </x:c>
    </x:row>
    <x:row r="4">
      <x:c r="A4" s="31" t="str">
        <x:v>Entrada</x:v>
      </x:c>
      <x:c r="B4" s="31" t="str">
        <x:v>Valor</x:v>
      </x:c>
      <x:c r="C4" s="31" t="str">
        <x:v>Unidade</x:v>
      </x:c>
      <x:c r="D4" s="31" t="str">
        <x:v>Observação</x:v>
      </x:c>
    </x:row>
    <x:row r="5">
      <x:c r="A5" t="str">
        <x:v>Fee mensal</x:v>
      </x:c>
      <x:c r="B5" s="18" t="n">
        <x:v>39900</x:v>
      </x:c>
      <x:c r="C5" t="str">
        <x:v>R$/mês</x:v>
      </x:c>
      <x:c r="D5" t="str">
        <x:v>Enterprise</x:v>
      </x:c>
    </x:row>
    <x:row r="6">
      <x:c r="A6" t="str">
        <x:v>Implantação</x:v>
      </x:c>
      <x:c r="B6" s="18" t="n">
        <x:v>60000</x:v>
      </x:c>
      <x:c r="C6" t="str">
        <x:v>R$</x:v>
      </x:c>
      <x:c r="D6" t="str">
        <x:v>ano 1</x:v>
      </x:c>
    </x:row>
    <x:row r="7">
      <x:c r="A7" t="str">
        <x:v>Receita/negócios influenciados</x:v>
      </x:c>
      <x:c r="B7" s="18" t="n">
        <x:v>3000000</x:v>
      </x:c>
      <x:c r="C7" t="str">
        <x:v>R$/ano</x:v>
      </x:c>
      <x:c r="D7" t="str">
        <x:v>contratos, patrocínios, projetos</x:v>
      </x:c>
    </x:row>
    <x:row r="8">
      <x:c r="A8" t="str">
        <x:v>Margem sobre receita</x:v>
      </x:c>
      <x:c r="B8" s="22" t="n">
        <x:v>0.3</x:v>
      </x:c>
      <x:c r="C8" t="str">
        <x:v>%</x:v>
      </x:c>
      <x:c r="D8" t="str">
        <x:v>monetizar margem, não receita cheia</x:v>
      </x:c>
    </x:row>
    <x:row r="9">
      <x:c r="A9" t="str">
        <x:v>Atribuição ao HUB</x:v>
      </x:c>
      <x:c r="B9" s="22" t="n">
        <x:v>0.25</x:v>
      </x:c>
      <x:c r="C9" t="str">
        <x:v>%</x:v>
      </x:c>
      <x:c r="D9" t="str">
        <x:v>parcela causal</x:v>
      </x:c>
    </x:row>
    <x:row r="10">
      <x:c r="A10" t="str">
        <x:v>Custo turnover/retrabalho</x:v>
      </x:c>
      <x:c r="B10" s="18" t="n">
        <x:v>800000</x:v>
      </x:c>
      <x:c r="C10" t="str">
        <x:v>R$/ano</x:v>
      </x:c>
      <x:c r="D10" t="str">
        <x:v>baseline</x:v>
      </x:c>
    </x:row>
    <x:row r="11">
      <x:c r="A11" t="str">
        <x:v>Redução esperada</x:v>
      </x:c>
      <x:c r="B11" s="22" t="n">
        <x:v>0.12</x:v>
      </x:c>
      <x:c r="C11" t="str">
        <x:v>%</x:v>
      </x:c>
      <x:c r="D11" t="str">
        <x:v>efeito</x:v>
      </x:c>
    </x:row>
    <x:row r="12">
      <x:c r="A12" t="str">
        <x:v>Horas poupadas</x:v>
      </x:c>
      <x:c r="B12" s="18" t="n">
        <x:v>2500</x:v>
      </x:c>
      <x:c r="C12" t="str">
        <x:v>horas/ano</x:v>
      </x:c>
      <x:c r="D12" t="str">
        <x:v>triagem, match, relatórios</x:v>
      </x:c>
    </x:row>
    <x:row r="13">
      <x:c r="A13" t="str">
        <x:v>Custo hora</x:v>
      </x:c>
      <x:c r="B13" s="16" t="n">
        <x:v>120</x:v>
      </x:c>
      <x:c r="C13" t="str">
        <x:v>R$/hora</x:v>
      </x:c>
      <x:c r="D13" t="str">
        <x:v>custo carregado</x:v>
      </x:c>
    </x:row>
    <x:row r="14">
      <x:c r="A14" t="str">
        <x:v>Risco/perda esperada</x:v>
      </x:c>
      <x:c r="B14" s="18" t="n">
        <x:v>500000</x:v>
      </x:c>
      <x:c r="C14" t="str">
        <x:v>R$/ano</x:v>
      </x:c>
      <x:c r="D14" t="str">
        <x:v>incidentes, atraso, compliance</x:v>
      </x:c>
    </x:row>
    <x:row r="15">
      <x:c r="A15" t="str">
        <x:v>Redução de risco</x:v>
      </x:c>
      <x:c r="B15" s="22" t="n">
        <x:v>0.2</x:v>
      </x:c>
      <x:c r="C15" t="str">
        <x:v>%</x:v>
      </x:c>
      <x:c r="D15" t="str">
        <x:v>efeito</x:v>
      </x:c>
    </x:row>
    <x:row r="18">
      <x:c r="A18" s="49" t="str">
        <x:v>Componente</x:v>
      </x:c>
      <x:c r="B18" s="49" t="str">
        <x:v>Fórmula</x:v>
      </x:c>
      <x:c r="C18" s="49" t="str">
        <x:v>Valor anual</x:v>
      </x:c>
      <x:c r="D18" s="49" t="str">
        <x:v>Leitura</x:v>
      </x:c>
    </x:row>
    <x:row r="19">
      <x:c r="A19" t="str">
        <x:v>Margem incremental atribuída</x:v>
      </x:c>
      <x:c r="B19" t="str">
        <x:v>receita × margem × atribuição</x:v>
      </x:c>
      <x:c r="C19" s="20" t="n">
        <x:f>B7*B8*B9</x:f>
        <x:v>225000</x:v>
      </x:c>
      <x:c r="D19" t="str">
        <x:v>valor gerado</x:v>
      </x:c>
    </x:row>
    <x:row r="20">
      <x:c r="A20" t="str">
        <x:v>Turnover/retrabalho evitado</x:v>
      </x:c>
      <x:c r="B20" t="str">
        <x:v>baseline × redução</x:v>
      </x:c>
      <x:c r="C20" s="20" t="n">
        <x:f>B10*B11</x:f>
        <x:v>96000</x:v>
      </x:c>
      <x:c r="D20" t="str">
        <x:v>custo evitado</x:v>
      </x:c>
    </x:row>
    <x:row r="21">
      <x:c r="A21" t="str">
        <x:v>Produtividade</x:v>
      </x:c>
      <x:c r="B21" t="str">
        <x:v>horas × custo/hora</x:v>
      </x:c>
      <x:c r="C21" s="20" t="n">
        <x:f>B12*B13</x:f>
        <x:v>300000</x:v>
      </x:c>
      <x:c r="D21" t="str">
        <x:v>capacidade liberada</x:v>
      </x:c>
    </x:row>
    <x:row r="22">
      <x:c r="A22" t="str">
        <x:v>Risco evitado</x:v>
      </x:c>
      <x:c r="B22" t="str">
        <x:v>perda × redução</x:v>
      </x:c>
      <x:c r="C22" s="20" t="n">
        <x:f>B14*B15</x:f>
        <x:v>100000</x:v>
      </x:c>
      <x:c r="D22" t="str">
        <x:v>valor protegido</x:v>
      </x:c>
    </x:row>
    <x:row r="23">
      <x:c r="A23" t="str">
        <x:v>Benefício bruto</x:v>
      </x:c>
      <x:c r="B23" t="str">
        <x:v>soma</x:v>
      </x:c>
      <x:c r="C23" s="20" t="n">
        <x:f>SUM(C19:C22)</x:f>
        <x:v>721000</x:v>
      </x:c>
      <x:c r="D23" t="str"/>
    </x:row>
    <x:row r="24">
      <x:c r="A24" t="str">
        <x:v>Investimento ano 1</x:v>
      </x:c>
      <x:c r="B24" t="str">
        <x:v>12×fee + implantação</x:v>
      </x:c>
      <x:c r="C24" s="20" t="n">
        <x:f>B5*12+B6</x:f>
        <x:v>538800</x:v>
      </x:c>
      <x:c r="D24" t="str"/>
    </x:row>
    <x:row r="25">
      <x:c r="A25" t="str">
        <x:v>Benefício líquido</x:v>
      </x:c>
      <x:c r="B25" t="str">
        <x:v>benefício - investimento</x:v>
      </x:c>
      <x:c r="C25" s="20" t="n">
        <x:f>C23-C24</x:f>
        <x:v>182200</x:v>
      </x:c>
      <x:c r="D25" t="str"/>
    </x:row>
    <x:row r="26">
      <x:c r="A26" t="str">
        <x:v>ROI</x:v>
      </x:c>
      <x:c r="B26" t="str">
        <x:v>líquido / investimento</x:v>
      </x:c>
      <x:c r="C26" s="34" t="n">
        <x:f>C25/C24</x:f>
        <x:v>0.338158871566444</x:v>
      </x:c>
      <x:c r="D26" t="str"/>
    </x:row>
    <x:row r="27">
      <x:c r="A27" t="str">
        <x:v>Payback</x:v>
      </x:c>
      <x:c r="B27" t="str">
        <x:v>investimento / benefício mensal</x:v>
      </x:c>
      <x:c r="C27" s="52" t="n">
        <x:f>C24/(C23/12)</x:f>
        <x:v>8.96754507628294</x:v>
      </x:c>
      <x:c r="D27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6" hidden="0" customWidth="1"/>
    <x:col min="4" max="4" width="40" hidden="0" customWidth="1"/>
  </x:cols>
  <x:sheetData>
    <x:row r="1">
      <x:c r="A1" s="3" t="str">
        <x:v>Unit Economics e Break-even</x:v>
      </x:c>
    </x:row>
    <x:row r="2">
      <x:c r="A2" s="6" t="str">
        <x:v>Economia por cliente e ponto de equilíbrio.</x:v>
      </x:c>
    </x:row>
    <x:row r="4">
      <x:c r="A4" s="31" t="str">
        <x:v>Métrica</x:v>
      </x:c>
      <x:c r="B4" s="31" t="str">
        <x:v>Valor</x:v>
      </x:c>
      <x:c r="C4" s="31" t="str">
        <x:v>Unidade</x:v>
      </x:c>
      <x:c r="D4" s="31" t="str">
        <x:v>Leitura</x:v>
      </x:c>
    </x:row>
    <x:row r="5">
      <x:c r="A5" t="str">
        <x:v>ARPA mensal (mix)</x:v>
      </x:c>
      <x:c r="B5" s="60" t="n">
        <x:f>'01_Premissas'!B6*25%+'01_Premissas'!B7*55%+'01_Premissas'!B8*20%</x:f>
        <x:v>41650</x:v>
      </x:c>
      <x:c r="C5" t="str">
        <x:v>R$/mês</x:v>
      </x:c>
      <x:c r="D5" t="str">
        <x:v>25% Growth / 55% Enterprise / 20% Ecosystem</x:v>
      </x:c>
    </x:row>
    <x:row r="6">
      <x:c r="A6" t="str">
        <x:v>Variável média mensal</x:v>
      </x:c>
      <x:c r="B6" s="60" t="n">
        <x:f>'01_Premissas'!B10*'01_Premissas'!B11/12</x:f>
        <x:v>2500</x:v>
      </x:c>
      <x:c r="C6" t="str">
        <x:v>R$/mês</x:v>
      </x:c>
      <x:c r="D6" t="str">
        <x:v>success fee</x:v>
      </x:c>
    </x:row>
    <x:row r="7">
      <x:c r="A7" t="str">
        <x:v>Receita média mensal</x:v>
      </x:c>
      <x:c r="B7" s="60" t="n">
        <x:f>SUM(B5:B6)</x:f>
        <x:v>44150</x:v>
      </x:c>
      <x:c r="C7" t="str">
        <x:v>R$/mês</x:v>
      </x:c>
      <x:c r="D7" t="str">
        <x:v>ARPA + variável</x:v>
      </x:c>
    </x:row>
    <x:row r="8">
      <x:c r="A8" t="str">
        <x:v>Margem contribuição</x:v>
      </x:c>
      <x:c r="B8" s="61" t="n">
        <x:f>1-'01_Premissas'!B24</x:f>
        <x:v>0.88</x:v>
      </x:c>
      <x:c r="C8" t="str">
        <x:v>%</x:v>
      </x:c>
      <x:c r="D8" t="str">
        <x:v>1 - custo variável</x:v>
      </x:c>
    </x:row>
    <x:row r="9">
      <x:c r="A9" t="str">
        <x:v>Contribuição/cliente</x:v>
      </x:c>
      <x:c r="B9" s="60" t="n">
        <x:f>B7*B8</x:f>
        <x:v>38852</x:v>
      </x:c>
      <x:c r="C9" t="str">
        <x:v>R$/mês</x:v>
      </x:c>
      <x:c r="D9" t="str"/>
    </x:row>
    <x:row r="10">
      <x:c r="A10" t="str">
        <x:v>CAC</x:v>
      </x:c>
      <x:c r="B10" s="60" t="n">
        <x:f>'01_Premissas'!B29</x:f>
        <x:v>65000</x:v>
      </x:c>
      <x:c r="C10" t="str">
        <x:v>R$/cliente</x:v>
      </x:c>
      <x:c r="D10" t="str"/>
    </x:row>
    <x:row r="11">
      <x:c r="A11" t="str">
        <x:v>CAC payback</x:v>
      </x:c>
      <x:c r="B11" s="62" t="n">
        <x:f>B10/B9</x:f>
        <x:v>1.6730155461752292</x:v>
      </x:c>
      <x:c r="C11" t="str">
        <x:v>meses</x:v>
      </x:c>
      <x:c r="D11" t="str"/>
    </x:row>
    <x:row r="12">
      <x:c r="A12" t="str">
        <x:v>Churn anual</x:v>
      </x:c>
      <x:c r="B12" s="61" t="n">
        <x:f>'01_Premissas'!B28</x:f>
        <x:v>0.1</x:v>
      </x:c>
      <x:c r="C12" t="str">
        <x:v>%</x:v>
      </x:c>
      <x:c r="D12" t="str"/>
    </x:row>
    <x:row r="13">
      <x:c r="A13" t="str">
        <x:v>Vida média</x:v>
      </x:c>
      <x:c r="B13" s="63" t="n">
        <x:f>1/B12</x:f>
        <x:v>10</x:v>
      </x:c>
      <x:c r="C13" t="str">
        <x:v>anos</x:v>
      </x:c>
      <x:c r="D13" t="str">
        <x:v>1/churn</x:v>
      </x:c>
    </x:row>
    <x:row r="14">
      <x:c r="A14" t="str">
        <x:v>LTV</x:v>
      </x:c>
      <x:c r="B14" s="60" t="n">
        <x:f>B9*12/B12</x:f>
        <x:v>4662240</x:v>
      </x:c>
      <x:c r="C14" t="str">
        <x:v>R$</x:v>
      </x:c>
      <x:c r="D14" t="str">
        <x:v>contribuição anual/churn</x:v>
      </x:c>
    </x:row>
    <x:row r="15">
      <x:c r="A15" t="str">
        <x:v>LTV/CAC</x:v>
      </x:c>
      <x:c r="B15" s="64" t="n">
        <x:f>B14/B10</x:f>
        <x:v>71.72676923076924</x:v>
      </x:c>
      <x:c r="C15" t="str">
        <x:v>x</x:v>
      </x:c>
      <x:c r="D15" t="str">
        <x:v>benchmark saudável &gt;3x</x:v>
      </x:c>
    </x:row>
    <x:row r="16">
      <x:c r="A16" t="str">
        <x:v>OPEX fixo</x:v>
      </x:c>
      <x:c r="B16" s="60" t="n">
        <x:f>'01_Premissas'!B23</x:f>
        <x:v>255000</x:v>
      </x:c>
      <x:c r="C16" t="str">
        <x:v>R$/mês</x:v>
      </x:c>
      <x:c r="D16" t="str"/>
    </x:row>
    <x:row r="17">
      <x:c r="A17" t="str">
        <x:v>Break-even clientes</x:v>
      </x:c>
      <x:c r="B17" s="65" t="n">
        <x:f>B16/B9</x:f>
        <x:v>6.563368681148976</x:v>
      </x:c>
      <x:c r="C17" t="str">
        <x:v>clientes</x:v>
      </x:c>
      <x:c r="D17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Projeção Financeira - 5 anos</x:v>
      </x:c>
    </x:row>
    <x:row r="2">
      <x:c r="A2" s="6" t="str">
        <x:v>Clientes e OPEX anual são inputs azuis para cenários.</x:v>
      </x:c>
    </x:row>
    <x:row r="4">
      <x:c r="A4" s="31" t="str">
        <x:v>Métrica</x:v>
      </x:c>
      <x:c r="B4" s="31" t="str">
        <x:v>Ano 1</x:v>
      </x:c>
      <x:c r="C4" s="31" t="str">
        <x:v>Ano 2</x:v>
      </x:c>
      <x:c r="D4" s="31" t="str">
        <x:v>Ano 3</x:v>
      </x:c>
      <x:c r="E4" s="31" t="str">
        <x:v>Ano 4</x:v>
      </x:c>
      <x:c r="F4" s="31" t="str">
        <x:v>Ano 5</x:v>
      </x:c>
    </x:row>
    <x:row r="5">
      <x:c r="A5" t="str">
        <x:v>Clientes médios ativos</x:v>
      </x:c>
      <x:c r="B5" s="16" t="n">
        <x:v>8</x:v>
      </x:c>
      <x:c r="C5" s="16" t="n">
        <x:v>22</x:v>
      </x:c>
      <x:c r="D5" s="16" t="n">
        <x:v>45</x:v>
      </x:c>
      <x:c r="E5" s="16" t="n">
        <x:v>75</x:v>
      </x:c>
      <x:c r="F5" s="16" t="n">
        <x:v>110</x:v>
      </x:c>
    </x:row>
    <x:row r="6">
      <x:c r="A6" t="str">
        <x:v>MRR recorrente</x:v>
      </x:c>
      <x:c r="B6" s="20" t="n">
        <x:f>B5*'04_Unit_Economics'!B5</x:f>
        <x:v>333200</x:v>
      </x:c>
      <x:c r="C6" s="20" t="n">
        <x:f>C5*'04_Unit_Economics'!B5</x:f>
        <x:v>916300</x:v>
      </x:c>
      <x:c r="D6" s="20" t="n">
        <x:f>D5*'04_Unit_Economics'!B5</x:f>
        <x:v>1874250</x:v>
      </x:c>
      <x:c r="E6" s="20" t="n">
        <x:f>E5*'04_Unit_Economics'!B5</x:f>
        <x:v>3123750</x:v>
      </x:c>
      <x:c r="F6" s="20" t="n">
        <x:f>F5*'04_Unit_Economics'!B5</x:f>
        <x:v>4581500</x:v>
      </x:c>
    </x:row>
    <x:row r="7">
      <x:c r="A7" t="str">
        <x:v>ARR recorrente</x:v>
      </x:c>
      <x:c r="B7" s="20" t="n">
        <x:f>B6*12</x:f>
        <x:v>3998400</x:v>
      </x:c>
      <x:c r="C7" s="20" t="n">
        <x:f>C6*12</x:f>
        <x:v>10995600</x:v>
      </x:c>
      <x:c r="D7" s="20" t="n">
        <x:f>D6*12</x:f>
        <x:v>22491000</x:v>
      </x:c>
      <x:c r="E7" s="20" t="n">
        <x:f>E6*12</x:f>
        <x:v>37485000</x:v>
      </x:c>
      <x:c r="F7" s="20" t="n">
        <x:f>F6*12</x:f>
        <x:v>54978000</x:v>
      </x:c>
    </x:row>
    <x:row r="8">
      <x:c r="A8" t="str">
        <x:v>Implantação</x:v>
      </x:c>
      <x:c r="B8" s="20" t="n">
        <x:f>B5*'01_Premissas'!B9</x:f>
        <x:v>480000</x:v>
      </x:c>
      <x:c r="C8" s="20" t="n">
        <x:f>C5*'01_Premissas'!B9</x:f>
        <x:v>1320000</x:v>
      </x:c>
      <x:c r="D8" s="20" t="n">
        <x:f>D5*'01_Premissas'!B9</x:f>
        <x:v>2700000</x:v>
      </x:c>
      <x:c r="E8" s="20" t="n">
        <x:f>E5*'01_Premissas'!B9</x:f>
        <x:v>4500000</x:v>
      </x:c>
      <x:c r="F8" s="20" t="n">
        <x:f>F5*'01_Premissas'!B9</x:f>
        <x:v>6600000</x:v>
      </x:c>
    </x:row>
    <x:row r="9">
      <x:c r="A9" t="str">
        <x:v>Receita variável</x:v>
      </x:c>
      <x:c r="B9" s="20" t="n">
        <x:f>B5*'04_Unit_Economics'!B6*12</x:f>
        <x:v>240000</x:v>
      </x:c>
      <x:c r="C9" s="20" t="n">
        <x:f>C5*'04_Unit_Economics'!B6*12</x:f>
        <x:v>660000</x:v>
      </x:c>
      <x:c r="D9" s="20" t="n">
        <x:f>D5*'04_Unit_Economics'!B6*12</x:f>
        <x:v>1350000</x:v>
      </x:c>
      <x:c r="E9" s="20" t="n">
        <x:f>E5*'04_Unit_Economics'!B6*12</x:f>
        <x:v>2250000</x:v>
      </x:c>
      <x:c r="F9" s="20" t="n">
        <x:f>F5*'04_Unit_Economics'!B6*12</x:f>
        <x:v>3300000</x:v>
      </x:c>
    </x:row>
    <x:row r="10">
      <x:c r="A10" t="str">
        <x:v>Receita total</x:v>
      </x:c>
      <x:c r="B10" s="20" t="n">
        <x:f>SUM(B7:B9)</x:f>
        <x:v>4718400</x:v>
      </x:c>
      <x:c r="C10" s="20" t="n">
        <x:f>SUM(C7:C9)</x:f>
        <x:v>12975600</x:v>
      </x:c>
      <x:c r="D10" s="20" t="n">
        <x:f>SUM(D7:D9)</x:f>
        <x:v>26541000</x:v>
      </x:c>
      <x:c r="E10" s="20" t="n">
        <x:f>SUM(E7:E9)</x:f>
        <x:v>44235000</x:v>
      </x:c>
      <x:c r="F10" s="20" t="n">
        <x:f>SUM(F7:F9)</x:f>
        <x:v>64878000</x:v>
      </x:c>
    </x:row>
    <x:row r="11">
      <x:c r="A11" t="str">
        <x:v>Custos variáveis</x:v>
      </x:c>
      <x:c r="B11" s="20" t="n">
        <x:f>B10*'01_Premissas'!B24</x:f>
        <x:v>566208</x:v>
      </x:c>
      <x:c r="C11" s="20" t="n">
        <x:f>C10*'01_Premissas'!B24</x:f>
        <x:v>1557072</x:v>
      </x:c>
      <x:c r="D11" s="20" t="n">
        <x:f>D10*'01_Premissas'!B24</x:f>
        <x:v>3184920</x:v>
      </x:c>
      <x:c r="E11" s="20" t="n">
        <x:f>E10*'01_Premissas'!B24</x:f>
        <x:v>5308200</x:v>
      </x:c>
      <x:c r="F11" s="20" t="n">
        <x:f>F10*'01_Premissas'!B24</x:f>
        <x:v>7785360</x:v>
      </x:c>
    </x:row>
    <x:row r="12">
      <x:c r="A12" t="str">
        <x:v>Margem bruta</x:v>
      </x:c>
      <x:c r="B12" s="20" t="n">
        <x:f>B10-B11</x:f>
        <x:v>4152192</x:v>
      </x:c>
      <x:c r="C12" s="20" t="n">
        <x:f>C10-C11</x:f>
        <x:v>11418528</x:v>
      </x:c>
      <x:c r="D12" s="20" t="n">
        <x:f>D10-D11</x:f>
        <x:v>23356080</x:v>
      </x:c>
      <x:c r="E12" s="20" t="n">
        <x:f>E10-E11</x:f>
        <x:v>38926800</x:v>
      </x:c>
      <x:c r="F12" s="20" t="n">
        <x:f>F10-F11</x:f>
        <x:v>57092640</x:v>
      </x:c>
    </x:row>
    <x:row r="13">
      <x:c r="A13" t="str">
        <x:v>OPEX</x:v>
      </x:c>
      <x:c r="B13" s="18" t="n">
        <x:v>3000000</x:v>
      </x:c>
      <x:c r="C13" s="18" t="n">
        <x:v>3900000</x:v>
      </x:c>
      <x:c r="D13" s="18" t="n">
        <x:v>5200000</x:v>
      </x:c>
      <x:c r="E13" s="18" t="n">
        <x:v>7000000</x:v>
      </x:c>
      <x:c r="F13" s="18" t="n">
        <x:v>9200000</x:v>
      </x:c>
    </x:row>
    <x:row r="14">
      <x:c r="A14" t="str">
        <x:v>EBITDA</x:v>
      </x:c>
      <x:c r="B14" s="20" t="n">
        <x:f>B12-B13</x:f>
        <x:v>1152192</x:v>
      </x:c>
      <x:c r="C14" s="20" t="n">
        <x:f>C12-C13</x:f>
        <x:v>7518528</x:v>
      </x:c>
      <x:c r="D14" s="20" t="n">
        <x:f>D12-D13</x:f>
        <x:v>18156080</x:v>
      </x:c>
      <x:c r="E14" s="20" t="n">
        <x:f>E12-E13</x:f>
        <x:v>31926800</x:v>
      </x:c>
      <x:c r="F14" s="20" t="n">
        <x:f>F12-F13</x:f>
        <x:v>47892640</x:v>
      </x:c>
    </x:row>
    <x:row r="15">
      <x:c r="A15" t="str">
        <x:v>Margem EBITDA</x:v>
      </x:c>
      <x:c r="B15" s="34" t="n">
        <x:f>B14/B10</x:f>
        <x:v>0.2441912512716175</x:v>
      </x:c>
      <x:c r="C15" s="34" t="n">
        <x:f>C14/C10</x:f>
        <x:v>0.5794358642374919</x:v>
      </x:c>
      <x:c r="D15" s="34" t="n">
        <x:f>D14/D10</x:f>
        <x:v>0.6840767115029577</x:v>
      </x:c>
      <x:c r="E15" s="34" t="n">
        <x:f>E14/E10</x:f>
        <x:v>0.7217542669831581</x:v>
      </x:c>
      <x:c r="F15" s="34" t="n">
        <x:f>F14/F10</x:f>
        <x:v>0.738195382101791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3fca11f8266e4227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Proposta para Investidor</x:v>
      </x:c>
    </x:row>
    <x:row r="2">
      <x:c r="A2" s="6" t="str">
        <x:v>Estrutura indicativa; valuation formal depende de tração, contratos, IP e diligência.</x:v>
      </x:c>
    </x:row>
    <x:row r="4">
      <x:c r="A4" s="31" t="str">
        <x:v>Termo</x:v>
      </x:c>
      <x:c r="B4" s="31" t="str">
        <x:v>Base</x:v>
      </x:c>
      <x:c r="C4" s="31" t="str">
        <x:v>Unidade</x:v>
      </x:c>
      <x:c r="D4" s="31" t="str">
        <x:v>Comentário</x:v>
      </x:c>
    </x:row>
    <x:row r="5">
      <x:c r="A5" t="str">
        <x:v>Capital buscado</x:v>
      </x:c>
      <x:c r="B5" s="18" t="n">
        <x:v>2500000</x:v>
      </x:c>
      <x:c r="C5" t="str">
        <x:v>R$</x:v>
      </x:c>
      <x:c r="D5" t="str">
        <x:v>runway para produto + GTM</x:v>
      </x:c>
    </x:row>
    <x:row r="6">
      <x:c r="A6" t="str">
        <x:v>Equity oferecido</x:v>
      </x:c>
      <x:c r="B6" s="22" t="n">
        <x:v>0.15</x:v>
      </x:c>
      <x:c r="C6" t="str">
        <x:v>%</x:v>
      </x:c>
      <x:c r="D6" t="str">
        <x:v>negociável</x:v>
      </x:c>
    </x:row>
    <x:row r="7">
      <x:c r="A7" t="str">
        <x:v>Valuation post-money</x:v>
      </x:c>
      <x:c r="B7" s="20" t="n">
        <x:f>B5/B6</x:f>
        <x:v>16666666.666666668</x:v>
      </x:c>
      <x:c r="C7" t="str">
        <x:v>R$</x:v>
      </x:c>
      <x:c r="D7" t="str">
        <x:v>capital/equity</x:v>
      </x:c>
    </x:row>
    <x:row r="8">
      <x:c r="A8" t="str">
        <x:v>Valuation pre-money</x:v>
      </x:c>
      <x:c r="B8" s="20" t="n">
        <x:f>B7-B5</x:f>
        <x:v>14166666.666666668</x:v>
      </x:c>
      <x:c r="C8" t="str">
        <x:v>R$</x:v>
      </x:c>
      <x:c r="D8" t="str">
        <x:v>post - capital</x:v>
      </x:c>
    </x:row>
    <x:row r="9">
      <x:c r="A9" t="str">
        <x:v>Runway</x:v>
      </x:c>
      <x:c r="B9" t="n">
        <x:v>18</x:v>
      </x:c>
      <x:c r="C9" t="str">
        <x:v>meses</x:v>
      </x:c>
      <x:c r="D9" t="str"/>
    </x:row>
    <x:row r="12">
      <x:c r="A12" s="49" t="str">
        <x:v>USO DOS RECURSOS</x:v>
      </x:c>
    </x:row>
    <x:row r="13">
      <x:c r="A13" s="13" t="str">
        <x:v>Frente</x:v>
      </x:c>
      <x:c r="B13" s="13" t="str">
        <x:v>%</x:v>
      </x:c>
      <x:c r="C13" s="13" t="str">
        <x:v>R$</x:v>
      </x:c>
    </x:row>
    <x:row r="14">
      <x:c r="A14" t="str">
        <x:v>Produto, tecnologia e IA</x:v>
      </x:c>
      <x:c r="B14" s="72" t="n">
        <x:v>0.42</x:v>
      </x:c>
      <x:c r="C14" s="20" t="n">
        <x:f>B14*$B$5</x:f>
        <x:v>1050000</x:v>
      </x:c>
    </x:row>
    <x:row r="15">
      <x:c r="A15" t="str">
        <x:v>Dados, integrações e segurança</x:v>
      </x:c>
      <x:c r="B15" s="72" t="n">
        <x:v>0.18</x:v>
      </x:c>
      <x:c r="C15" s="20" t="n">
        <x:f>B15*$B$5</x:f>
        <x:v>450000</x:v>
      </x:c>
    </x:row>
    <x:row r="16">
      <x:c r="A16" t="str">
        <x:v>Go-to-market</x:v>
      </x:c>
      <x:c r="B16" s="72" t="n">
        <x:v>0.22</x:v>
      </x:c>
      <x:c r="C16" s="20" t="n">
        <x:f>B16*$B$5</x:f>
        <x:v>550000</x:v>
      </x:c>
    </x:row>
    <x:row r="17">
      <x:c r="A17" t="str">
        <x:v>Operação / CS</x:v>
      </x:c>
      <x:c r="B17" s="72" t="n">
        <x:v>0.1</x:v>
      </x:c>
      <x:c r="C17" s="20" t="n">
        <x:f>B17*$B$5</x:f>
        <x:v>250000</x:v>
      </x:c>
    </x:row>
    <x:row r="18">
      <x:c r="A18" t="str">
        <x:v>Jurídico, LGPD e reserva</x:v>
      </x:c>
      <x:c r="B18" s="72" t="n">
        <x:v>0.08</x:v>
      </x:c>
      <x:c r="C18" s="20" t="n">
        <x:f>B18*$B$5</x:f>
        <x:v>200000</x:v>
      </x:c>
    </x:row>
    <x:row r="21">
      <x:c r="A21" s="75" t="str">
        <x:v>RETORNO POTENCIAL - CENÁRIOS</x:v>
      </x:c>
    </x:row>
    <x:row r="22">
      <x:c r="A22" s="13" t="str">
        <x:v>Cenário</x:v>
      </x:c>
      <x:c r="B22" s="13" t="str">
        <x:v>ARR saída</x:v>
      </x:c>
      <x:c r="C22" s="13" t="str">
        <x:v>EV/ARR</x:v>
      </x:c>
      <x:c r="D22" s="13" t="str">
        <x:v>Enterprise Value</x:v>
      </x:c>
      <x:c r="E22" s="13" t="str">
        <x:v>Participação</x:v>
      </x:c>
      <x:c r="F22" s="13" t="str">
        <x:v>MOIC</x:v>
      </x:c>
    </x:row>
    <x:row r="23">
      <x:c r="A23" t="str">
        <x:v>Conservador</x:v>
      </x:c>
      <x:c r="B23" s="20" t="n">
        <x:v>6000000</x:v>
      </x:c>
      <x:c r="C23" s="56" t="n">
        <x:v>3.5</x:v>
      </x:c>
      <x:c r="D23" s="20" t="n">
        <x:f>B23*C23</x:f>
        <x:v>21000000</x:v>
      </x:c>
      <x:c r="E23" s="20" t="n">
        <x:f>D23*$B$6</x:f>
        <x:v>3150000</x:v>
      </x:c>
      <x:c r="F23" s="56" t="n">
        <x:f>E23/$B$5</x:f>
        <x:v>1.26</x:v>
      </x:c>
    </x:row>
    <x:row r="24">
      <x:c r="A24" t="str">
        <x:v>Base</x:v>
      </x:c>
      <x:c r="B24" s="20" t="n">
        <x:v>12000000</x:v>
      </x:c>
      <x:c r="C24" s="56" t="n">
        <x:v>4.7</x:v>
      </x:c>
      <x:c r="D24" s="20" t="n">
        <x:f>B24*C24</x:f>
        <x:v>56400000</x:v>
      </x:c>
      <x:c r="E24" s="20" t="n">
        <x:f>D24*$B$6</x:f>
        <x:v>8460000</x:v>
      </x:c>
      <x:c r="F24" s="56" t="n">
        <x:f>E24/$B$5</x:f>
        <x:v>3.384</x:v>
      </x:c>
    </x:row>
    <x:row r="25">
      <x:c r="A25" t="str">
        <x:v>Agressivo</x:v>
      </x:c>
      <x:c r="B25" s="20" t="n">
        <x:v>20000000</x:v>
      </x:c>
      <x:c r="C25" s="56" t="n">
        <x:v>6</x:v>
      </x:c>
      <x:c r="D25" s="20" t="n">
        <x:f>B25*C25</x:f>
        <x:v>120000000</x:v>
      </x:c>
      <x:c r="E25" s="20" t="n">
        <x:f>D25*$B$6</x:f>
        <x:v>18000000</x:v>
      </x:c>
      <x:c r="F25" s="56" t="n">
        <x:f>E25/$B$5</x:f>
        <x:v>7.2</x:v>
      </x:c>
    </x:row>
  </x:sheetData>
  <x:mergeCells>
    <x:mergeCell ref="A1:F1"/>
    <x:mergeCell ref="A2:F2"/>
    <x:mergeCell ref="A12:F12"/>
    <x:mergeCell ref="A21:F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25" hidden="0" customWidth="1"/>
    <x:col min="4" max="4" width="25" hidden="0" customWidth="1"/>
    <x:col min="5" max="5" width="25" hidden="0" customWidth="1"/>
    <x:col min="6" max="6" width="30" hidden="0" customWidth="1"/>
    <x:col min="7" max="7" width="30" hidden="0" customWidth="1"/>
    <x:col min="8" max="8" width="25" hidden="0" customWidth="1"/>
    <x:col min="9" max="9" width="38" hidden="0" customWidth="1"/>
  </x:cols>
  <x:sheetData>
    <x:row r="1">
      <x:c r="A1" s="26" t="str">
        <x:v>Mapa de Patrocínio / Contratos Âncora</x:v>
      </x:c>
      <x:c r="B1" s="27"/>
      <x:c r="C1" s="27"/>
      <x:c r="D1" s="27"/>
      <x:c r="E1" s="27"/>
      <x:c r="F1" s="27"/>
      <x:c r="G1" s="27"/>
      <x:c r="H1" s="27"/>
      <x:c r="I1" s="27"/>
    </x:row>
    <x:row r="2">
      <x:c r="A2" s="6" t="str">
        <x:v>A proposta é infraestrutura de inteligência e conversão, não mídia ou diversidade isolada.</x:v>
      </x:c>
    </x:row>
    <x:row r="4">
      <x:c r="A4" s="31" t="str">
        <x:v>Patrocinador</x:v>
      </x:c>
      <x:c r="B4" s="31" t="str">
        <x:v>Problema</x:v>
      </x:c>
      <x:c r="C4" s="31" t="str">
        <x:v>Produto</x:v>
      </x:c>
      <x:c r="D4" s="31" t="str">
        <x:v>Fee mensal</x:v>
      </x:c>
      <x:c r="E4" s="31" t="str">
        <x:v>Setup</x:v>
      </x:c>
      <x:c r="F4" s="31" t="str">
        <x:v>KPI</x:v>
      </x:c>
      <x:c r="G4" s="31" t="str">
        <x:v>Prova financeira</x:v>
      </x:c>
      <x:c r="H4" s="31" t="str">
        <x:v>Contrato</x:v>
      </x:c>
      <x:c r="I4" s="31" t="str">
        <x:v>Tese</x:v>
      </x:c>
    </x:row>
    <x:row r="5">
      <x:c r="A5" t="str">
        <x:v>Grande empresa</x:v>
      </x:c>
      <x:c r="B5" t="str">
        <x:v>talentos + fornecedores + pesquisa</x:v>
      </x:c>
      <x:c r="C5" t="str">
        <x:v>Enterprise</x:v>
      </x:c>
      <x:c r="D5" s="20" t="n">
        <x:v>39900</x:v>
      </x:c>
      <x:c r="E5" s="20" t="n">
        <x:v>60000</x:v>
      </x:c>
      <x:c r="F5" t="str">
        <x:v>matches, conversão, retenção</x:v>
      </x:c>
      <x:c r="G5" t="str">
        <x:v>ROI anual</x:v>
      </x:c>
      <x:c r="H5" t="str">
        <x:v>12m</x:v>
      </x:c>
      <x:c r="I5" t="str">
        <x:v>investimento em pessoas vira resultado</x:v>
      </x:c>
    </x:row>
    <x:row r="6">
      <x:c r="A6" t="str">
        <x:v>Federação / associação</x:v>
      </x:c>
      <x:c r="B6" t="str">
        <x:v>valor para rede</x:v>
      </x:c>
      <x:c r="C6" t="str">
        <x:v>Ecosystem</x:v>
      </x:c>
      <x:c r="D6" s="20" t="n">
        <x:v>79900</x:v>
      </x:c>
      <x:c r="E6" s="20" t="n">
        <x:v>120000</x:v>
      </x:c>
      <x:c r="F6" t="str">
        <x:v>empresas, negócios, benchmark</x:v>
      </x:c>
      <x:c r="G6" t="str">
        <x:v>receita/contratos influenciados</x:v>
      </x:c>
      <x:c r="H6" t="str">
        <x:v>12-24m</x:v>
      </x:c>
      <x:c r="I6" t="str">
        <x:v>infraestrutura da rede</x:v>
      </x:c>
    </x:row>
    <x:row r="7">
      <x:c r="A7" t="str">
        <x:v>Universidade</x:v>
      </x:c>
      <x:c r="B7" t="str">
        <x:v>pesquisa + bolsas + carreira</x:v>
      </x:c>
      <x:c r="C7" t="str">
        <x:v>Ecosystem</x:v>
      </x:c>
      <x:c r="D7" s="20" t="n">
        <x:v>59900</x:v>
      </x:c>
      <x:c r="E7" s="20" t="n">
        <x:v>90000</x:v>
      </x:c>
      <x:c r="F7" t="str">
        <x:v>projetos, bolsas, empregabilidade</x:v>
      </x:c>
      <x:c r="G7" t="str">
        <x:v>parcerias + projetos</x:v>
      </x:c>
      <x:c r="H7" t="str">
        <x:v>12-24m</x:v>
      </x:c>
      <x:c r="I7" t="str">
        <x:v>conhecimento encontra desafio real</x:v>
      </x:c>
    </x:row>
    <x:row r="8">
      <x:c r="A8" t="str">
        <x:v>Produtora / evento</x:v>
      </x:c>
      <x:c r="B8" t="str">
        <x:v>equipe + fornecedores + público + marcas</x:v>
      </x:c>
      <x:c r="C8" t="str">
        <x:v>Eventos</x:v>
      </x:c>
      <x:c r="D8" s="20" t="n">
        <x:v>19900</x:v>
      </x:c>
      <x:c r="E8" s="20" t="n">
        <x:v>30000</x:v>
      </x:c>
      <x:c r="F8" t="str">
        <x:v>produtividade, consumo, patrocínio</x:v>
      </x:c>
      <x:c r="G8" t="str">
        <x:v>valor gerado/protegido</x:v>
      </x:c>
      <x:c r="H8" t="str">
        <x:v>12m + evento</x:v>
      </x:c>
      <x:c r="I8" t="str">
        <x:v>pessoas movem o lucro</x:v>
      </x:c>
    </x:row>
    <x:row r="9">
      <x:c r="A9" t="str">
        <x:v>Instituto / marca</x:v>
      </x:c>
      <x:c r="B9" t="str">
        <x:v>impacto + pipeline</x:v>
      </x:c>
      <x:c r="C9" t="str">
        <x:v>Growth/Enterprise</x:v>
      </x:c>
      <x:c r="D9" s="20" t="n">
        <x:v>29900</x:v>
      </x:c>
      <x:c r="E9" s="20" t="n">
        <x:v>45000</x:v>
      </x:c>
      <x:c r="F9" t="str">
        <x:v>acesso, conversão, impacto</x:v>
      </x:c>
      <x:c r="G9" t="str">
        <x:v>valor convertido</x:v>
      </x:c>
      <x:c r="H9" t="str">
        <x:v>12m</x:v>
      </x:c>
      <x:c r="I9" t="str">
        <x:v>patrocínio com evidência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50" hidden="0" customWidth="1"/>
    <x:col min="4" max="4" width="16" hidden="0" customWidth="1"/>
    <x:col min="5" max="5" width="62" hidden="0" customWidth="1"/>
    <x:col min="6" max="6" width="38" hidden="0" customWidth="1"/>
  </x:cols>
  <x:sheetData>
    <x:row r="1">
      <x:c r="A1" s="26" t="str">
        <x:v>Fontes e Benchmarks</x:v>
      </x:c>
      <x:c r="B1" s="27"/>
      <x:c r="C1" s="27"/>
      <x:c r="D1" s="27"/>
      <x:c r="E1" s="27"/>
      <x:c r="F1" s="27"/>
    </x:row>
    <x:row r="2">
      <x:c r="A2" s="6" t="str">
        <x:v>Referências públicas para ancoragem. Atualizar antes de rodada formal.</x:v>
      </x:c>
    </x:row>
    <x:row r="4">
      <x:c r="A4" s="31" t="str">
        <x:v>Tema</x:v>
      </x:c>
      <x:c r="B4" s="31" t="str">
        <x:v>Fonte</x:v>
      </x:c>
      <x:c r="C4" s="31" t="str">
        <x:v>Dado usado</x:v>
      </x:c>
      <x:c r="D4" s="31" t="str">
        <x:v>Consulta</x:v>
      </x:c>
      <x:c r="E4" s="31" t="str">
        <x:v>URL</x:v>
      </x:c>
      <x:c r="F4" s="31" t="str">
        <x:v>Nota</x:v>
      </x:c>
    </x:row>
    <x:row r="5">
      <x:c r="A5" t="str">
        <x:v>Procurement</x:v>
      </x:c>
      <x:c r="B5" t="str">
        <x:v>SAP</x:v>
      </x:c>
      <x:c r="C5" t="str">
        <x:v>R$ 12.394/mês em oferta pública de spend/supplier management</x:v>
      </x:c>
      <x:c r="D5" t="str">
        <x:v>20/08/2026</x:v>
      </x:c>
      <x:c r="E5" t="str">
        <x:v>https://www.sap.com/brazil/products/spend-management/pricing.html</x:v>
      </x:c>
      <x:c r="F5" t="str">
        <x:v>fragmento, não comparável 1:1</x:v>
      </x:c>
    </x:row>
    <x:row r="6">
      <x:c r="A6" t="str">
        <x:v>HR Tech</x:v>
      </x:c>
      <x:c r="B6" t="str">
        <x:v>Gupy</x:v>
      </x:c>
      <x:c r="C6" t="str">
        <x:v>planos por módulos; Enterprise sob cotação</x:v>
      </x:c>
      <x:c r="D6" t="str">
        <x:v>20/08/2026</x:v>
      </x:c>
      <x:c r="E6" t="str">
        <x:v>https://www.gupy.io/precos</x:v>
      </x:c>
      <x:c r="F6" t="str">
        <x:v>suíte de pessoas</x:v>
      </x:c>
    </x:row>
    <x:row r="7">
      <x:c r="A7" t="str">
        <x:v>Recruiting</x:v>
      </x:c>
      <x:c r="B7" t="str">
        <x:v>LinkedIn Recruiter</x:v>
      </x:c>
      <x:c r="C7" t="str">
        <x:v>preço varia por licenças e tamanho; Lite público em USD</x:v>
      </x:c>
      <x:c r="D7" t="str">
        <x:v>20/08/2026</x:v>
      </x:c>
      <x:c r="E7" t="str">
        <x:v>https://business.linkedin.com/br/pt/hire/recruiter</x:v>
      </x:c>
      <x:c r="F7" t="str">
        <x:v>por assento</x:v>
      </x:c>
    </x:row>
    <x:row r="8">
      <x:c r="A8" t="str">
        <x:v>Pesquisa</x:v>
      </x:c>
      <x:c r="B8" t="str">
        <x:v>SurveyMonkey</x:v>
      </x:c>
      <x:c r="C8" t="str">
        <x:v>US$30 e US$92/usuário/mês nos planos Team</x:v>
      </x:c>
      <x:c r="D8" t="str">
        <x:v>20/08/2026</x:v>
      </x:c>
      <x:c r="E8" t="str">
        <x:v>https://www.surveymonkey.com/pricing/</x:v>
      </x:c>
      <x:c r="F8" t="str">
        <x:v>pesquisa isolada</x:v>
      </x:c>
    </x:row>
    <x:row r="9">
      <x:c r="A9" t="str">
        <x:v>Experience</x:v>
      </x:c>
      <x:c r="B9" t="str">
        <x:v>Qualtrics</x:v>
      </x:c>
      <x:c r="C9" t="str">
        <x:v>preço por cotação / uso planejado</x:v>
      </x:c>
      <x:c r="D9" t="str">
        <x:v>20/08/2026</x:v>
      </x:c>
      <x:c r="E9" t="str">
        <x:v>https://www.qualtrics.com/pt-br/pricing/</x:v>
      </x:c>
      <x:c r="F9" t="str">
        <x:v>inteligência enterprise</x:v>
      </x:c>
    </x:row>
    <x:row r="10">
      <x:c r="A10" t="str">
        <x:v>Valuation</x:v>
      </x:c>
      <x:c r="B10" t="str">
        <x:v>Windsor Drake / PitchBook</x:v>
      </x:c>
      <x:c r="C10" t="str">
        <x:v>Vertical SaaS privado Q2/2026 ~4,7x EV/Revenue; público ~3,5x</x:v>
      </x:c>
      <x:c r="D10" t="str">
        <x:v>20/08/2026</x:v>
      </x:c>
      <x:c r="E10" t="str">
        <x:v>https://windsordrake.com/market-intelligence/reports/files/vertical-saas-valuations-q2-2026-report.pdf</x:v>
      </x:c>
      <x:c r="F10" t="str">
        <x:v>faixa de referência</x:v>
      </x:c>
    </x:row>
    <x:row r="11">
      <x:c r="A11" t="str">
        <x:v>Unit economics</x:v>
      </x:c>
      <x:c r="B11" t="str">
        <x:v>Benchmarkit / PMCF</x:v>
      </x:c>
      <x:c r="C11" t="str">
        <x:v>LTV:CAC mediano citado ~3,3x em coorte B2B SaaS</x:v>
      </x:c>
      <x:c r="D11" t="str">
        <x:v>20/08/2026</x:v>
      </x:c>
      <x:c r="E11" t="str">
        <x:v>https://pmcf.com/download/78/business-services-technology/13673/pmcf-pulse-software-technology-2025-q3.pdf</x:v>
      </x:c>
      <x:c r="F11" t="str">
        <x:v>eficiência comercial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HUB | Mapa Financeiro da Plataforma</x:v>
      </x:c>
    </x:row>
    <x:row r="2">
      <x:c r="A2" s="6" t="str">
        <x:v>Modelo para patrocinadores e investidores: monetização, ROI, escala e retorno.</x:v>
      </x:c>
    </x:row>
    <x:row r="4">
      <x:c r="A4" s="9" t="str">
        <x:v>TESE FINANCEIRA</x:v>
      </x:c>
    </x:row>
    <x:row r="5">
      <x:c r="A5" s="79" t="str">
        <x:v>O HUB integra fragmentos hoje comprados separadamente - talentos, fornecedores, pesquisa, inteligência de dados, match, conversão e mensuração financeira. A monetização recomendada combina assinatura recorrente, implantação, licenças por projeto/evento e success fee opcional.</x:v>
      </x:c>
    </x:row>
    <x:row r="9">
      <x:c r="A9" s="82" t="str">
        <x:v>Enterprise / mês</x:v>
      </x:c>
      <x:c r="D9" s="82" t="str">
        <x:v>ROI cliente - caso base</x:v>
      </x:c>
      <x:c r="G9" s="82" t="str">
        <x:v>Break-even clientes</x:v>
      </x:c>
      <x:c r="J9" s="82" t="str">
        <x:v>Rodada sugerida</x:v>
      </x:c>
    </x:row>
    <x:row r="10">
      <x:c r="A10" s="88" t="n">
        <x:f>'02_Precificacao'!C7</x:f>
        <x:v>39900</x:v>
      </x:c>
      <x:c r="D10" s="90" t="n">
        <x:f>'03_ROI_Cliente'!C26</x:f>
        <x:v>0.338158871566444</x:v>
      </x:c>
      <x:c r="G10" s="92" t="n">
        <x:f>'04_Unit_Economics'!B17</x:f>
        <x:v>6.563368681148976</x:v>
      </x:c>
      <x:c r="J10" s="88" t="n">
        <x:f>'06_Investidor'!B5</x:f>
        <x:v>2500000</x:v>
      </x:c>
    </x:row>
    <x:row r="15">
      <x:c r="A15" s="49" t="str">
        <x:v>RECOMENDAÇÃO</x:v>
      </x:c>
    </x:row>
    <x:row r="16">
      <x:c r="A16" s="41" t="str">
        <x:v>Segmento</x:v>
      </x:c>
      <x:c r="B16" s="41" t="str">
        <x:v>Oferta</x:v>
      </x:c>
      <x:c r="C16" s="41" t="str">
        <x:v>Fee mensal</x:v>
      </x:c>
      <x:c r="D16" s="41" t="str">
        <x:v>Implantação</x:v>
      </x:c>
      <x:c r="E16" s="41" t="str">
        <x:v>Variável</x:v>
      </x:c>
      <x:c r="F16" s="41" t="str">
        <x:v>Contrato</x:v>
      </x:c>
    </x:row>
    <x:row r="17">
      <x:c r="A17" s="27" t="str">
        <x:v>Empresa média</x:v>
      </x:c>
      <x:c r="B17" s="27" t="str">
        <x:v>Growth</x:v>
      </x:c>
      <x:c r="C17" s="27" t="str">
        <x:v>R$ 14,9 mil</x:v>
      </x:c>
      <x:c r="D17" s="27" t="str">
        <x:v>R$ 25 mil</x:v>
      </x:c>
      <x:c r="E17" s="27" t="str">
        <x:v>opcional</x:v>
      </x:c>
      <x:c r="F17" s="27" t="str">
        <x:v>12 meses</x:v>
      </x:c>
    </x:row>
    <x:row r="18">
      <x:c r="A18" s="27" t="str">
        <x:v>Grande empresa</x:v>
      </x:c>
      <x:c r="B18" s="27" t="str">
        <x:v>Enterprise</x:v>
      </x:c>
      <x:c r="C18" s="27" t="str">
        <x:v>R$ 39,9 mil</x:v>
      </x:c>
      <x:c r="D18" s="27" t="str">
        <x:v>R$ 60 mil</x:v>
      </x:c>
      <x:c r="E18" s="27" t="str">
        <x:v>até 3% convertido</x:v>
      </x:c>
      <x:c r="F18" s="27" t="str">
        <x:v>12 meses</x:v>
      </x:c>
    </x:row>
    <x:row r="19">
      <x:c r="A19" s="27" t="str">
        <x:v>Rede / universidade</x:v>
      </x:c>
      <x:c r="B19" s="27" t="str">
        <x:v>Ecosystem</x:v>
      </x:c>
      <x:c r="C19" s="27" t="str">
        <x:v>R$ 79,9 mil</x:v>
      </x:c>
      <x:c r="D19" s="27" t="str">
        <x:v>R$ 120 mil</x:v>
      </x:c>
      <x:c r="E19" s="27" t="str">
        <x:v>até 2% convertido</x:v>
      </x:c>
      <x:c r="F19" s="27" t="str">
        <x:v>12-24 meses</x:v>
      </x:c>
    </x:row>
    <x:row r="20">
      <x:c r="A20" s="27" t="str">
        <x:v>Eventos</x:v>
      </x:c>
      <x:c r="B20" s="27" t="str">
        <x:v>base + licença/evento</x:v>
      </x:c>
      <x:c r="C20" s="27" t="str">
        <x:v>R$ 19,9 mil</x:v>
      </x:c>
      <x:c r="D20" s="27" t="str">
        <x:v>R$ 30 mil</x:v>
      </x:c>
      <x:c r="E20" s="27" t="str">
        <x:v>R$ 15-60 mil/evento + variável</x:v>
      </x:c>
      <x:c r="F20" s="27" t="str">
        <x:v>12 meses</x:v>
      </x:c>
    </x:row>
    <x:row r="23">
      <x:c r="A23" s="75" t="str">
        <x:v>NARRATIVA PARA PATROCINADOR / INVESTIDOR</x:v>
      </x:c>
    </x:row>
    <x:row r="24">
      <x:c r="A24" s="27" t="str">
        <x:v>1</x:v>
      </x:c>
      <x:c r="B24" s="27" t="str">
        <x:v>Não vender como software de diversidade: vender como infraestrutura de inteligência de pessoas e negócios; diversidade é lente transversal.</x:v>
      </x:c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</x:row>
    <x:row r="25">
      <x:c r="A25" s="27" t="str">
        <x:v>2</x:v>
      </x:c>
      <x:c r="B25" s="27" t="str">
        <x:v>O preço é ancorado no valor econômico: receita influenciada + custos evitados + riscos reduzidos.</x:v>
      </x:c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</x:row>
    <x:row r="26">
      <x:c r="A26" s="27" t="str">
        <x:v>3</x:v>
      </x:c>
      <x:c r="B26" s="27" t="str">
        <x:v>A vantagem competitiva é o grafo de dados e a aprendizagem entre módulos: cada conexão melhora o próximo match e a mensuração.</x:v>
      </x:c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</x:row>
    <x:row r="27">
      <x:c r="A27" s="27" t="str">
        <x:v>4</x:v>
      </x:c>
      <x:c r="B27" s="27" t="str">
        <x:v>O investidor financia a transformação de projetos/pilotos em produto recorrente, integrações e distribuição enterprise.</x:v>
      </x:c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</x:row>
    <x:row r="28">
      <x:c r="A28" s="27" t="str">
        <x:v>5</x:v>
      </x:c>
      <x:c r="B28" s="27" t="str">
        <x:v>O objetivo da rodada é chegar a tração que permita reprecificação: ARR, retenção, LTV/CAC e evidência de ROI por cliente.</x:v>
      </x:c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</x:row>
  </x:sheetData>
  <x:mergeCells>
    <x:mergeCell ref="A1:L1"/>
    <x:mergeCell ref="A2:L2"/>
    <x:mergeCell ref="A4:L4"/>
    <x:mergeCell ref="A5:L7"/>
    <x:mergeCell ref="A9:C9"/>
    <x:mergeCell ref="A10:C12"/>
    <x:mergeCell ref="D9:F9"/>
    <x:mergeCell ref="D10:F12"/>
    <x:mergeCell ref="G9:I9"/>
    <x:mergeCell ref="G10:I12"/>
    <x:mergeCell ref="J9:L9"/>
    <x:mergeCell ref="J10:L12"/>
    <x:mergeCell ref="A15:L15"/>
    <x:mergeCell ref="A23:L23"/>
  </x:mergeCells>
  <x:pageMargins left="0.7" right="0.7" top="0.75" bottom="0.75" header="0.3" footer="0.3"/>
</x:worksheet>
</file>