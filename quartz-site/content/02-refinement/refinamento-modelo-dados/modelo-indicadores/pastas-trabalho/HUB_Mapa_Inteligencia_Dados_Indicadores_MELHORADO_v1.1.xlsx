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db892a3e6cf4a7a" 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00_Change_Log" sheetId="16" r:id="Rbc54b757ba4143cb"/>
    <x:sheet xmlns:r="http://schemas.openxmlformats.org/officeDocument/2006/relationships" name="00_Leia-me" sheetId="1" state="visible" r:id="rId1"/>
    <x:sheet xmlns:r="http://schemas.openxmlformats.org/officeDocument/2006/relationships" name="01_Mapa_Visual" sheetId="2" state="visible" r:id="rId2"/>
    <x:sheet xmlns:r="http://schemas.openxmlformats.org/officeDocument/2006/relationships" name="02_Nos_de_Dados" sheetId="3" state="visible" r:id="rId3"/>
    <x:sheet xmlns:r="http://schemas.openxmlformats.org/officeDocument/2006/relationships" name="03_Conexoes" sheetId="4" state="visible" r:id="rId4"/>
    <x:sheet xmlns:r="http://schemas.openxmlformats.org/officeDocument/2006/relationships" name="04_Indicadores_Master" sheetId="5" state="visible" r:id="rId5"/>
    <x:sheet xmlns:r="http://schemas.openxmlformats.org/officeDocument/2006/relationships" name="05_Arvore_de_Valor" sheetId="6" state="visible" r:id="rId6"/>
    <x:sheet xmlns:r="http://schemas.openxmlformats.org/officeDocument/2006/relationships" name="06_Simulador_ROI" sheetId="7" state="visible" r:id="rId7"/>
    <x:sheet xmlns:r="http://schemas.openxmlformats.org/officeDocument/2006/relationships" name="07_Visoes_Dashboard" sheetId="8" state="visible" r:id="rId8"/>
    <x:sheet xmlns:r="http://schemas.openxmlformats.org/officeDocument/2006/relationships" name="08_Dicionario_Dados" sheetId="9" state="visible" r:id="rId9"/>
    <x:sheet xmlns:r="http://schemas.openxmlformats.org/officeDocument/2006/relationships" name="09_Eventos_Produto" sheetId="10" state="visible" r:id="rId10"/>
    <x:sheet xmlns:r="http://schemas.openxmlformats.org/officeDocument/2006/relationships" name="10_Integracoes" sheetId="11" state="visible" r:id="rId11"/>
    <x:sheet xmlns:r="http://schemas.openxmlformats.org/officeDocument/2006/relationships" name="11_Governanca_LGPD" sheetId="12" state="visible" r:id="rId12"/>
    <x:sheet xmlns:r="http://schemas.openxmlformats.org/officeDocument/2006/relationships" name="12_Roadmap" sheetId="13" state="visible" r:id="rId13"/>
    <x:sheet xmlns:r="http://schemas.openxmlformats.org/officeDocument/2006/relationships" name="13_Matriz_Integracao" sheetId="14" state="visible" r:id="rId14"/>
    <x:sheet xmlns:r="http://schemas.openxmlformats.org/officeDocument/2006/relationships" name="14_RACI" sheetId="15" state="visible" r:id="rId15"/>
  </x:sheets>
  <x:definedNames>
    <x:definedName name="_xlnm._FilterDatabase" localSheetId="3" hidden="1">'02_Nos_de_Dados'!$A$5:$K$30</x:definedName>
    <x:definedName name="_xlnm.Print_Titles" localSheetId="3">'02_Nos_de_Dados'!$1:$5</x:definedName>
    <x:definedName name="_xlnm._FilterDatabase" localSheetId="4" hidden="1">'03_Conexoes'!$A$5:$K$25</x:definedName>
    <x:definedName name="_xlnm.Print_Titles" localSheetId="4">'03_Conexoes'!$1:$5</x:definedName>
    <x:definedName name="_xlnm._FilterDatabase" localSheetId="5" hidden="1">'04_Indicadores_Master'!$A$5:$T$78</x:definedName>
    <x:definedName name="_xlnm.Print_Titles" localSheetId="5">'04_Indicadores_Master'!$1:$5</x:definedName>
    <x:definedName name="_xlnm._FilterDatabase" localSheetId="6" hidden="1">'05_Arvore_de_Valor'!$A$5:$J$17</x:definedName>
    <x:definedName name="_xlnm.Print_Titles" localSheetId="6">'05_Arvore_de_Valor'!$1:$5</x:definedName>
    <x:definedName name="_xlnm._FilterDatabase" localSheetId="8" hidden="1">'07_Visoes_Dashboard'!$A$5:$J$15</x:definedName>
    <x:definedName name="_xlnm.Print_Titles" localSheetId="8">'07_Visoes_Dashboard'!$1:$5</x:definedName>
    <x:definedName name="_xlnm._FilterDatabase" localSheetId="9" hidden="1">'08_Dicionario_Dados'!$A$5:$L$46</x:definedName>
    <x:definedName name="_xlnm.Print_Titles" localSheetId="9">'08_Dicionario_Dados'!$1:$5</x:definedName>
    <x:definedName name="_xlnm._FilterDatabase" localSheetId="10" hidden="1">'09_Eventos_Produto'!$A$5:$K$32</x:definedName>
    <x:definedName name="_xlnm.Print_Titles" localSheetId="10">'09_Eventos_Produto'!$1:$5</x:definedName>
    <x:definedName name="_xlnm._FilterDatabase" localSheetId="11" hidden="1">'10_Integracoes'!$A$5:$L$20</x:definedName>
    <x:definedName name="_xlnm.Print_Titles" localSheetId="11">'10_Integracoes'!$1:$5</x:definedName>
    <x:definedName name="_xlnm._FilterDatabase" localSheetId="12" hidden="1">'11_Governanca_LGPD'!$A$5:$J$28</x:definedName>
    <x:definedName name="_xlnm.Print_Titles" localSheetId="12">'11_Governanca_LGPD'!$1:$5</x:definedName>
    <x:definedName name="_xlnm._FilterDatabase" localSheetId="13" hidden="1">'12_Roadmap'!$A$5:$J$10</x:definedName>
    <x:definedName name="_xlnm.Print_Titles" localSheetId="13">'12_Roadmap'!$1:$5</x:definedName>
    <x:definedName name="_xlnm._FilterDatabase" localSheetId="14" hidden="1">'13_Matriz_Integracao'!$A$5:$L$17</x:definedName>
    <x:definedName name="_xlnm.Print_Titles" localSheetId="14">'13_Matriz_Integracao'!$1:$5</x:definedName>
    <x:definedName name="_xlnm._FilterDatabase" localSheetId="15" hidden="1">'14_RACI'!$A$5:$L$18</x:definedName>
    <x:definedName name="_xlnm.Print_Titles" localSheetId="15">'14_RACI'!$1:$5</x:definedName>
  </x:definedNames>
  <x:calcPr calcId="124519" calcMode="auto" fullCalcOnLoad="1" forceFullCalc="1"/>
</x:workbook>
</file>

<file path=xl/styles.xml><?xml version="1.0" encoding="utf-8"?>
<x:styleSheet xmlns:x="http://schemas.openxmlformats.org/spreadsheetml/2006/main">
  <x:numFmts count="5">
    <x:numFmt numFmtId="164" formatCode="R$ #,##0.00"/>
    <x:numFmt numFmtId="165" formatCode="0.0%"/>
    <x:numFmt numFmtId="166" formatCode="0.0 &quot;meses&quot;"/>
    <x:numFmt numFmtId="167" formatCode="R$ #,##0"/>
    <x:numFmt numFmtId="168" formatCode="0.00x"/>
  </x:numFmts>
  <x:fonts count="19">
    <x:font>
      <x:name val="Calibri"/>
      <x:family val="2"/>
      <x:color theme="1"/>
      <x:sz val="11"/>
      <x:scheme val="minor"/>
    </x:font>
    <x:font>
      <x:b val="1"/>
      <x:color rgb="00FFFFFF"/>
      <x:sz val="20"/>
    </x:font>
    <x:font>
      <x:i val="1"/>
      <x:color rgb="00D7E5F0"/>
      <x:sz val="10"/>
    </x:font>
    <x:font>
      <x:b val="1"/>
      <x:color rgb="00041C35"/>
      <x:sz val="12"/>
    </x:font>
    <x:font>
      <x:b val="1"/>
      <x:color rgb="00FFFFFF"/>
      <x:sz val="11"/>
    </x:font>
    <x:font>
      <x:b val="1"/>
      <x:color rgb="000078B8"/>
      <x:u val="single"/>
    </x:font>
    <x:font>
      <x:color rgb="00041C35"/>
      <x:sz val="9"/>
    </x:font>
    <x:font>
      <x:b val="1"/>
      <x:color rgb="00041C35"/>
      <x:sz val="9"/>
    </x:font>
    <x:font>
      <x:b val="1"/>
      <x:color rgb="00FFFFFF"/>
      <x:sz val="10"/>
    </x:font>
    <x:font>
      <x:b val="1"/>
      <x:color rgb="00041C35"/>
      <x:sz val="10"/>
    </x:font>
    <x:font>
      <x:b val="1"/>
      <x:color rgb="00FFFFFF"/>
    </x:font>
    <x:font>
      <x:b val="1"/>
      <x:color rgb="00041C35"/>
    </x:font>
    <x:font>
      <x:color rgb="00041C35"/>
      <x:sz val="10"/>
    </x:font>
    <x:font>
      <x:b val="1"/>
      <x:color rgb="00FFFFFF"/>
      <x:sz val="9"/>
    </x:font>
    <x:font>
      <x:b val="1"/>
      <x:color rgb="00041C35"/>
      <x:sz val="11"/>
    </x:font>
    <x:font>
      <x:b val="1"/>
      <x:color rgb="00008D92"/>
      <x:sz val="14"/>
    </x:font>
    <x:font>
      <x:color rgb="00AAB4BD"/>
      <x:sz val="14"/>
    </x:font>
    <x:font>
      <x:b/>
      <x:sz val="16"/>
      <x:color rgb="FFFFFFFF"/>
      <x:name val="Calibri"/>
      <x:family xmlns:x="http://schemas.openxmlformats.org/spreadsheetml/2006/main" val="2"/>
      <x:scheme xmlns:x="http://schemas.openxmlformats.org/spreadsheetml/2006/main" val="minor"/>
    </x:font>
    <x:font>
      <x:b/>
      <x:sz val="11"/>
      <x:color rgb="FFFFFFFF"/>
      <x:name val="Calibri"/>
      <x:family xmlns:x="http://schemas.openxmlformats.org/spreadsheetml/2006/main" val="2"/>
      <x:scheme xmlns:x="http://schemas.openxmlformats.org/spreadsheetml/2006/main" val="minor"/>
    </x:font>
  </x:fonts>
  <x:fills count="23">
    <x:fill>
      <x:patternFill/>
    </x:fill>
    <x:fill>
      <x:patternFill patternType="gray125"/>
    </x:fill>
    <x:fill>
      <x:patternFill patternType="solid">
        <x:fgColor rgb="00041C35"/>
      </x:patternFill>
    </x:fill>
    <x:fill>
      <x:patternFill patternType="solid">
        <x:fgColor rgb="000A2948"/>
      </x:patternFill>
    </x:fill>
    <x:fill>
      <x:patternFill patternType="solid">
        <x:fgColor rgb="00F7F2EB"/>
      </x:patternFill>
    </x:fill>
    <x:fill>
      <x:patternFill patternType="solid">
        <x:fgColor rgb="00FF4B35"/>
      </x:patternFill>
    </x:fill>
    <x:fill>
      <x:patternFill patternType="solid">
        <x:fgColor rgb="00FFFFFF"/>
      </x:patternFill>
    </x:fill>
    <x:fill>
      <x:patternFill patternType="solid">
        <x:fgColor rgb="00F4F7F9"/>
      </x:patternFill>
    </x:fill>
    <x:fill>
      <x:patternFill patternType="solid">
        <x:fgColor rgb="00008D92"/>
      </x:patternFill>
    </x:fill>
    <x:fill>
      <x:patternFill patternType="solid">
        <x:fgColor rgb="00DCEFED"/>
      </x:patternFill>
    </x:fill>
    <x:fill>
      <x:patternFill patternType="solid">
        <x:fgColor rgb="00EDE2F3"/>
      </x:patternFill>
    </x:fill>
    <x:fill>
      <x:patternFill patternType="solid">
        <x:fgColor rgb="00EEF5CF"/>
      </x:patternFill>
    </x:fill>
    <x:fill>
      <x:patternFill patternType="solid">
        <x:fgColor rgb="00FDE2DC"/>
      </x:patternFill>
    </x:fill>
    <x:fill>
      <x:patternFill patternType="solid">
        <x:fgColor rgb="006F3FA0"/>
      </x:patternFill>
    </x:fill>
    <x:fill>
      <x:patternFill patternType="solid">
        <x:fgColor rgb="000078B8"/>
      </x:patternFill>
    </x:fill>
    <x:fill>
      <x:patternFill patternType="solid">
        <x:fgColor rgb="00F2B84B"/>
      </x:patternFill>
    </x:fill>
    <x:fill>
      <x:patternFill patternType="solid">
        <x:fgColor rgb="00B7D51F"/>
      </x:patternFill>
    </x:fill>
    <x:fill>
      <x:patternFill patternType="solid">
        <x:fgColor rgb="00DDECF4"/>
      </x:patternFill>
    </x:fill>
    <x:fill>
      <x:patternFill patternType="solid">
        <x:fgColor rgb="00FFF0D5"/>
      </x:patternFill>
    </x:fill>
    <x:fill>
      <x:patternFill patternType="solid">
        <x:fgColor rgb="00D9E4EE"/>
      </x:patternFill>
    </x:fill>
    <x:fill>
      <x:patternFill patternType="solid">
        <x:fgColor rgb="00FFF2CC"/>
      </x:patternFill>
    </x:fill>
    <x:fill>
      <x:patternFill patternType="solid">
        <x:fgColor rgb="FF041C35"/>
      </x:patternFill>
    </x:fill>
    <x:fill>
      <x:patternFill patternType="solid">
        <x:fgColor rgb="FF008D92"/>
      </x:patternFill>
    </x:fill>
  </x:fills>
  <x:borders count="8">
    <x:border>
      <x:left/>
      <x:right/>
      <x:top/>
      <x:bottom/>
      <x:diagonal/>
    </x:border>
    <x:border>
      <x:bottom style="medium">
        <x:color rgb="00FF4B35"/>
      </x:bottom>
    </x:border>
    <x:border>
      <x:left style="thin">
        <x:color rgb="00D8DFE5"/>
      </x:left>
      <x:right style="thin">
        <x:color rgb="00D8DFE5"/>
      </x:right>
      <x:top style="thin">
        <x:color rgb="00D8DFE5"/>
      </x:top>
      <x:bottom style="thin">
        <x:color rgb="00D8DFE5"/>
      </x:bottom>
    </x:border>
    <x:border>
      <x:left/>
      <x:right/>
      <x:top style="thin">
        <x:color rgb="00D8DFE5"/>
      </x:top>
      <x:bottom/>
      <x:diagonal/>
    </x:border>
    <x:border>
      <x:left/>
      <x:right style="thin">
        <x:color rgb="00D8DFE5"/>
      </x:right>
      <x:top style="thin">
        <x:color rgb="00D8DFE5"/>
      </x:top>
      <x:bottom/>
      <x:diagonal/>
    </x:border>
    <x:border>
      <x:left/>
      <x:right/>
      <x:top style="thin">
        <x:color rgb="00D8DFE5"/>
      </x:top>
      <x:bottom style="thin">
        <x:color rgb="00D8DFE5"/>
      </x:bottom>
      <x:diagonal/>
    </x:border>
    <x:border>
      <x:left/>
      <x:right style="thin">
        <x:color rgb="00D8DFE5"/>
      </x:right>
      <x:top style="thin">
        <x:color rgb="00D8DFE5"/>
      </x:top>
      <x:bottom style="thin">
        <x:color rgb="00D8DFE5"/>
      </x:bottom>
      <x:diagonal/>
    </x:border>
    <x:border>
      <x:left style="medium">
        <x:color rgb="00FFFFFF"/>
      </x:left>
      <x:right style="medium">
        <x:color rgb="00FFFFFF"/>
      </x:right>
      <x:top style="thin">
        <x:color rgb="00D8DFE5"/>
      </x:top>
      <x:bottom style="thin">
        <x:color rgb="00D8DFE5"/>
      </x:bottom>
    </x:border>
  </x:borders>
  <x:cellStyleXfs count="1">
    <x:xf numFmtId="0" fontId="0" fillId="0" borderId="0"/>
  </x:cellStyleXfs>
  <x:cellXfs count="77">
    <x:xf numFmtId="0" fontId="0" fillId="0" borderId="0" xfId="0" quotePrefix="0" pivotButton="0"/>
    <x:xf numFmtId="0" fontId="1" fillId="2" borderId="0" xfId="0" quotePrefix="0" pivotButton="0" applyAlignment="1">
      <x:alignment horizontal="left" vertical="center"/>
    </x:xf>
    <x:xf numFmtId="0" fontId="0" fillId="2" borderId="0" xfId="0" quotePrefix="0" pivotButton="0"/>
    <x:xf numFmtId="0" fontId="2" fillId="3" borderId="0" xfId="0" quotePrefix="0" pivotButton="0" applyAlignment="1">
      <x:alignment vertical="center"/>
    </x:xf>
    <x:xf numFmtId="0" fontId="3" fillId="4" borderId="1" xfId="0" quotePrefix="0" pivotButton="0" applyAlignment="1">
      <x:alignment vertical="center" wrapText="1"/>
    </x:xf>
    <x:xf numFmtId="0" fontId="4" fillId="5" borderId="0" xfId="0" quotePrefix="0" pivotButton="0" applyAlignment="1">
      <x:alignment vertical="center"/>
    </x:xf>
    <x:xf numFmtId="0" fontId="6" fillId="6" borderId="2" xfId="0" quotePrefix="0" pivotButton="0" applyAlignment="1">
      <x:alignment horizontal="left" vertical="top" wrapText="1"/>
    </x:xf>
    <x:xf numFmtId="0" fontId="6" fillId="7" borderId="2" xfId="0" quotePrefix="0" pivotButton="0" applyAlignment="1">
      <x:alignment horizontal="left" vertical="top" wrapText="1"/>
    </x:xf>
    <x:xf numFmtId="0" fontId="4" fillId="8" borderId="0" xfId="0" quotePrefix="0" pivotButton="0" applyAlignment="1">
      <x:alignment vertical="center"/>
    </x:xf>
    <x:xf numFmtId="0" fontId="6" fillId="9" borderId="2" xfId="0" quotePrefix="0" pivotButton="0" applyAlignment="1">
      <x:alignment horizontal="left" vertical="top" wrapText="1"/>
    </x:xf>
    <x:xf numFmtId="0" fontId="0" fillId="0" borderId="5" xfId="0" quotePrefix="0" pivotButton="0"/>
    <x:xf numFmtId="0" fontId="0" fillId="0" borderId="6" xfId="0" quotePrefix="0" pivotButton="0"/>
    <x:xf numFmtId="0" fontId="6" fillId="10" borderId="2" xfId="0" quotePrefix="0" pivotButton="0" applyAlignment="1">
      <x:alignment horizontal="left" vertical="top" wrapText="1"/>
    </x:xf>
    <x:xf numFmtId="0" fontId="6" fillId="11" borderId="2" xfId="0" quotePrefix="0" pivotButton="0" applyAlignment="1">
      <x:alignment horizontal="left" vertical="top" wrapText="1"/>
    </x:xf>
    <x:xf numFmtId="0" fontId="6" fillId="12" borderId="2" xfId="0" quotePrefix="0" pivotButton="0" applyAlignment="1">
      <x:alignment horizontal="left" vertical="top" wrapText="1"/>
    </x:xf>
    <x:xf numFmtId="0" fontId="4" fillId="13" borderId="0" xfId="0" quotePrefix="0" pivotButton="0" applyAlignment="1">
      <x:alignment vertical="center"/>
    </x:xf>
    <x:xf numFmtId="0" fontId="7" fillId="4" borderId="2" xfId="0" quotePrefix="0" pivotButton="0" applyAlignment="1">
      <x:alignment horizontal="left" vertical="top" wrapText="1"/>
    </x:xf>
    <x:xf numFmtId="0" fontId="6" fillId="4" borderId="2" xfId="0" quotePrefix="0" pivotButton="0" applyAlignment="1">
      <x:alignment horizontal="left" vertical="top" wrapText="1"/>
    </x:xf>
    <x:xf numFmtId="0" fontId="8" fillId="5" borderId="0" xfId="0" quotePrefix="0" pivotButton="0" applyAlignment="1">
      <x:alignment horizontal="center" vertical="center"/>
    </x:xf>
    <x:xf numFmtId="0" fontId="8" fillId="13" borderId="0" xfId="0" quotePrefix="0" pivotButton="0" applyAlignment="1">
      <x:alignment horizontal="center" vertical="center"/>
    </x:xf>
    <x:xf numFmtId="0" fontId="8" fillId="14" borderId="0" xfId="0" quotePrefix="0" pivotButton="0" applyAlignment="1">
      <x:alignment horizontal="center" vertical="center"/>
    </x:xf>
    <x:xf numFmtId="0" fontId="8" fillId="8" borderId="0" xfId="0" quotePrefix="0" pivotButton="0" applyAlignment="1">
      <x:alignment horizontal="center" vertical="center"/>
    </x:xf>
    <x:xf numFmtId="0" fontId="8" fillId="15" borderId="0" xfId="0" quotePrefix="0" pivotButton="0" applyAlignment="1">
      <x:alignment horizontal="center" vertical="center"/>
    </x:xf>
    <x:xf numFmtId="0" fontId="9" fillId="16" borderId="0" xfId="0" quotePrefix="0" pivotButton="0" applyAlignment="1">
      <x:alignment horizontal="center" vertical="center"/>
    </x:xf>
    <x:xf numFmtId="0" fontId="8" fillId="3" borderId="0" xfId="0" quotePrefix="0" pivotButton="0" applyAlignment="1">
      <x:alignment horizontal="center" vertical="center"/>
    </x:xf>
    <x:xf numFmtId="0" fontId="7" fillId="12" borderId="7" xfId="0" quotePrefix="0" pivotButton="0" applyAlignment="1">
      <x:alignment horizontal="center" vertical="center" wrapText="1"/>
    </x:xf>
    <x:xf numFmtId="0" fontId="7" fillId="10" borderId="7" xfId="0" quotePrefix="0" pivotButton="0" applyAlignment="1">
      <x:alignment horizontal="center" vertical="center" wrapText="1"/>
    </x:xf>
    <x:xf numFmtId="0" fontId="7" fillId="17" borderId="7" xfId="0" quotePrefix="0" pivotButton="0" applyAlignment="1">
      <x:alignment horizontal="center" vertical="center" wrapText="1"/>
    </x:xf>
    <x:xf numFmtId="0" fontId="7" fillId="9" borderId="7" xfId="0" quotePrefix="0" pivotButton="0" applyAlignment="1">
      <x:alignment horizontal="center" vertical="center" wrapText="1"/>
    </x:xf>
    <x:xf numFmtId="0" fontId="7" fillId="18" borderId="7" xfId="0" quotePrefix="0" pivotButton="0" applyAlignment="1">
      <x:alignment horizontal="center" vertical="center" wrapText="1"/>
    </x:xf>
    <x:xf numFmtId="0" fontId="7" fillId="11" borderId="7" xfId="0" quotePrefix="0" pivotButton="0" applyAlignment="1">
      <x:alignment horizontal="center" vertical="center" wrapText="1"/>
    </x:xf>
    <x:xf numFmtId="0" fontId="7" fillId="19" borderId="7" xfId="0" quotePrefix="0" pivotButton="0" applyAlignment="1">
      <x:alignment horizontal="center" vertical="center" wrapText="1"/>
    </x:xf>
    <x:xf numFmtId="0" fontId="10" fillId="5" borderId="0" xfId="0" quotePrefix="0" pivotButton="0" applyAlignment="1">
      <x:alignment horizontal="center"/>
    </x:xf>
    <x:xf numFmtId="0" fontId="10" fillId="13" borderId="0" xfId="0" quotePrefix="0" pivotButton="0" applyAlignment="1">
      <x:alignment horizontal="center"/>
    </x:xf>
    <x:xf numFmtId="0" fontId="10" fillId="14" borderId="0" xfId="0" quotePrefix="0" pivotButton="0" applyAlignment="1">
      <x:alignment horizontal="center"/>
    </x:xf>
    <x:xf numFmtId="0" fontId="10" fillId="8" borderId="0" xfId="0" quotePrefix="0" pivotButton="0" applyAlignment="1">
      <x:alignment horizontal="center"/>
    </x:xf>
    <x:xf numFmtId="0" fontId="10" fillId="15" borderId="0" xfId="0" quotePrefix="0" pivotButton="0" applyAlignment="1">
      <x:alignment horizontal="center"/>
    </x:xf>
    <x:xf numFmtId="0" fontId="11" fillId="16" borderId="0" xfId="0" quotePrefix="0" pivotButton="0" applyAlignment="1">
      <x:alignment horizontal="center"/>
    </x:xf>
    <x:xf numFmtId="0" fontId="6" fillId="4" borderId="0" xfId="0" quotePrefix="0" pivotButton="0" applyAlignment="1">
      <x:alignment horizontal="center" vertical="center" wrapText="1"/>
    </x:xf>
    <x:xf numFmtId="0" fontId="4" fillId="5" borderId="0" xfId="0" quotePrefix="0" pivotButton="0" applyAlignment="1">
      <x:alignment horizontal="center"/>
    </x:xf>
    <x:xf numFmtId="0" fontId="4" fillId="13" borderId="0" xfId="0" quotePrefix="0" pivotButton="0" applyAlignment="1">
      <x:alignment horizontal="center"/>
    </x:xf>
    <x:xf numFmtId="0" fontId="4" fillId="14" borderId="0" xfId="0" quotePrefix="0" pivotButton="0" applyAlignment="1">
      <x:alignment horizontal="center"/>
    </x:xf>
    <x:xf numFmtId="0" fontId="4" fillId="8" borderId="0" xfId="0" quotePrefix="0" pivotButton="0" applyAlignment="1">
      <x:alignment horizontal="center"/>
    </x:xf>
    <x:xf numFmtId="0" fontId="12" fillId="4" borderId="0" xfId="0" quotePrefix="0" pivotButton="0" applyAlignment="1">
      <x:alignment horizontal="center" vertical="center" wrapText="1"/>
    </x:xf>
    <x:xf numFmtId="0" fontId="13" fillId="3" borderId="2" xfId="0" quotePrefix="0" pivotButton="0" applyAlignment="1">
      <x:alignment horizontal="center" vertical="center" wrapText="1"/>
    </x:xf>
    <x:xf numFmtId="164" fontId="11" fillId="20" borderId="2" xfId="0" quotePrefix="0" pivotButton="0" applyAlignment="1">
      <x:alignment horizontal="left" vertical="top" wrapText="1"/>
    </x:xf>
    <x:xf numFmtId="164" fontId="6" fillId="7" borderId="2" xfId="0" quotePrefix="0" pivotButton="0" applyAlignment="1">
      <x:alignment horizontal="left" vertical="top" wrapText="1"/>
    </x:xf>
    <x:xf numFmtId="164" fontId="6" fillId="6" borderId="2" xfId="0" quotePrefix="0" pivotButton="0" applyAlignment="1">
      <x:alignment horizontal="left" vertical="top" wrapText="1"/>
    </x:xf>
    <x:xf numFmtId="4" fontId="11" fillId="20" borderId="2" xfId="0" quotePrefix="0" pivotButton="0" applyAlignment="1">
      <x:alignment horizontal="left" vertical="top" wrapText="1"/>
    </x:xf>
    <x:xf numFmtId="165" fontId="11" fillId="20" borderId="2" xfId="0" quotePrefix="0" pivotButton="0" applyAlignment="1">
      <x:alignment horizontal="left" vertical="top" wrapText="1"/>
    </x:xf>
    <x:xf numFmtId="0" fontId="10" fillId="3" borderId="2" xfId="0" quotePrefix="0" pivotButton="0"/>
    <x:xf numFmtId="164" fontId="14" fillId="4" borderId="2" xfId="0" quotePrefix="0" pivotButton="0"/>
    <x:xf numFmtId="164" fontId="14" fillId="11" borderId="2" xfId="0" quotePrefix="0" pivotButton="0"/>
    <x:xf numFmtId="165" fontId="14" fillId="11" borderId="2" xfId="0" quotePrefix="0" pivotButton="0"/>
    <x:xf numFmtId="166" fontId="14" fillId="4" borderId="2" xfId="0" quotePrefix="0" pivotButton="0"/>
    <x:xf numFmtId="9" fontId="6" fillId="7" borderId="2" xfId="0" quotePrefix="0" pivotButton="0" applyAlignment="1">
      <x:alignment horizontal="left" vertical="top" wrapText="1"/>
    </x:xf>
    <x:xf numFmtId="167" fontId="6" fillId="7" borderId="2" xfId="0" quotePrefix="0" pivotButton="0" applyAlignment="1">
      <x:alignment horizontal="left" vertical="top" wrapText="1"/>
    </x:xf>
    <x:xf numFmtId="165" fontId="6" fillId="7" borderId="2" xfId="0" quotePrefix="0" pivotButton="0" applyAlignment="1">
      <x:alignment horizontal="left" vertical="top" wrapText="1"/>
    </x:xf>
    <x:xf numFmtId="166" fontId="6" fillId="7" borderId="2" xfId="0" quotePrefix="0" pivotButton="0" applyAlignment="1">
      <x:alignment horizontal="left" vertical="top" wrapText="1"/>
    </x:xf>
    <x:xf numFmtId="9" fontId="6" fillId="6" borderId="2" xfId="0" quotePrefix="0" pivotButton="0" applyAlignment="1">
      <x:alignment horizontal="left" vertical="top" wrapText="1"/>
    </x:xf>
    <x:xf numFmtId="167" fontId="6" fillId="6" borderId="2" xfId="0" quotePrefix="0" pivotButton="0" applyAlignment="1">
      <x:alignment horizontal="left" vertical="top" wrapText="1"/>
    </x:xf>
    <x:xf numFmtId="165" fontId="6" fillId="6" borderId="2" xfId="0" quotePrefix="0" pivotButton="0" applyAlignment="1">
      <x:alignment horizontal="left" vertical="top" wrapText="1"/>
    </x:xf>
    <x:xf numFmtId="166" fontId="6" fillId="6" borderId="2" xfId="0" quotePrefix="0" pivotButton="0" applyAlignment="1">
      <x:alignment horizontal="left" vertical="top" wrapText="1"/>
    </x:xf>
    <x:xf numFmtId="0" fontId="4" fillId="15" borderId="0" xfId="0" quotePrefix="0" pivotButton="0" applyAlignment="1">
      <x:alignment vertical="center"/>
    </x:xf>
    <x:xf numFmtId="0" fontId="6" fillId="20" borderId="2" xfId="0" quotePrefix="0" pivotButton="0" applyAlignment="1">
      <x:alignment horizontal="left" vertical="top" wrapText="1"/>
    </x:xf>
    <x:xf numFmtId="164" fontId="11" fillId="11" borderId="2" xfId="0" quotePrefix="0" pivotButton="0" applyAlignment="1">
      <x:alignment horizontal="left" vertical="top" wrapText="1"/>
    </x:xf>
    <x:xf numFmtId="164" fontId="6" fillId="20" borderId="2" xfId="0" quotePrefix="0" pivotButton="0" applyAlignment="1">
      <x:alignment horizontal="left" vertical="top" wrapText="1"/>
    </x:xf>
    <x:xf numFmtId="165" fontId="6" fillId="20" borderId="2" xfId="0" quotePrefix="0" pivotButton="0" applyAlignment="1">
      <x:alignment horizontal="left" vertical="top" wrapText="1"/>
    </x:xf>
    <x:xf numFmtId="168" fontId="11" fillId="11" borderId="2" xfId="0" quotePrefix="0" pivotButton="0" applyAlignment="1">
      <x:alignment horizontal="left" vertical="top" wrapText="1"/>
    </x:xf>
    <x:xf numFmtId="166" fontId="11" fillId="11" borderId="2" xfId="0" quotePrefix="0" pivotButton="0" applyAlignment="1">
      <x:alignment horizontal="left" vertical="top" wrapText="1"/>
    </x:xf>
    <x:xf numFmtId="0" fontId="15" fillId="6" borderId="2" xfId="0" quotePrefix="0" pivotButton="0" applyAlignment="1">
      <x:alignment horizontal="center" vertical="center"/>
    </x:xf>
    <x:xf numFmtId="0" fontId="16" fillId="6" borderId="2" xfId="0" quotePrefix="0" pivotButton="0" applyAlignment="1">
      <x:alignment horizontal="center" vertical="center"/>
    </x:xf>
    <x:xf numFmtId="0" fontId="15" fillId="7" borderId="2" xfId="0" quotePrefix="0" pivotButton="0" applyAlignment="1">
      <x:alignment horizontal="center" vertical="center"/>
    </x:xf>
    <x:xf numFmtId="0" fontId="16" fillId="7" borderId="2" xfId="0" quotePrefix="0" pivotButton="0" applyAlignment="1">
      <x:alignment horizontal="center" vertical="center"/>
    </x:xf>
    <x:xf numFmtId="0" fontId="17" fillId="21" borderId="0" applyFont="1" applyFill="1"/>
    <x:xf numFmtId="0" fontId="0" fillId="0" borderId="0" applyAlignment="1">
      <x:alignment vertical="top" wrapText="1"/>
    </x:xf>
    <x:xf numFmtId="0" fontId="18" fillId="22" borderId="0" applyFont="1" applyFill="1"/>
  </x:cellXfs>
  <x:cellStyles count="1">
    <x:cellStyle name="Normal" xfId="0" builtinId="0" hidden="0"/>
  </x:cellStyles>
  <x:dxfs count="3">
    <x:dxf>
      <x:fill>
        <x:patternFill patternType="solid">
          <x:fgColor rgb="00FDE2DC"/>
        </x:patternFill>
      </x:fill>
    </x:dxf>
    <x:dxf>
      <x:fill>
        <x:patternFill patternType="solid">
          <x:fgColor rgb="00FFF0D5"/>
        </x:patternFill>
      </x:fill>
    </x:dxf>
    <x:dxf>
      <x:fill>
        <x:patternFill patternType="solid">
          <x:fgColor rgb="00EEF5CF"/>
        </x:patternFill>
      </x:fill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Relationship Type="http://schemas.openxmlformats.org/officeDocument/2006/relationships/worksheet" Target="/xl/worksheets/sheet16.xml" Id="Rbc54b757ba4143cb" /></Relationships>
</file>

<file path=xl/charts/chart1.xml><?xml version="1.0" encoding="utf-8"?>
<c:chartSpace xmlns:c="http://schemas.openxmlformats.org/drawingml/2006/chart">
  <c:style val="10"/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Benefício anual atribuído por alavanca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'06_Simulador_ROI'!H7</c:f>
            </c:strRef>
          </c:tx>
          <c:spPr>
            <a:ln xmlns:a="http://schemas.openxmlformats.org/drawingml/2006/main">
              <a:prstDash val="solid"/>
            </a:ln>
          </c:spPr>
          <c:cat>
            <c:numRef>
              <c:f>'06_Simulador_ROI'!$G$8:$G$13</c:f>
            </c:numRef>
          </c:cat>
          <c:val>
            <c:numRef>
              <c:f>'06_Simulador_ROI'!$H$8:$H$13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c:rich>
          </c:tx>
        </c:title>
        <c:majorTickMark val="none"/>
        <c:minorTickMark val="none"/>
        <c:crossAx val="10"/>
      </c:valAx>
    </c:plotArea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34</xdr:row>
      <xdr:rowOff>0</xdr:rowOff>
    </xdr:from>
    <xdr:ext cx="4320000" cy="2700000"/>
    <xdr:graphicFrame>
      <xdr:nvGraphicFramePr>
        <xdr:cNvPr id="1" name="Chart 1"/>
        <xdr:cNvGraphicFramePr/>
      </xdr:nvGraphicFramePr>
      <xdr: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bNos" displayName="tbNos" ref="A5:K30" headerRowCount="1">
  <x:autoFilter ref="A5:K30"/>
  <x:tableColumns count="11">
    <x:tableColumn id="1" name="ID"/>
    <x:tableColumn id="2" name="Camada"/>
    <x:tableColumn id="3" name="Nó"/>
    <x:tableColumn id="4" name="Definição de negócio"/>
    <x:tableColumn id="5" name="Chave primária"/>
    <x:tableColumn id="6" name="Granularidade"/>
    <x:tableColumn id="7" name="Atributos mínimos"/>
    <x:tableColumn id="8" name="Origem"/>
    <x:tableColumn id="9" name="Sensibilidade"/>
    <x:tableColumn id="10" name="Atualização"/>
    <x:tableColumn id="11" name="Contribuição para va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Conexoes" displayName="tbConexoes" ref="A5:K25" headerRowCount="1">
  <x:autoFilter ref="A5:K25"/>
  <x:tableColumns count="11">
    <x:tableColumn id="1" name="ID"/>
    <x:tableColumn id="2" name="Nó origem"/>
    <x:tableColumn id="3" name="Relação"/>
    <x:tableColumn id="4" name="Nó destino"/>
    <x:tableColumn id="5" name="Direção"/>
    <x:tableColumn id="6" name="Peso / score"/>
    <x:tableColumn id="7" name="Janela temporal"/>
    <x:tableColumn id="8" name="Evidência"/>
    <x:tableColumn id="9" name="Indicadores derivados"/>
    <x:tableColumn id="10" name="Uso de negócio"/>
    <x:tableColumn id="11" name="Regra de qual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Indicadores" displayName="tbIndicadores" ref="A5:T78" headerRowCount="1">
  <x:autoFilter ref="A5:T78"/>
  <x:tableColumns count="20">
    <x:tableColumn id="1" name="ID"/>
    <x:tableColumn id="2" name="Vertente"/>
    <x:tableColumn id="3" name="Visão"/>
    <x:tableColumn id="4" name="Camada"/>
    <x:tableColumn id="5" name="Indicador"/>
    <x:tableColumn id="6" name="Pergunta de gestão"/>
    <x:tableColumn id="7" name="Definição"/>
    <x:tableColumn id="8" name="Fórmula"/>
    <x:tableColumn id="9" name="Unidade"/>
    <x:tableColumn id="10" name="Polaridade"/>
    <x:tableColumn id="11" name="Frequência"/>
    <x:tableColumn id="12" name="Fonte mínima"/>
    <x:tableColumn id="13" name="Dimensões / cortes"/>
    <x:tableColumn id="14" name="Owner"/>
    <x:tableColumn id="15" name="Tipo"/>
    <x:tableColumn id="16" name="Alavanca financeira"/>
    <x:tableColumn id="17" name="Conversão financeira"/>
    <x:tableColumn id="18" name="Nível de evidência"/>
    <x:tableColumn id="19" name="Prioridade"/>
    <x:tableColumn id="20" name="Fa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ArvoreValor" displayName="tbArvoreValor" ref="A5:J17" headerRowCount="1">
  <x:autoFilter ref="A5:J17"/>
  <x:tableColumns count="10">
    <x:tableColumn id="1" name="Alavanca"/>
    <x:tableColumn id="2" name="Cadeia causal"/>
    <x:tableColumn id="3" name="Indicadores leading"/>
    <x:tableColumn id="4" name="Outcome de negócio"/>
    <x:tableColumn id="5" name="Fórmula financeira"/>
    <x:tableColumn id="6" name="Dados obrigatórios"/>
    <x:tableColumn id="7" name="Método mínimo de atribuição"/>
    <x:tableColumn id="8" name="Proteção contra dupla contagem"/>
    <x:tableColumn id="9" name="Visão"/>
    <x:tableColumn id="10" name="Decisão habilita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PremissasROI" displayName="tbPremissasROI" ref="A7:E31" headerRowCount="1">
  <x:autoFilter ref="A7:E31"/>
  <x:tableColumns count="5">
    <x:tableColumn id="1" name="Chave"/>
    <x:tableColumn id="2" name="Premissa"/>
    <x:tableColumn id="3" name="Valor"/>
    <x:tableColumn id="4" name="Unidade"/>
    <x:tableColumn id="5" name="Observ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Visoes" displayName="tbVisoes" ref="A5:J15" headerRowCount="1">
  <x:autoFilter ref="A5:J15"/>
  <x:tableColumns count="10">
    <x:tableColumn id="1" name="Visão"/>
    <x:tableColumn id="2" name="Usuário"/>
    <x:tableColumn id="3" name="Pergunta central"/>
    <x:tableColumn id="4" name="KPIs primários"/>
    <x:tableColumn id="5" name="KPIs de diagnóstico"/>
    <x:tableColumn id="6" name="Filtros padrão"/>
    <x:tableColumn id="7" name="Alertas"/>
    <x:tableColumn id="8" name="Ações possíveis"/>
    <x:tableColumn id="9" name="Cadência"/>
    <x:tableColumn id="10" name="Permissã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Dicionario" displayName="tbDicionario" ref="A5:L46" headerRowCount="1">
  <x:autoFilter ref="A5:L46"/>
  <x:tableColumns count="12">
    <x:tableColumn id="1" name="Tabela"/>
    <x:tableColumn id="2" name="Campo"/>
    <x:tableColumn id="3" name="Tipo"/>
    <x:tableColumn id="4" name="Definição"/>
    <x:tableColumn id="5" name="Chave"/>
    <x:tableColumn id="6" name="Obrigatório"/>
    <x:tableColumn id="7" name="Exemplo"/>
    <x:tableColumn id="8" name="Sensibilidade"/>
    <x:tableColumn id="9" name="Base legal / finalidade"/>
    <x:tableColumn id="10" name="Origem"/>
    <x:tableColumn id="11" name="Frequência"/>
    <x:tableColumn id="12" name="Regra de qualidad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Eventos" displayName="tbEventos" ref="A5:K32" headerRowCount="1">
  <x:autoFilter ref="A5:K32"/>
  <x:tableColumns count="11">
    <x:tableColumn id="1" name="Evento"/>
    <x:tableColumn id="2" name="Quando dispara"/>
    <x:tableColumn id="3" name="Objeto"/>
    <x:tableColumn id="4" name="Propriedades obrigatórias"/>
    <x:tableColumn id="5" name="Pessoa/empresa"/>
    <x:tableColumn id="6" name="Etapa do funil"/>
    <x:tableColumn id="7" name="Indicadores"/>
    <x:tableColumn id="8" name="Valor esperado"/>
    <x:tableColumn id="9" name="PII"/>
    <x:tableColumn id="10" name="Retenção"/>
    <x:tableColumn id="11" name="Regra de Q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Integracoes" displayName="tbIntegracoes" ref="A5:L20" headerRowCount="1">
  <x:autoFilter ref="A5:L20"/>
  <x:tableColumns count="12">
    <x:tableColumn id="1" name="Sistema / fonte"/>
    <x:tableColumn id="2" name="Domínio"/>
    <x:tableColumn id="3" name="Direção"/>
    <x:tableColumn id="4" name="Método"/>
    <x:tableColumn id="5" name="Frequência"/>
    <x:tableColumn id="6" name="Dados principais"/>
    <x:tableColumn id="7" name="Chave de integração"/>
    <x:tableColumn id="8" name="Autenticação"/>
    <x:tableColumn id="9" name="SLA"/>
    <x:tableColumn id="10" name="Tratamento de erro"/>
    <x:tableColumn id="11" name="Owner"/>
    <x:tableColumn id="12" name="Fa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Governanca" displayName="tbGovernanca" ref="A5:J28" headerRowCount="1">
  <x:autoFilter ref="A5:J28"/>
  <x:tableColumns count="10">
    <x:tableColumn id="1" name="Dimensão"/>
    <x:tableColumn id="2" name="Regra"/>
    <x:tableColumn id="3" name="Aplicação prática"/>
    <x:tableColumn id="4" name="Evidência / artefato"/>
    <x:tableColumn id="5" name="Owner"/>
    <x:tableColumn id="6" name="Cadência"/>
    <x:tableColumn id="7" name="Severidade"/>
    <x:tableColumn id="8" name="Bloqueia publicação?"/>
    <x:tableColumn id="9" name="Indicador"/>
    <x:tableColumn id="10" name="Fa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Roadmap" displayName="tbRoadmap" ref="A5:J10" headerRowCount="1">
  <x:autoFilter ref="A5:J10"/>
  <x:tableColumns count="10">
    <x:tableColumn id="1" name="Fase"/>
    <x:tableColumn id="2" name="Horizonte"/>
    <x:tableColumn id="3" name="Objetivo"/>
    <x:tableColumn id="4" name="Entregas"/>
    <x:tableColumn id="5" name="Indicadores habilitados"/>
    <x:tableColumn id="6" name="Dados / integrações"/>
    <x:tableColumn id="7" name="Critério de saída"/>
    <x:tableColumn id="8" name="Riscos"/>
    <x:tableColumn id="9" name="Owner"/>
    <x:tableColumn id="10" name="Prioridad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MatrizIntegracao" displayName="tbMatrizIntegracao" ref="A5:L17" headerRowCount="1">
  <x:autoFilter ref="A5:L17"/>
  <x:tableColumns count="12">
    <x:tableColumn id="1" name="Família de indicador"/>
    <x:tableColumn id="2" name="Pessoas"/>
    <x:tableColumn id="3" name="Empresas / RH"/>
    <x:tableColumn id="4" name="Compras"/>
    <x:tableColumn id="5" name="Entidades"/>
    <x:tableColumn id="6" name="Marketing"/>
    <x:tableColumn id="7" name="Produto"/>
    <x:tableColumn id="8" name="Financeiro"/>
    <x:tableColumn id="9" name="Dados / IA"/>
    <x:tableColumn id="10" name="Nó central"/>
    <x:tableColumn id="11" name="Output compartilhado"/>
    <x:tableColumn id="12" name="Risco de dupla contagem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RACI" displayName="tbRACI" ref="A5:L18" headerRowCount="1">
  <x:autoFilter ref="A5:L18"/>
  <x:tableColumns count="12">
    <x:tableColumn id="1" name="Atividade"/>
    <x:tableColumn id="2" name="CEO HUB"/>
    <x:tableColumn id="3" name="Produto"/>
    <x:tableColumn id="4" name="Data Eng."/>
    <x:tableColumn id="5" name="Data Science"/>
    <x:tableColumn id="6" name="Financeiro HUB"/>
    <x:tableColumn id="7" name="Cliente / patrocinador"/>
    <x:tableColumn id="8" name="Owner do processo"/>
    <x:tableColumn id="9" name="Controladoria cliente"/>
    <x:tableColumn id="10" name="DPO / Segurança"/>
    <x:tableColumn id="11" name="Entidade"/>
    <x:tableColumn id="12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Mapa_Visual'!A1" TargetMode="External" Id="rId1"/><Relationship Type="http://schemas.openxmlformats.org/officeDocument/2006/relationships/hyperlink" Target="#'02_Nos_de_Dados'!A1" TargetMode="External" Id="rId2"/><Relationship Type="http://schemas.openxmlformats.org/officeDocument/2006/relationships/hyperlink" Target="#'03_Conexoes'!A1" TargetMode="External" Id="rId3"/><Relationship Type="http://schemas.openxmlformats.org/officeDocument/2006/relationships/hyperlink" Target="#'04_Indicadores_Master'!A1" TargetMode="External" Id="rId4"/><Relationship Type="http://schemas.openxmlformats.org/officeDocument/2006/relationships/hyperlink" Target="#'05_Arvore_de_Valor'!A1" TargetMode="External" Id="rId5"/><Relationship Type="http://schemas.openxmlformats.org/officeDocument/2006/relationships/hyperlink" Target="#'06_Simulador_ROI'!A1" TargetMode="External" Id="rId6"/><Relationship Type="http://schemas.openxmlformats.org/officeDocument/2006/relationships/hyperlink" Target="#'07_Visoes_Dashboard'!A1" TargetMode="External" Id="rId7"/><Relationship Type="http://schemas.openxmlformats.org/officeDocument/2006/relationships/hyperlink" Target="#'08_Dicionario_Dados'!A1" TargetMode="External" Id="rId8"/><Relationship Type="http://schemas.openxmlformats.org/officeDocument/2006/relationships/hyperlink" Target="#'09_Eventos_Produto'!A1" TargetMode="External" Id="rId9"/><Relationship Type="http://schemas.openxmlformats.org/officeDocument/2006/relationships/hyperlink" Target="#'10_Integracoes'!A1" TargetMode="External" Id="rId10"/><Relationship Type="http://schemas.openxmlformats.org/officeDocument/2006/relationships/hyperlink" Target="#'11_Governanca_LGPD'!A1" TargetMode="External" Id="rId11"/><Relationship Type="http://schemas.openxmlformats.org/officeDocument/2006/relationships/hyperlink" Target="#'12_Roadmap'!A1" TargetMode="External" Id="rId12"/><Relationship Type="http://schemas.openxmlformats.org/officeDocument/2006/relationships/hyperlink" Target="#'13_Matriz_Integracao'!A1" TargetMode="External" Id="rId13"/><Relationship Type="http://schemas.openxmlformats.org/officeDocument/2006/relationships/hyperlink" Target="#'14_RACI'!A1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x:worksheet xmlns:x="http://schemas.openxmlformats.org/spreadsheetml/2006/main">
  <x:sheetPr>
    <x:tabColor rgb="00041C35"/>
    <x:outlinePr summaryBelow="1" summaryRight="1"/>
    <x:pageSetUpPr fitToPage="1"/>
  </x:sheetPr>
  <x:dimension ref="A1:L45"/>
  <x:sheetViews>
    <x:sheetView showGridLines="0" workbookViewId="0">
      <x:pane ySplit="8" topLeftCell="A9" activePane="bottomLeft" state="frozen"/>
      <x:selection pane="bottomLeft" activeCell="A1" sqref="A1"/>
    </x:sheetView>
  </x:sheetViews>
  <x:sheetFormatPr baseColWidth="8" defaultRowHeight="15"/>
  <x:cols>
    <x:col min="1" max="1" width="24" customWidth="1"/>
    <x:col min="2" max="2" width="27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  <x:col min="9" max="9" width="15" customWidth="1"/>
    <x:col min="10" max="10" width="15" customWidth="1"/>
    <x:col min="11" max="11" width="14" customWidth="1"/>
    <x:col min="12" max="12" width="14" customWidth="1"/>
  </x:cols>
  <x:sheetData>
    <x:row r="1" ht="26" customHeight="1">
      <x:c r="A1" s="1" t="inlineStr">
        <x:is>
          <x:t>HUB | Mapa de inteligência de dados e indicadores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 ht="24" customHeight="1">
      <x:c r="A3" s="3" t="inlineStr">
        <x:is>
          <x:t>Arquitetura-base para provar valor: pessoas → decisões → resultados → impacto financeiro.</x:t>
        </x:is>
      </x:c>
    </x:row>
    <x:row r="5">
      <x:c r="A5" s="4" t="inlineStr">
        <x:is>
          <x:t>Este arquivo organiza a lógica de mensuração da HUB para que cada módulo gere evidências de valor. Ele separa sinais operacionais, resultados de negócio e impacto financeiro; também mostra quais dados precisam se conectar para atribuir lucro, redução de custo, produtividade, retenção, receita e risco evitado.</x:t>
        </x:is>
      </x:c>
    </x:row>
    <x:row r="6"/>
    <x:row r="7"/>
    <x:row r="9" ht="24" customHeight="1">
      <x:c r="A9" s="5" t="inlineStr">
        <x:is>
          <x:t>Como navegar</x:t>
        </x:is>
      </x:c>
    </x:row>
    <x:row r="11" ht="27" customHeight="1">
      <x:c r="A11" s="6" t="inlineStr">
        <x:is>
          <x:t>01_Mapa_Visual</x:t>
        </x:is>
      </x:c>
      <x:c r="B11" s="6" t="inlineStr">
        <x:is>
          <x:t>Visão em camadas do mapa neural e da cadeia de valor.</x:t>
        </x:is>
      </x:c>
      <x:c r="C11" s="6" t="n"/>
      <x:c r="D11" s="6" t="n"/>
      <x:c r="E11" s="6" t="n"/>
      <x:c r="F11" s="6" t="n"/>
      <x:c r="G11" s="6" t="n"/>
      <x:c r="H11" s="6" t="n"/>
    </x:row>
    <x:row r="12" ht="27" customHeight="1">
      <x:c r="A12" s="7" t="inlineStr">
        <x:is>
          <x:t>02_Nos_de_Dados</x:t>
        </x:is>
      </x:c>
      <x:c r="B12" s="7" t="inlineStr">
        <x:is>
          <x:t>Entidades que formam o grafo de inteligência da plataforma.</x:t>
        </x:is>
      </x:c>
      <x:c r="C12" s="7" t="n"/>
      <x:c r="D12" s="7" t="n"/>
      <x:c r="E12" s="7" t="n"/>
      <x:c r="F12" s="7" t="n"/>
      <x:c r="G12" s="7" t="n"/>
      <x:c r="H12" s="7" t="n"/>
    </x:row>
    <x:row r="13" ht="27" customHeight="1">
      <x:c r="A13" s="6" t="inlineStr">
        <x:is>
          <x:t>03_Conexoes</x:t>
        </x:is>
      </x:c>
      <x:c r="B13" s="6" t="inlineStr">
        <x:is>
          <x:t>Relações entre pessoas, empresas, entidades, oportunidades e resultados.</x:t>
        </x:is>
      </x:c>
      <x:c r="C13" s="6" t="n"/>
      <x:c r="D13" s="6" t="n"/>
      <x:c r="E13" s="6" t="n"/>
      <x:c r="F13" s="6" t="n"/>
      <x:c r="G13" s="6" t="n"/>
      <x:c r="H13" s="6" t="n"/>
    </x:row>
    <x:row r="14" ht="27" customHeight="1">
      <x:c r="A14" s="7" t="inlineStr">
        <x:is>
          <x:t>04_Indicadores_Master</x:t>
        </x:is>
      </x:c>
      <x:c r="B14" s="7" t="inlineStr">
        <x:is>
          <x:t>Catálogo central: fórmula, fonte, frequência, alavanca financeira e evidência.</x:t>
        </x:is>
      </x:c>
      <x:c r="C14" s="7" t="n"/>
      <x:c r="D14" s="7" t="n"/>
      <x:c r="E14" s="7" t="n"/>
      <x:c r="F14" s="7" t="n"/>
      <x:c r="G14" s="7" t="n"/>
      <x:c r="H14" s="7" t="n"/>
    </x:row>
    <x:row r="15" ht="27" customHeight="1">
      <x:c r="A15" s="6" t="inlineStr">
        <x:is>
          <x:t>05_Arvore_de_Valor</x:t>
        </x:is>
      </x:c>
      <x:c r="B15" s="6" t="inlineStr">
        <x:is>
          <x:t>Como cada indicador chega a receita, margem, custo, produtividade e risco.</x:t>
        </x:is>
      </x:c>
      <x:c r="C15" s="6" t="n"/>
      <x:c r="D15" s="6" t="n"/>
      <x:c r="E15" s="6" t="n"/>
      <x:c r="F15" s="6" t="n"/>
      <x:c r="G15" s="6" t="n"/>
      <x:c r="H15" s="6" t="n"/>
    </x:row>
    <x:row r="16" ht="27" customHeight="1">
      <x:c r="A16" s="7" t="inlineStr">
        <x:is>
          <x:t>06_Simulador_ROI</x:t>
        </x:is>
      </x:c>
      <x:c r="B16" s="7" t="inlineStr">
        <x:is>
          <x:t>Simulador editável com fórmulas financeiras e cenários.</x:t>
        </x:is>
      </x:c>
      <x:c r="C16" s="7" t="n"/>
      <x:c r="D16" s="7" t="n"/>
      <x:c r="E16" s="7" t="n"/>
      <x:c r="F16" s="7" t="n"/>
      <x:c r="G16" s="7" t="n"/>
      <x:c r="H16" s="7" t="n"/>
    </x:row>
    <x:row r="17" ht="27" customHeight="1">
      <x:c r="A17" s="6" t="inlineStr">
        <x:is>
          <x:t>07_Visoes_Dashboard</x:t>
        </x:is>
      </x:c>
      <x:c r="B17" s="6" t="inlineStr">
        <x:is>
          <x:t>O que cada público precisa enxergar e decidir.</x:t>
        </x:is>
      </x:c>
      <x:c r="C17" s="6" t="n"/>
      <x:c r="D17" s="6" t="n"/>
      <x:c r="E17" s="6" t="n"/>
      <x:c r="F17" s="6" t="n"/>
      <x:c r="G17" s="6" t="n"/>
      <x:c r="H17" s="6" t="n"/>
    </x:row>
    <x:row r="18" ht="27" customHeight="1">
      <x:c r="A18" s="7" t="inlineStr">
        <x:is>
          <x:t>08_Dicionario_Dados</x:t>
        </x:is>
      </x:c>
      <x:c r="B18" s="7" t="inlineStr">
        <x:is>
          <x:t>Estrutura mínima de tabelas, campos, chaves e sensibilidade.</x:t>
        </x:is>
      </x:c>
      <x:c r="C18" s="7" t="n"/>
      <x:c r="D18" s="7" t="n"/>
      <x:c r="E18" s="7" t="n"/>
      <x:c r="F18" s="7" t="n"/>
      <x:c r="G18" s="7" t="n"/>
      <x:c r="H18" s="7" t="n"/>
    </x:row>
    <x:row r="19" ht="27" customHeight="1">
      <x:c r="A19" s="6" t="inlineStr">
        <x:is>
          <x:t>09_Eventos_Produto</x:t>
        </x:is>
      </x:c>
      <x:c r="B19" s="6" t="inlineStr">
        <x:is>
          <x:t>Taxonomia de eventos para instrumentação da plataforma.</x:t>
        </x:is>
      </x:c>
      <x:c r="C19" s="6" t="n"/>
      <x:c r="D19" s="6" t="n"/>
      <x:c r="E19" s="6" t="n"/>
      <x:c r="F19" s="6" t="n"/>
      <x:c r="G19" s="6" t="n"/>
      <x:c r="H19" s="6" t="n"/>
    </x:row>
    <x:row r="20" ht="27" customHeight="1">
      <x:c r="A20" s="7" t="inlineStr">
        <x:is>
          <x:t>10_Integracoes</x:t>
        </x:is>
      </x:c>
      <x:c r="B20" s="7" t="inlineStr">
        <x:is>
          <x:t>Integrações de dados, APIs, chaves e SLAs.</x:t>
        </x:is>
      </x:c>
      <x:c r="C20" s="7" t="n"/>
      <x:c r="D20" s="7" t="n"/>
      <x:c r="E20" s="7" t="n"/>
      <x:c r="F20" s="7" t="n"/>
      <x:c r="G20" s="7" t="n"/>
      <x:c r="H20" s="7" t="n"/>
    </x:row>
    <x:row r="21" ht="27" customHeight="1">
      <x:c r="A21" s="6" t="inlineStr">
        <x:is>
          <x:t>11_Governanca_LGPD</x:t>
        </x:is>
      </x:c>
      <x:c r="B21" s="6" t="inlineStr">
        <x:is>
          <x:t>Qualidade, consentimento, segurança, atribuição e auditoria.</x:t>
        </x:is>
      </x:c>
      <x:c r="C21" s="6" t="n"/>
      <x:c r="D21" s="6" t="n"/>
      <x:c r="E21" s="6" t="n"/>
      <x:c r="F21" s="6" t="n"/>
      <x:c r="G21" s="6" t="n"/>
      <x:c r="H21" s="6" t="n"/>
    </x:row>
    <x:row r="22" ht="27" customHeight="1">
      <x:c r="A22" s="7" t="inlineStr">
        <x:is>
          <x:t>12_Roadmap</x:t>
        </x:is>
      </x:c>
      <x:c r="B22" s="7" t="inlineStr">
        <x:is>
          <x:t>Fases para sair de atividade medida até impacto financeiro provado.</x:t>
        </x:is>
      </x:c>
      <x:c r="C22" s="7" t="n"/>
      <x:c r="D22" s="7" t="n"/>
      <x:c r="E22" s="7" t="n"/>
      <x:c r="F22" s="7" t="n"/>
      <x:c r="G22" s="7" t="n"/>
      <x:c r="H22" s="7" t="n"/>
    </x:row>
    <x:row r="23" ht="27" customHeight="1">
      <x:c r="A23" s="6" t="inlineStr">
        <x:is>
          <x:t>13_Matriz_Integracao</x:t>
        </x:is>
      </x:c>
      <x:c r="B23" s="6" t="inlineStr">
        <x:is>
          <x:t>Dependências entre módulos e famílias de indicadores.</x:t>
        </x:is>
      </x:c>
      <x:c r="C23" s="6" t="n"/>
      <x:c r="D23" s="6" t="n"/>
      <x:c r="E23" s="6" t="n"/>
      <x:c r="F23" s="6" t="n"/>
      <x:c r="G23" s="6" t="n"/>
      <x:c r="H23" s="6" t="n"/>
    </x:row>
    <x:row r="24" ht="27" customHeight="1">
      <x:c r="A24" s="7" t="inlineStr">
        <x:is>
          <x:t>14_RACI</x:t>
        </x:is>
      </x:c>
      <x:c r="B24" s="7" t="inlineStr">
        <x:is>
          <x:t>Responsabilidade sobre dados, métricas e decisões.</x:t>
        </x:is>
      </x:c>
      <x:c r="C24" s="7" t="n"/>
      <x:c r="D24" s="7" t="n"/>
      <x:c r="E24" s="7" t="n"/>
      <x:c r="F24" s="7" t="n"/>
      <x:c r="G24" s="7" t="n"/>
      <x:c r="H24" s="7" t="n"/>
    </x:row>
    <x:row r="27" ht="24" customHeight="1">
      <x:c r="A27" s="8" t="inlineStr">
        <x:is>
          <x:t>Princípios que evitam métricas bonitas e decisões erradas</x:t>
        </x:is>
      </x:c>
    </x:row>
    <x:row r="29" ht="34" customHeight="1">
      <x:c r="A29" s="9" t="inlineStr">
        <x:is>
          <x:t>1</x:t>
        </x:is>
      </x:c>
      <x:c r="B29" s="9" t="inlineStr">
        <x:is>
          <x:t>Baseline antes da ação</x:t>
        </x:is>
      </x:c>
      <x:c r="C29" s="9" t="inlineStr">
        <x:is>
          <x:t>Nenhum ganho é calculado sem situação inicial e janela de comparação.</x:t>
        </x:is>
      </x:c>
      <x:c r="D29" s="10" t="n"/>
      <x:c r="E29" s="10" t="n"/>
      <x:c r="F29" s="10" t="n"/>
      <x:c r="G29" s="10" t="n"/>
      <x:c r="H29" s="10" t="n"/>
      <x:c r="I29" s="10" t="n"/>
      <x:c r="J29" s="11" t="n"/>
    </x:row>
    <x:row r="30" ht="34" customHeight="1">
      <x:c r="A30" s="12" t="inlineStr">
        <x:is>
          <x:t>2</x:t>
        </x:is>
      </x:c>
      <x:c r="B30" s="12" t="inlineStr">
        <x:is>
          <x:t>Atividade não é impacto</x:t>
        </x:is>
      </x:c>
      <x:c r="C30" s="12" t="inlineStr">
        <x:is>
          <x:t>Acesso, clique e conclusão são sinais; não substituem produtividade, receita ou custo.</x:t>
        </x:is>
      </x:c>
      <x:c r="D30" s="10" t="n"/>
      <x:c r="E30" s="10" t="n"/>
      <x:c r="F30" s="10" t="n"/>
      <x:c r="G30" s="10" t="n"/>
      <x:c r="H30" s="10" t="n"/>
      <x:c r="I30" s="10" t="n"/>
      <x:c r="J30" s="11" t="n"/>
    </x:row>
    <x:row r="31" ht="34" customHeight="1">
      <x:c r="A31" s="13" t="inlineStr">
        <x:is>
          <x:t>3</x:t>
        </x:is>
      </x:c>
      <x:c r="B31" s="13" t="inlineStr">
        <x:is>
          <x:t>Atribuição explícita</x:t>
        </x:is>
      </x:c>
      <x:c r="C31" s="13" t="inlineStr">
        <x:is>
          <x:t>Todo valor monetizado deve registrar percentual atribuído à HUB e método de evidência.</x:t>
        </x:is>
      </x:c>
      <x:c r="D31" s="10" t="n"/>
      <x:c r="E31" s="10" t="n"/>
      <x:c r="F31" s="10" t="n"/>
      <x:c r="G31" s="10" t="n"/>
      <x:c r="H31" s="10" t="n"/>
      <x:c r="I31" s="10" t="n"/>
      <x:c r="J31" s="11" t="n"/>
    </x:row>
    <x:row r="32" ht="34" customHeight="1">
      <x:c r="A32" s="14" t="inlineStr">
        <x:is>
          <x:t>4</x:t>
        </x:is>
      </x:c>
      <x:c r="B32" s="14" t="inlineStr">
        <x:is>
          <x:t>Evitar dupla contagem</x:t>
        </x:is>
      </x:c>
      <x:c r="C32" s="14" t="inlineStr">
        <x:is>
          <x:t>Receita influenciada, margem e lucro não podem ser somados como benefícios independentes.</x:t>
        </x:is>
      </x:c>
      <x:c r="D32" s="10" t="n"/>
      <x:c r="E32" s="10" t="n"/>
      <x:c r="F32" s="10" t="n"/>
      <x:c r="G32" s="10" t="n"/>
      <x:c r="H32" s="10" t="n"/>
      <x:c r="I32" s="10" t="n"/>
      <x:c r="J32" s="11" t="n"/>
    </x:row>
    <x:row r="33" ht="34" customHeight="1">
      <x:c r="A33" s="9" t="inlineStr">
        <x:is>
          <x:t>5</x:t>
        </x:is>
      </x:c>
      <x:c r="B33" s="9" t="inlineStr">
        <x:is>
          <x:t>Cohorts e tempo</x:t>
        </x:is>
      </x:c>
      <x:c r="C33" s="9" t="inlineStr">
        <x:is>
          <x:t>Comparar grupos equivalentes e respeitar o intervalo necessário para o resultado aparecer.</x:t>
        </x:is>
      </x:c>
      <x:c r="D33" s="10" t="n"/>
      <x:c r="E33" s="10" t="n"/>
      <x:c r="F33" s="10" t="n"/>
      <x:c r="G33" s="10" t="n"/>
      <x:c r="H33" s="10" t="n"/>
      <x:c r="I33" s="10" t="n"/>
      <x:c r="J33" s="11" t="n"/>
    </x:row>
    <x:row r="34" ht="34" customHeight="1">
      <x:c r="A34" s="12" t="inlineStr">
        <x:is>
          <x:t>6</x:t>
        </x:is>
      </x:c>
      <x:c r="B34" s="12" t="inlineStr">
        <x:is>
          <x:t>Cortes responsáveis</x:t>
        </x:is>
      </x:c>
      <x:c r="C34" s="12" t="inlineStr">
        <x:is>
          <x:t>Recortes demográficos entram como dimensão analítica, com finalidade, base legal e proteção.</x:t>
        </x:is>
      </x:c>
      <x:c r="D34" s="10" t="n"/>
      <x:c r="E34" s="10" t="n"/>
      <x:c r="F34" s="10" t="n"/>
      <x:c r="G34" s="10" t="n"/>
      <x:c r="H34" s="10" t="n"/>
      <x:c r="I34" s="10" t="n"/>
      <x:c r="J34" s="11" t="n"/>
    </x:row>
    <x:row r="35" ht="34" customHeight="1">
      <x:c r="A35" s="13" t="inlineStr">
        <x:is>
          <x:t>7</x:t>
        </x:is>
      </x:c>
      <x:c r="B35" s="13" t="inlineStr">
        <x:is>
          <x:t>Valor para cada parte</x:t>
        </x:is>
      </x:c>
      <x:c r="C35" s="13" t="inlineStr">
        <x:is>
          <x:t>Pessoa, empresa, entidade e HUB possuem objetivos distintos e conectados.</x:t>
        </x:is>
      </x:c>
      <x:c r="D35" s="10" t="n"/>
      <x:c r="E35" s="10" t="n"/>
      <x:c r="F35" s="10" t="n"/>
      <x:c r="G35" s="10" t="n"/>
      <x:c r="H35" s="10" t="n"/>
      <x:c r="I35" s="10" t="n"/>
      <x:c r="J35" s="11" t="n"/>
    </x:row>
    <x:row r="38" ht="24" customHeight="1">
      <x:c r="A38" s="15" t="inlineStr">
        <x:is>
          <x:t>Definições financeiras usadas no arquivo</x:t>
        </x:is>
      </x:c>
    </x:row>
    <x:row r="40" ht="34" customHeight="1">
      <x:c r="A40" s="16" t="inlineStr">
        <x:is>
          <x:t>Benefício bruto</x:t>
        </x:is>
      </x:c>
      <x:c r="B40" s="17" t="inlineStr">
        <x:is>
          <x:t>Soma dos benefícios monetizados após fator de atribuição e antes do investimento.</x:t>
        </x:is>
      </x:c>
    </x:row>
    <x:row r="41" ht="34" customHeight="1">
      <x:c r="A41" s="16" t="inlineStr">
        <x:is>
          <x:t>Benefício líquido</x:t>
        </x:is>
      </x:c>
      <x:c r="B41" s="17" t="inlineStr">
        <x:is>
          <x:t>Benefício bruto menos investimento total do cliente.</x:t>
        </x:is>
      </x:c>
    </x:row>
    <x:row r="42" ht="34" customHeight="1">
      <x:c r="A42" s="16" t="inlineStr">
        <x:is>
          <x:t>ROI</x:t>
        </x:is>
      </x:c>
      <x:c r="B42" s="17" t="inlineStr">
        <x:is>
          <x:t>(Benefício bruto − investimento total) ÷ investimento total.</x:t>
        </x:is>
      </x:c>
    </x:row>
    <x:row r="43" ht="34" customHeight="1">
      <x:c r="A43" s="16" t="inlineStr">
        <x:is>
          <x:t>Payback</x:t>
        </x:is>
      </x:c>
      <x:c r="B43" s="17" t="inlineStr">
        <x:is>
          <x:t>Meses necessários para que o benefício acumulado cubra o investimento.</x:t>
        </x:is>
      </x:c>
    </x:row>
    <x:row r="44" ht="34" customHeight="1">
      <x:c r="A44" s="16" t="inlineStr">
        <x:is>
          <x:t>Receita influenciada</x:t>
        </x:is>
      </x:c>
      <x:c r="B44" s="17" t="inlineStr">
        <x:is>
          <x:t>Receita associada a oportunidades tocadas pela HUB; não equivale automaticamente a receita incremental.</x:t>
        </x:is>
      </x:c>
    </x:row>
    <x:row r="45" ht="34" customHeight="1">
      <x:c r="A45" s="16" t="inlineStr">
        <x:is>
          <x:t>Risco evitado</x:t>
        </x:is>
      </x:c>
      <x:c r="B45" s="17" t="inlineStr">
        <x:is>
          <x:t>Redução de perda esperada: probabilidade × impacto × redução do risco × atribuição.</x:t>
        </x:is>
      </x:c>
    </x:row>
  </x:sheetData>
  <x:mergeCells count="33">
    <x:mergeCell ref="C34:J34"/>
    <x:mergeCell ref="C30:J30"/>
    <x:mergeCell ref="B42:J42"/>
    <x:mergeCell ref="C33:J33"/>
    <x:mergeCell ref="B24:H24"/>
    <x:mergeCell ref="B15:H15"/>
    <x:mergeCell ref="A27:L27"/>
    <x:mergeCell ref="A3:L3"/>
    <x:mergeCell ref="B20:H20"/>
    <x:mergeCell ref="B44:J44"/>
    <x:mergeCell ref="C35:J35"/>
    <x:mergeCell ref="C29:J29"/>
    <x:mergeCell ref="A1:L2"/>
    <x:mergeCell ref="B40:J40"/>
    <x:mergeCell ref="B16:H16"/>
    <x:mergeCell ref="C31:J31"/>
    <x:mergeCell ref="B22:H22"/>
    <x:mergeCell ref="A38:L38"/>
    <x:mergeCell ref="A5:L7"/>
    <x:mergeCell ref="B18:H18"/>
    <x:mergeCell ref="B45:J45"/>
    <x:mergeCell ref="B21:H21"/>
    <x:mergeCell ref="B12:H12"/>
    <x:mergeCell ref="B41:J41"/>
    <x:mergeCell ref="A9:L9"/>
    <x:mergeCell ref="B11:H11"/>
    <x:mergeCell ref="B23:H23"/>
    <x:mergeCell ref="B14:H14"/>
    <x:mergeCell ref="B17:H17"/>
    <x:mergeCell ref="B13:H13"/>
    <x:mergeCell ref="C32:J32"/>
    <x:mergeCell ref="B43:J43"/>
    <x:mergeCell ref="B19:H19"/>
  </x:mergeCells>
  <x:hyperlinks>
    <x:hyperlink xmlns:r="http://schemas.openxmlformats.org/officeDocument/2006/relationships" ref="A11" r:id="rId1"/>
    <x:hyperlink xmlns:r="http://schemas.openxmlformats.org/officeDocument/2006/relationships" ref="A12" r:id="rId2"/>
    <x:hyperlink xmlns:r="http://schemas.openxmlformats.org/officeDocument/2006/relationships" ref="A13" r:id="rId3"/>
    <x:hyperlink xmlns:r="http://schemas.openxmlformats.org/officeDocument/2006/relationships" ref="A14" r:id="rId4"/>
    <x:hyperlink xmlns:r="http://schemas.openxmlformats.org/officeDocument/2006/relationships" ref="A15" r:id="rId5"/>
    <x:hyperlink xmlns:r="http://schemas.openxmlformats.org/officeDocument/2006/relationships" ref="A16" r:id="rId6"/>
    <x:hyperlink xmlns:r="http://schemas.openxmlformats.org/officeDocument/2006/relationships" ref="A17" r:id="rId7"/>
    <x:hyperlink xmlns:r="http://schemas.openxmlformats.org/officeDocument/2006/relationships" ref="A18" r:id="rId8"/>
    <x:hyperlink xmlns:r="http://schemas.openxmlformats.org/officeDocument/2006/relationships" ref="A19" r:id="rId9"/>
    <x:hyperlink xmlns:r="http://schemas.openxmlformats.org/officeDocument/2006/relationships" ref="A20" r:id="rId10"/>
    <x:hyperlink xmlns:r="http://schemas.openxmlformats.org/officeDocument/2006/relationships" ref="A21" r:id="rId11"/>
    <x:hyperlink xmlns:r="http://schemas.openxmlformats.org/officeDocument/2006/relationships" ref="A22" r:id="rId12"/>
    <x:hyperlink xmlns:r="http://schemas.openxmlformats.org/officeDocument/2006/relationships" ref="A23" r:id="rId13"/>
    <x:hyperlink xmlns:r="http://schemas.openxmlformats.org/officeDocument/2006/relationships" ref="A24" r:id="rId14"/>
  </x:hyperlinks>
  <x:pageMargins left="0.25" right="0.25" top="0.45" bottom="0.45" header="0.5" footer="0.5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</x:worksheet>
</file>

<file path=xl/worksheets/sheet2.xml><?xml version="1.0" encoding="utf-8"?>
<x:worksheet xmlns:x="http://schemas.openxmlformats.org/spreadsheetml/2006/main">
  <x:sheetPr>
    <x:tabColor rgb="00FF4B35"/>
    <x:outlinePr summaryBelow="1" summaryRight="1"/>
    <x:pageSetUpPr fitToPage="1"/>
  </x:sheetPr>
  <x:dimension ref="A1:S27"/>
  <x:sheetViews>
    <x:sheetView showGridLines="0" workbookViewId="0">
      <x:pane ySplit="4" topLeftCell="A5" activePane="bottomLeft" state="frozen"/>
      <x:selection pane="bottomLeft" activeCell="A1" sqref="A1"/>
    </x:sheetView>
  </x:sheetViews>
  <x:sheetFormatPr baseColWidth="8" defaultRowHeight="15"/>
  <x:cols>
    <x:col min="1" max="1" width="8.5" customWidth="1"/>
    <x:col min="2" max="2" width="8.5" customWidth="1"/>
    <x:col min="3" max="3" width="8.5" customWidth="1"/>
    <x:col min="4" max="4" width="8.5" customWidth="1"/>
    <x:col min="5" max="5" width="8.5" customWidth="1"/>
    <x:col min="6" max="6" width="8.5" customWidth="1"/>
    <x:col min="7" max="7" width="8.5" customWidth="1"/>
    <x:col min="8" max="8" width="8.5" customWidth="1"/>
    <x:col min="9" max="9" width="8.5" customWidth="1"/>
    <x:col min="10" max="10" width="8.5" customWidth="1"/>
    <x:col min="11" max="11" width="8.5" customWidth="1"/>
    <x:col min="12" max="12" width="8.5" customWidth="1"/>
    <x:col min="13" max="13" width="8.5" customWidth="1"/>
    <x:col min="14" max="14" width="8.5" customWidth="1"/>
    <x:col min="15" max="15" width="8.5" customWidth="1"/>
    <x:col min="16" max="16" width="8.5" customWidth="1"/>
    <x:col min="17" max="17" width="8.5" customWidth="1"/>
    <x:col min="18" max="18" width="8.5" customWidth="1"/>
    <x:col min="19" max="19" width="8.5" customWidth="1"/>
  </x:cols>
  <x:sheetData>
    <x:row r="1" ht="26" customHeight="1">
      <x:c r="A1" s="1" t="inlineStr">
        <x:is>
          <x:t>Mapa neural da inteligência HUB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  <x:c r="S2" s="2" t="n"/>
    </x:row>
    <x:row r="3" ht="24" customHeight="1">
      <x:c r="A3" s="3" t="inlineStr">
        <x:is>
          <x:t>A plataforma conecta dados fragmentados até que possam sustentar uma decisão e provar valor financeiro.</x:t>
        </x:is>
      </x:c>
    </x:row>
    <x:row r="5">
      <x:c r="A5" s="18" t="inlineStr">
        <x:is>
          <x:t>FONTES</x:t>
        </x:is>
      </x:c>
      <x:c r="D5" s="19" t="inlineStr">
        <x:is>
          <x:t>IDENTIDADES</x:t>
        </x:is>
      </x:c>
      <x:c r="G5" s="20" t="inlineStr">
        <x:is>
          <x:t>SINAIS</x:t>
        </x:is>
      </x:c>
      <x:c r="J5" s="21" t="inlineStr">
        <x:is>
          <x:t>INTELIGÊNCIA</x:t>
        </x:is>
      </x:c>
      <x:c r="M5" s="22" t="inlineStr">
        <x:is>
          <x:t>AÇÃO</x:t>
        </x:is>
      </x:c>
      <x:c r="P5" s="23" t="inlineStr">
        <x:is>
          <x:t>RESULTADO</x:t>
        </x:is>
      </x:c>
      <x:c r="R5" s="24" t="inlineStr">
        <x:is>
          <x:t>VALOR FINANCEIRO</x:t>
        </x:is>
      </x:c>
    </x:row>
    <x:row r="7" ht="55" customHeight="1">
      <x:c r="A7" s="25" t="inlineStr">
        <x:is>
          <x:t>RH / ERP / ATS</x:t>
        </x:is>
      </x:c>
      <x:c r="D7" s="26" t="inlineStr">
        <x:is>
          <x:t>Pessoa</x:t>
        </x:is>
      </x:c>
      <x:c r="G7" s="27" t="inlineStr">
        <x:is>
          <x:t>Capacidades</x:t>
        </x:is>
      </x:c>
      <x:c r="J7" s="28" t="inlineStr">
        <x:is>
          <x:t>Score de prontidão</x:t>
        </x:is>
      </x:c>
      <x:c r="M7" s="29" t="inlineStr">
        <x:is>
          <x:t>Jornada recomendada</x:t>
        </x:is>
      </x:c>
      <x:c r="P7" s="30" t="inlineStr">
        <x:is>
          <x:t>Produtividade</x:t>
        </x:is>
      </x:c>
      <x:c r="R7" s="31" t="inlineStr">
        <x:is>
          <x:t>Horas e custo evitados</x:t>
        </x:is>
      </x:c>
    </x:row>
    <x:row r="8" ht="55" customHeight="1">
      <x:c r="A8" s="25" t="inlineStr">
        <x:is>
          <x:t>LMS / trilhas</x:t>
        </x:is>
      </x:c>
      <x:c r="D8" s="26" t="inlineStr">
        <x:is>
          <x:t>Empresa</x:t>
        </x:is>
      </x:c>
      <x:c r="G8" s="27" t="inlineStr">
        <x:is>
          <x:t>Lacunas</x:t>
        </x:is>
      </x:c>
      <x:c r="J8" s="28" t="inlineStr">
        <x:is>
          <x:t>Prioridade de desenvolvimento</x:t>
        </x:is>
      </x:c>
      <x:c r="M8" s="29" t="inlineStr">
        <x:is>
          <x:t>Formação / mobilidade</x:t>
        </x:is>
      </x:c>
      <x:c r="P8" s="30" t="inlineStr">
        <x:is>
          <x:t>Retenção</x:t>
        </x:is>
      </x:c>
      <x:c r="R8" s="31" t="inlineStr">
        <x:is>
          <x:t>Turnover evitado</x:t>
        </x:is>
      </x:c>
    </x:row>
    <x:row r="9" ht="55" customHeight="1">
      <x:c r="A9" s="25" t="inlineStr">
        <x:is>
          <x:t>CRM / marketing</x:t>
        </x:is>
      </x:c>
      <x:c r="D9" s="26" t="inlineStr">
        <x:is>
          <x:t>Entidade</x:t>
        </x:is>
      </x:c>
      <x:c r="G9" s="27" t="inlineStr">
        <x:is>
          <x:t>Interesses</x:t>
        </x:is>
      </x:c>
      <x:c r="J9" s="28" t="inlineStr">
        <x:is>
          <x:t>Propensão / segmento</x:t>
        </x:is>
      </x:c>
      <x:c r="M9" s="29" t="inlineStr">
        <x:is>
          <x:t>Campanha / conexão</x:t>
        </x:is>
      </x:c>
      <x:c r="P9" s="30" t="inlineStr">
        <x:is>
          <x:t>Receita e contratos</x:t>
        </x:is>
      </x:c>
      <x:c r="R9" s="31" t="inlineStr">
        <x:is>
          <x:t>Margem incremental</x:t>
        </x:is>
      </x:c>
    </x:row>
    <x:row r="10" ht="55" customHeight="1">
      <x:c r="A10" s="25" t="inlineStr">
        <x:is>
          <x:t>Compras / contratos</x:t>
        </x:is>
      </x:c>
      <x:c r="D10" s="26" t="inlineStr">
        <x:is>
          <x:t>Fornecedor</x:t>
        </x:is>
      </x:c>
      <x:c r="G10" s="27" t="inlineStr">
        <x:is>
          <x:t>Desempenho</x:t>
        </x:is>
      </x:c>
      <x:c r="J10" s="28" t="inlineStr">
        <x:is>
          <x:t>Risco / compatibilidade</x:t>
        </x:is>
      </x:c>
      <x:c r="M10" s="29" t="inlineStr">
        <x:is>
          <x:t>Match / homologação</x:t>
        </x:is>
      </x:c>
      <x:c r="P10" s="30" t="inlineStr">
        <x:is>
          <x:t>Eficiência de compras</x:t>
        </x:is>
      </x:c>
      <x:c r="R10" s="31" t="inlineStr">
        <x:is>
          <x:t>Saving e ciclo reduzido</x:t>
        </x:is>
      </x:c>
    </x:row>
    <x:row r="11" ht="55" customHeight="1">
      <x:c r="A11" s="25" t="inlineStr">
        <x:is>
          <x:t>Eventos da plataforma</x:t>
        </x:is>
      </x:c>
      <x:c r="D11" s="26" t="inlineStr">
        <x:is>
          <x:t>Oportunidade</x:t>
        </x:is>
      </x:c>
      <x:c r="G11" s="27" t="inlineStr">
        <x:is>
          <x:t>Comportamento</x:t>
        </x:is>
      </x:c>
      <x:c r="J11" s="28" t="inlineStr">
        <x:is>
          <x:t>Recomendação</x:t>
        </x:is>
      </x:c>
      <x:c r="M11" s="29" t="inlineStr">
        <x:is>
          <x:t>Projeto / solução</x:t>
        </x:is>
      </x:c>
      <x:c r="P11" s="30" t="inlineStr">
        <x:is>
          <x:t>Inovação</x:t>
        </x:is>
      </x:c>
      <x:c r="R11" s="31" t="inlineStr">
        <x:is>
          <x:t>Novos mercados</x:t>
        </x:is>
      </x:c>
    </x:row>
    <x:row r="12" ht="55" customHeight="1">
      <x:c r="A12" s="25" t="inlineStr">
        <x:is>
          <x:t>Financeiro / BI</x:t>
        </x:is>
      </x:c>
      <x:c r="D12" s="26" t="inlineStr">
        <x:is>
          <x:t>Programa</x:t>
        </x:is>
      </x:c>
      <x:c r="G12" s="27" t="inlineStr">
        <x:is>
          <x:t>Baseline</x:t>
        </x:is>
      </x:c>
      <x:c r="J12" s="28" t="inlineStr">
        <x:is>
          <x:t>Atribuição causal</x:t>
        </x:is>
      </x:c>
      <x:c r="M12" s="29" t="inlineStr">
        <x:is>
          <x:t>Decisão executiva</x:t>
        </x:is>
      </x:c>
      <x:c r="P12" s="30" t="inlineStr">
        <x:is>
          <x:t>Risco reduzido</x:t>
        </x:is>
      </x:c>
      <x:c r="R12" s="31" t="inlineStr">
        <x:is>
          <x:t>Perda esperada evitada</x:t>
        </x:is>
      </x:c>
    </x:row>
    <x:row r="15" ht="24" customHeight="1">
      <x:c r="A15" s="5" t="inlineStr">
        <x:is>
          <x:t>Loop de aprendizagem: o resultado realimenta o modelo</x:t>
        </x:is>
      </x:c>
    </x:row>
    <x:row r="17">
      <x:c r="A17" s="32" t="inlineStr">
        <x:is>
          <x:t>1. Observar</x:t>
        </x:is>
      </x:c>
      <x:c r="D17" s="33" t="inlineStr">
        <x:is>
          <x:t>2. Explicar</x:t>
        </x:is>
      </x:c>
      <x:c r="G17" s="34" t="inlineStr">
        <x:is>
          <x:t>3. Recomendar</x:t>
        </x:is>
      </x:c>
      <x:c r="J17" s="35" t="inlineStr">
        <x:is>
          <x:t>4. Experimentar</x:t>
        </x:is>
      </x:c>
      <x:c r="M17" s="36" t="inlineStr">
        <x:is>
          <x:t>5. Monetizar</x:t>
        </x:is>
      </x:c>
      <x:c r="P17" s="37" t="inlineStr">
        <x:is>
          <x:t>6. Aprender</x:t>
        </x:is>
      </x:c>
    </x:row>
    <x:row r="18">
      <x:c r="A18" s="38" t="inlineStr">
        <x:is>
          <x:t>Registrar contexto, exposição e comportamento.</x:t>
        </x:is>
      </x:c>
      <x:c r="D18" s="38" t="inlineStr">
        <x:is>
          <x:t>Relacionar sinais a resultados e controlar confundidores.</x:t>
        </x:is>
      </x:c>
      <x:c r="G18" s="38" t="inlineStr">
        <x:is>
          <x:t>Priorizar a ação com maior probabilidade de valor.</x:t>
        </x:is>
      </x:c>
      <x:c r="J18" s="38" t="inlineStr">
        <x:is>
          <x:t>Comparar baseline, cohort ou grupo de controle.</x:t>
        </x:is>
      </x:c>
      <x:c r="M18" s="38" t="inlineStr">
        <x:is>
          <x:t>Converter somente a parcela de efeito atribuível.</x:t>
        </x:is>
      </x:c>
      <x:c r="P18" s="38" t="inlineStr">
        <x:is>
          <x:t>Atualizar pesos, regras, benchmark e confiança da recomendação.</x:t>
        </x:is>
      </x:c>
    </x:row>
    <x:row r="19"/>
    <x:row r="20"/>
    <x:row r="22" ht="24" customHeight="1">
      <x:c r="A22" s="8" t="inlineStr">
        <x:is>
          <x:t>Quatro visões integradas</x:t>
        </x:is>
      </x:c>
    </x:row>
    <x:row r="24">
      <x:c r="A24" s="39" t="inlineStr">
        <x:is>
          <x:t>PESSOA</x:t>
        </x:is>
      </x:c>
      <x:c r="F24" s="40" t="inlineStr">
        <x:is>
          <x:t>EMPRESA</x:t>
        </x:is>
      </x:c>
      <x:c r="K24" s="41" t="inlineStr">
        <x:is>
          <x:t>ENTIDADE</x:t>
        </x:is>
      </x:c>
      <x:c r="P24" s="42" t="inlineStr">
        <x:is>
          <x:t>HUB</x:t>
        </x:is>
      </x:c>
    </x:row>
    <x:row r="25">
      <x:c r="A25" s="43" t="inlineStr">
        <x:is>
          <x:t>O que consigo fazer, onde tenho lacuna e qual oportunidade aumenta meu valor?</x:t>
        </x:is>
      </x:c>
      <x:c r="F25" s="43" t="inlineStr">
        <x:is>
          <x:t>Quais decisões sobre pessoas, compras e mercado geram resultado?</x:t>
        </x:is>
      </x:c>
      <x:c r="K25" s="43" t="inlineStr">
        <x:is>
          <x:t>Que padrões do ecossistema merecem ação coletiva e novos serviços?</x:t>
        </x:is>
      </x:c>
      <x:c r="P25" s="43" t="inlineStr">
        <x:is>
          <x:t>Onde existe valor recorrente, prova de impacto e possibilidade de escala?</x:t>
        </x:is>
      </x:c>
    </x:row>
    <x:row r="26"/>
    <x:row r="27"/>
  </x:sheetData>
  <x:mergeCells count="73">
    <x:mergeCell ref="M11:O11"/>
    <x:mergeCell ref="D11:F11"/>
    <x:mergeCell ref="G10:I10"/>
    <x:mergeCell ref="M10:O10"/>
    <x:mergeCell ref="A1:S2"/>
    <x:mergeCell ref="R11:S11"/>
    <x:mergeCell ref="A22:S22"/>
    <x:mergeCell ref="P10:Q10"/>
    <x:mergeCell ref="R10:S10"/>
    <x:mergeCell ref="D17:F17"/>
    <x:mergeCell ref="M7:O7"/>
    <x:mergeCell ref="D7:F7"/>
    <x:mergeCell ref="A12:C12"/>
    <x:mergeCell ref="M12:O12"/>
    <x:mergeCell ref="P24:S24"/>
    <x:mergeCell ref="R5:S5"/>
    <x:mergeCell ref="J11:L11"/>
    <x:mergeCell ref="J7:L7"/>
    <x:mergeCell ref="P9:Q9"/>
    <x:mergeCell ref="P18:S20"/>
    <x:mergeCell ref="R9:S9"/>
    <x:mergeCell ref="R7:S7"/>
    <x:mergeCell ref="A5:C5"/>
    <x:mergeCell ref="G5:I5"/>
    <x:mergeCell ref="A18:C20"/>
    <x:mergeCell ref="G18:I20"/>
    <x:mergeCell ref="A8:C8"/>
    <x:mergeCell ref="P8:Q8"/>
    <x:mergeCell ref="D12:F12"/>
    <x:mergeCell ref="A17:C17"/>
    <x:mergeCell ref="M17:O17"/>
    <x:mergeCell ref="D9:F9"/>
    <x:mergeCell ref="P11:Q11"/>
    <x:mergeCell ref="M8:O8"/>
    <x:mergeCell ref="M18:O20"/>
    <x:mergeCell ref="A24:D24"/>
    <x:mergeCell ref="J12:L12"/>
    <x:mergeCell ref="D8:F8"/>
    <x:mergeCell ref="K24:N24"/>
    <x:mergeCell ref="K25:N27"/>
    <x:mergeCell ref="A15:S15"/>
    <x:mergeCell ref="R12:S12"/>
    <x:mergeCell ref="A10:C10"/>
    <x:mergeCell ref="D5:F5"/>
    <x:mergeCell ref="P7:Q7"/>
    <x:mergeCell ref="D18:F20"/>
    <x:mergeCell ref="J18:L20"/>
    <x:mergeCell ref="F24:I24"/>
    <x:mergeCell ref="A9:C9"/>
    <x:mergeCell ref="G9:I9"/>
    <x:mergeCell ref="J8:L8"/>
    <x:mergeCell ref="F25:I27"/>
    <x:mergeCell ref="G12:I12"/>
    <x:mergeCell ref="J17:L17"/>
    <x:mergeCell ref="P25:S27"/>
    <x:mergeCell ref="D10:F10"/>
    <x:mergeCell ref="G11:I11"/>
    <x:mergeCell ref="J5:L5"/>
    <x:mergeCell ref="A11:C11"/>
    <x:mergeCell ref="J10:L10"/>
    <x:mergeCell ref="P12:Q12"/>
    <x:mergeCell ref="A25:D27"/>
    <x:mergeCell ref="M9:O9"/>
    <x:mergeCell ref="M5:O5"/>
    <x:mergeCell ref="P17:S17"/>
    <x:mergeCell ref="G8:I8"/>
    <x:mergeCell ref="A3:S3"/>
    <x:mergeCell ref="G17:I17"/>
    <x:mergeCell ref="P5:Q5"/>
    <x:mergeCell ref="J9:L9"/>
    <x:mergeCell ref="A7:C7"/>
    <x:mergeCell ref="G7:I7"/>
    <x:mergeCell ref="R8:S8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</x:worksheet>
</file>

<file path=xl/worksheets/sheet3.xml><?xml version="1.0" encoding="utf-8"?>
<x:worksheet xmlns:x="http://schemas.openxmlformats.org/spreadsheetml/2006/main">
  <x:sheetPr>
    <x:tabColor rgb="006F3FA0"/>
    <x:outlinePr summaryBelow="1" summaryRight="1"/>
    <x:pageSetUpPr fitToPage="1"/>
  </x:sheetPr>
  <x:dimension ref="A1:K30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8" customWidth="1"/>
    <x:col min="2" max="2" width="14" customWidth="1"/>
    <x:col min="3" max="3" width="22" customWidth="1"/>
    <x:col min="4" max="4" width="40" customWidth="1"/>
    <x:col min="5" max="5" width="18" customWidth="1"/>
    <x:col min="6" max="6" width="20" customWidth="1"/>
    <x:col min="7" max="7" width="42" customWidth="1"/>
    <x:col min="8" max="8" width="24" customWidth="1"/>
    <x:col min="9" max="9" width="14" customWidth="1"/>
    <x:col min="10" max="10" width="14" customWidth="1"/>
    <x:col min="11" max="11" width="42" customWidth="1"/>
  </x:cols>
  <x:sheetData>
    <x:row r="1" ht="26" customHeight="1">
      <x:c r="A1" s="1" t="inlineStr">
        <x:is>
          <x:t>Nós do mapa neural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ht="24" customHeight="1">
      <x:c r="A3" s="3" t="inlineStr">
        <x:is>
          <x:t>Cada nó é uma entidade analítica com identidade, histórico e relações rastreáveis.</x:t>
        </x:is>
      </x:c>
    </x:row>
    <x:row r="5" ht="34" customHeight="1">
      <x:c r="A5" s="44" t="inlineStr">
        <x:is>
          <x:t>ID</x:t>
        </x:is>
      </x:c>
      <x:c r="B5" s="44" t="inlineStr">
        <x:is>
          <x:t>Camada</x:t>
        </x:is>
      </x:c>
      <x:c r="C5" s="44" t="inlineStr">
        <x:is>
          <x:t>Nó</x:t>
        </x:is>
      </x:c>
      <x:c r="D5" s="44" t="inlineStr">
        <x:is>
          <x:t>Definição de negócio</x:t>
        </x:is>
      </x:c>
      <x:c r="E5" s="44" t="inlineStr">
        <x:is>
          <x:t>Chave primária</x:t>
        </x:is>
      </x:c>
      <x:c r="F5" s="44" t="inlineStr">
        <x:is>
          <x:t>Granularidade</x:t>
        </x:is>
      </x:c>
      <x:c r="G5" s="44" t="inlineStr">
        <x:is>
          <x:t>Atributos mínimos</x:t>
        </x:is>
      </x:c>
      <x:c r="H5" s="44" t="inlineStr">
        <x:is>
          <x:t>Origem</x:t>
        </x:is>
      </x:c>
      <x:c r="I5" s="44" t="inlineStr">
        <x:is>
          <x:t>Sensibilidade</x:t>
        </x:is>
      </x:c>
      <x:c r="J5" s="44" t="inlineStr">
        <x:is>
          <x:t>Atualização</x:t>
        </x:is>
      </x:c>
      <x:c r="K5" s="44" t="inlineStr">
        <x:is>
          <x:t>Contribuição para valor</x:t>
        </x:is>
      </x:c>
    </x:row>
    <x:row r="6" ht="52" customHeight="1">
      <x:c r="A6" s="6" t="inlineStr">
        <x:is>
          <x:t>N01</x:t>
        </x:is>
      </x:c>
      <x:c r="B6" s="6" t="inlineStr">
        <x:is>
          <x:t>Identidade</x:t>
        </x:is>
      </x:c>
      <x:c r="C6" s="6" t="inlineStr">
        <x:is>
          <x:t>Pessoa</x:t>
        </x:is>
      </x:c>
      <x:c r="D6" s="6" t="inlineStr">
        <x:is>
          <x:t>Indivíduo que participa, trabalha, aprende ou se conecta.</x:t>
        </x:is>
      </x:c>
      <x:c r="E6" s="6" t="inlineStr">
        <x:is>
          <x:t>person_id</x:t>
        </x:is>
      </x:c>
      <x:c r="F6" s="6" t="inlineStr">
        <x:is>
          <x:t>1 pessoa</x:t>
        </x:is>
      </x:c>
      <x:c r="G6" s="6" t="inlineStr">
        <x:is>
          <x:t>status, perfil, localização, consentimentos</x:t>
        </x:is>
      </x:c>
      <x:c r="H6" s="6" t="inlineStr">
        <x:is>
          <x:t>Cadastro / HRIS</x:t>
        </x:is>
      </x:c>
      <x:c r="I6" s="6" t="inlineStr">
        <x:is>
          <x:t>Alta</x:t>
        </x:is>
      </x:c>
      <x:c r="J6" s="6" t="inlineStr">
        <x:is>
          <x:t>Diária</x:t>
        </x:is>
      </x:c>
      <x:c r="K6" s="6" t="inlineStr">
        <x:is>
          <x:t>Base para capacidade, retenção, produtividade e matching</x:t>
        </x:is>
      </x:c>
    </x:row>
    <x:row r="7" ht="52" customHeight="1">
      <x:c r="A7" s="7" t="inlineStr">
        <x:is>
          <x:t>N02</x:t>
        </x:is>
      </x:c>
      <x:c r="B7" s="7" t="inlineStr">
        <x:is>
          <x:t>Identidade</x:t>
        </x:is>
      </x:c>
      <x:c r="C7" s="7" t="inlineStr">
        <x:is>
          <x:t>Empresa</x:t>
        </x:is>
      </x:c>
      <x:c r="D7" s="7" t="inlineStr">
        <x:is>
          <x:t>Organização cliente, compradora, empregadora ou parceira.</x:t>
        </x:is>
      </x:c>
      <x:c r="E7" s="7" t="inlineStr">
        <x:is>
          <x:t>company_id</x:t>
        </x:is>
      </x:c>
      <x:c r="F7" s="7" t="inlineStr">
        <x:is>
          <x:t>1 empresa</x:t>
        </x:is>
      </x:c>
      <x:c r="G7" s="7" t="inlineStr">
        <x:is>
          <x:t>setor, porte, região, carteira, contrato</x:t>
        </x:is>
      </x:c>
      <x:c r="H7" s="7" t="inlineStr">
        <x:is>
          <x:t>CRM / ERP</x:t>
        </x:is>
      </x:c>
      <x:c r="I7" s="7" t="inlineStr">
        <x:is>
          <x:t>Média</x:t>
        </x:is>
      </x:c>
      <x:c r="J7" s="7" t="inlineStr">
        <x:is>
          <x:t>Diária</x:t>
        </x:is>
      </x:c>
      <x:c r="K7" s="7" t="inlineStr">
        <x:is>
          <x:t>Receita, expansão, benchmark e valor por cliente</x:t>
        </x:is>
      </x:c>
    </x:row>
    <x:row r="8" ht="52" customHeight="1">
      <x:c r="A8" s="6" t="inlineStr">
        <x:is>
          <x:t>N03</x:t>
        </x:is>
      </x:c>
      <x:c r="B8" s="6" t="inlineStr">
        <x:is>
          <x:t>Identidade</x:t>
        </x:is>
      </x:c>
      <x:c r="C8" s="6" t="inlineStr">
        <x:is>
          <x:t>Entidade</x:t>
        </x:is>
      </x:c>
      <x:c r="D8" s="6" t="inlineStr">
        <x:is>
          <x:t>Federação, associação, rede ou instituição que organiza um ecossistema.</x:t>
        </x:is>
      </x:c>
      <x:c r="E8" s="6" t="inlineStr">
        <x:is>
          <x:t>entity_id</x:t>
        </x:is>
      </x:c>
      <x:c r="F8" s="6" t="inlineStr">
        <x:is>
          <x:t>1 entidade</x:t>
        </x:is>
      </x:c>
      <x:c r="G8" s="6" t="inlineStr">
        <x:is>
          <x:t>tipo, território, associados, programas</x:t>
        </x:is>
      </x:c>
      <x:c r="H8" s="6" t="inlineStr">
        <x:is>
          <x:t>CRM</x:t>
        </x:is>
      </x:c>
      <x:c r="I8" s="6" t="inlineStr">
        <x:is>
          <x:t>Média</x:t>
        </x:is>
      </x:c>
      <x:c r="J8" s="6" t="inlineStr">
        <x:is>
          <x:t>Semanal</x:t>
        </x:is>
      </x:c>
      <x:c r="K8" s="6" t="inlineStr">
        <x:is>
          <x:t>Valor do ecossistema, adesão e retenção de associados</x:t>
        </x:is>
      </x:c>
    </x:row>
    <x:row r="9" ht="52" customHeight="1">
      <x:c r="A9" s="7" t="inlineStr">
        <x:is>
          <x:t>N04</x:t>
        </x:is>
      </x:c>
      <x:c r="B9" s="7" t="inlineStr">
        <x:is>
          <x:t>Identidade</x:t>
        </x:is>
      </x:c>
      <x:c r="C9" s="7" t="inlineStr">
        <x:is>
          <x:t>Fornecedor / solução</x:t>
        </x:is>
      </x:c>
      <x:c r="D9" s="7" t="inlineStr">
        <x:is>
          <x:t>Organização ou profissional capaz de entregar uma solução.</x:t>
        </x:is>
      </x:c>
      <x:c r="E9" s="7" t="inlineStr">
        <x:is>
          <x:t>supplier_id</x:t>
        </x:is>
      </x:c>
      <x:c r="F9" s="7" t="inlineStr">
        <x:is>
          <x:t>1 fornecedor</x:t>
        </x:is>
      </x:c>
      <x:c r="G9" s="7" t="inlineStr">
        <x:is>
          <x:t>categorias, capacidade, homologação, desempenho</x:t>
        </x:is>
      </x:c>
      <x:c r="H9" s="7" t="inlineStr">
        <x:is>
          <x:t>Compras / Marketplace</x:t>
        </x:is>
      </x:c>
      <x:c r="I9" s="7" t="inlineStr">
        <x:is>
          <x:t>Média</x:t>
        </x:is>
      </x:c>
      <x:c r="J9" s="7" t="inlineStr">
        <x:is>
          <x:t>Diária</x:t>
        </x:is>
      </x:c>
      <x:c r="K9" s="7" t="inlineStr">
        <x:is>
          <x:t>Eficiência de compras, saving, risco e receita de marketplace</x:t>
        </x:is>
      </x:c>
    </x:row>
    <x:row r="10" ht="52" customHeight="1">
      <x:c r="A10" s="6" t="inlineStr">
        <x:is>
          <x:t>N05</x:t>
        </x:is>
      </x:c>
      <x:c r="B10" s="6" t="inlineStr">
        <x:is>
          <x:t>Estrutura</x:t>
        </x:is>
      </x:c>
      <x:c r="C10" s="6" t="inlineStr">
        <x:is>
          <x:t>Vínculo</x:t>
        </x:is>
      </x:c>
      <x:c r="D10" s="6" t="inlineStr">
        <x:is>
          <x:t>Relação temporal entre pessoa, empresa, entidade e programa.</x:t>
        </x:is>
      </x:c>
      <x:c r="E10" s="6" t="inlineStr">
        <x:is>
          <x:t>relationship_id</x:t>
        </x:is>
      </x:c>
      <x:c r="F10" s="6" t="inlineStr">
        <x:is>
          <x:t>1 vínculo por período</x:t>
        </x:is>
      </x:c>
      <x:c r="G10" s="6" t="inlineStr">
        <x:is>
          <x:t>papel, início, fim, status</x:t>
        </x:is>
      </x:c>
      <x:c r="H10" s="6" t="inlineStr">
        <x:is>
          <x:t>HRIS / CRM</x:t>
        </x:is>
      </x:c>
      <x:c r="I10" s="6" t="inlineStr">
        <x:is>
          <x:t>Alta</x:t>
        </x:is>
      </x:c>
      <x:c r="J10" s="6" t="inlineStr">
        <x:is>
          <x:t>Diária</x:t>
        </x:is>
      </x:c>
      <x:c r="K10" s="6" t="inlineStr">
        <x:is>
          <x:t>Cohorts, elegibilidade e atribuição</x:t>
        </x:is>
      </x:c>
    </x:row>
    <x:row r="11" ht="52" customHeight="1">
      <x:c r="A11" s="7" t="inlineStr">
        <x:is>
          <x:t>N06</x:t>
        </x:is>
      </x:c>
      <x:c r="B11" s="7" t="inlineStr">
        <x:is>
          <x:t>Demanda</x:t>
        </x:is>
      </x:c>
      <x:c r="C11" s="7" t="inlineStr">
        <x:is>
          <x:t>Oportunidade</x:t>
        </x:is>
      </x:c>
      <x:c r="D11" s="7" t="inlineStr">
        <x:is>
          <x:t>Demanda de trabalho, negócio, compra, desenvolvimento ou conexão.</x:t>
        </x:is>
      </x:c>
      <x:c r="E11" s="7" t="inlineStr">
        <x:is>
          <x:t>opportunity_id</x:t>
        </x:is>
      </x:c>
      <x:c r="F11" s="7" t="inlineStr">
        <x:is>
          <x:t>1 oportunidade</x:t>
        </x:is>
      </x:c>
      <x:c r="G11" s="7" t="inlineStr">
        <x:is>
          <x:t>tipo, requisitos, valor, prazo, estágio</x:t>
        </x:is>
      </x:c>
      <x:c r="H11" s="7" t="inlineStr">
        <x:is>
          <x:t>ATS / CRM / Compras</x:t>
        </x:is>
      </x:c>
      <x:c r="I11" s="7" t="inlineStr">
        <x:is>
          <x:t>Média</x:t>
        </x:is>
      </x:c>
      <x:c r="J11" s="7" t="inlineStr">
        <x:is>
          <x:t>Tempo real</x:t>
        </x:is>
      </x:c>
      <x:c r="K11" s="7" t="inlineStr">
        <x:is>
          <x:t>Pipeline, contratação, GMV e receita influenciada</x:t>
        </x:is>
      </x:c>
    </x:row>
    <x:row r="12" ht="52" customHeight="1">
      <x:c r="A12" s="6" t="inlineStr">
        <x:is>
          <x:t>N07</x:t>
        </x:is>
      </x:c>
      <x:c r="B12" s="6" t="inlineStr">
        <x:is>
          <x:t>Capacidade</x:t>
        </x:is>
      </x:c>
      <x:c r="C12" s="6" t="inlineStr">
        <x:is>
          <x:t>Competência</x:t>
        </x:is>
      </x:c>
      <x:c r="D12" s="6" t="inlineStr">
        <x:is>
          <x:t>Conhecimento, habilidade, repertório ou capacidade organizacional.</x:t>
        </x:is>
      </x:c>
      <x:c r="E12" s="6" t="inlineStr">
        <x:is>
          <x:t>skill_id</x:t>
        </x:is>
      </x:c>
      <x:c r="F12" s="6" t="inlineStr">
        <x:is>
          <x:t>1 competência</x:t>
        </x:is>
      </x:c>
      <x:c r="G12" s="6" t="inlineStr">
        <x:is>
          <x:t>taxonomia, nível, evidência, validade</x:t>
        </x:is>
      </x:c>
      <x:c r="H12" s="6" t="inlineStr">
        <x:is>
          <x:t>Diagnóstico / LMS</x:t>
        </x:is>
      </x:c>
      <x:c r="I12" s="6" t="inlineStr">
        <x:is>
          <x:t>Média</x:t>
        </x:is>
      </x:c>
      <x:c r="J12" s="6" t="inlineStr">
        <x:is>
          <x:t>Mensal</x:t>
        </x:is>
      </x:c>
      <x:c r="K12" s="6" t="inlineStr">
        <x:is>
          <x:t>Gap, prontidão, mobilidade e produtividade</x:t>
        </x:is>
      </x:c>
    </x:row>
    <x:row r="13" ht="52" customHeight="1">
      <x:c r="A13" s="7" t="inlineStr">
        <x:is>
          <x:t>N08</x:t>
        </x:is>
      </x:c>
      <x:c r="B13" s="7" t="inlineStr">
        <x:is>
          <x:t>Capacidade</x:t>
        </x:is>
      </x:c>
      <x:c r="C13" s="7" t="inlineStr">
        <x:is>
          <x:t>Evidência de competência</x:t>
        </x:is>
      </x:c>
      <x:c r="D13" s="7" t="inlineStr">
        <x:is>
          <x:t>Prova observável que sustenta um nível de capacidade.</x:t>
        </x:is>
      </x:c>
      <x:c r="E13" s="7" t="inlineStr">
        <x:is>
          <x:t>evidence_id</x:t>
        </x:is>
      </x:c>
      <x:c r="F13" s="7" t="inlineStr">
        <x:is>
          <x:t>1 evidência</x:t>
        </x:is>
      </x:c>
      <x:c r="G13" s="7" t="inlineStr">
        <x:is>
          <x:t>tipo, emissor, data, score, validade</x:t>
        </x:is>
      </x:c>
      <x:c r="H13" s="7" t="inlineStr">
        <x:is>
          <x:t>Upload / avaliação</x:t>
        </x:is>
      </x:c>
      <x:c r="I13" s="7" t="inlineStr">
        <x:is>
          <x:t>Alta</x:t>
        </x:is>
      </x:c>
      <x:c r="J13" s="7" t="inlineStr">
        <x:is>
          <x:t>Evento</x:t>
        </x:is>
      </x:c>
      <x:c r="K13" s="7" t="inlineStr">
        <x:is>
          <x:t>Confiança do matching e redução de risco</x:t>
        </x:is>
      </x:c>
    </x:row>
    <x:row r="14" ht="52" customHeight="1">
      <x:c r="A14" s="6" t="inlineStr">
        <x:is>
          <x:t>N09</x:t>
        </x:is>
      </x:c>
      <x:c r="B14" s="6" t="inlineStr">
        <x:is>
          <x:t>Sinal</x:t>
        </x:is>
      </x:c>
      <x:c r="C14" s="6" t="inlineStr">
        <x:is>
          <x:t>Diagnóstico</x:t>
        </x:is>
      </x:c>
      <x:c r="D14" s="6" t="inlineStr">
        <x:is>
          <x:t>Medição estruturada de maturidade, prontidão, necessidade ou risco.</x:t>
        </x:is>
      </x:c>
      <x:c r="E14" s="6" t="inlineStr">
        <x:is>
          <x:t>assessment_id</x:t>
        </x:is>
      </x:c>
      <x:c r="F14" s="6" t="inlineStr">
        <x:is>
          <x:t>1 resposta/rodada</x:t>
        </x:is>
      </x:c>
      <x:c r="G14" s="6" t="inlineStr">
        <x:is>
          <x:t>instrumento, dimensão, score, versão</x:t>
        </x:is>
      </x:c>
      <x:c r="H14" s="6" t="inlineStr">
        <x:is>
          <x:t>Plataforma</x:t>
        </x:is>
      </x:c>
      <x:c r="I14" s="6" t="inlineStr">
        <x:is>
          <x:t>Alta</x:t>
        </x:is>
      </x:c>
      <x:c r="J14" s="6" t="inlineStr">
        <x:is>
          <x:t>Evento</x:t>
        </x:is>
      </x:c>
      <x:c r="K14" s="6" t="inlineStr">
        <x:is>
          <x:t>Baseline, priorização e benchmark</x:t>
        </x:is>
      </x:c>
    </x:row>
    <x:row r="15" ht="52" customHeight="1">
      <x:c r="A15" s="7" t="inlineStr">
        <x:is>
          <x:t>N10</x:t>
        </x:is>
      </x:c>
      <x:c r="B15" s="7" t="inlineStr">
        <x:is>
          <x:t>Sinal</x:t>
        </x:is>
      </x:c>
      <x:c r="C15" s="7" t="inlineStr">
        <x:is>
          <x:t>Interação</x:t>
        </x:is>
      </x:c>
      <x:c r="D15" s="7" t="inlineStr">
        <x:is>
          <x:t>Ação executada por um usuário em qualquer canal.</x:t>
        </x:is>
      </x:c>
      <x:c r="E15" s="7" t="inlineStr">
        <x:is>
          <x:t>event_id</x:t>
        </x:is>
      </x:c>
      <x:c r="F15" s="7" t="inlineStr">
        <x:is>
          <x:t>1 evento</x:t>
        </x:is>
      </x:c>
      <x:c r="G15" s="7" t="inlineStr">
        <x:is>
          <x:t>evento, timestamp, contexto, objeto, sessão</x:t>
        </x:is>
      </x:c>
      <x:c r="H15" s="7" t="inlineStr">
        <x:is>
          <x:t>Tracking</x:t>
        </x:is>
      </x:c>
      <x:c r="I15" s="7" t="inlineStr">
        <x:is>
          <x:t>Média</x:t>
        </x:is>
      </x:c>
      <x:c r="J15" s="7" t="inlineStr">
        <x:is>
          <x:t>Tempo real</x:t>
        </x:is>
      </x:c>
      <x:c r="K15" s="7" t="inlineStr">
        <x:is>
          <x:t>Adoção, conversão e propensão</x:t>
        </x:is>
      </x:c>
    </x:row>
    <x:row r="16" ht="52" customHeight="1">
      <x:c r="A16" s="6" t="inlineStr">
        <x:is>
          <x:t>N11</x:t>
        </x:is>
      </x:c>
      <x:c r="B16" s="6" t="inlineStr">
        <x:is>
          <x:t>Ação</x:t>
        </x:is>
      </x:c>
      <x:c r="C16" s="6" t="inlineStr">
        <x:is>
          <x:t>Jornada</x:t>
        </x:is>
      </x:c>
      <x:c r="D16" s="6" t="inlineStr">
        <x:is>
          <x:t>Sequência recomendada de experiências para mudar um resultado.</x:t>
        </x:is>
      </x:c>
      <x:c r="E16" s="6" t="inlineStr">
        <x:is>
          <x:t>journey_id</x:t>
        </x:is>
      </x:c>
      <x:c r="F16" s="6" t="inlineStr">
        <x:is>
          <x:t>1 jornada</x:t>
        </x:is>
      </x:c>
      <x:c r="G16" s="6" t="inlineStr">
        <x:is>
          <x:t>objetivo, etapas, início, conclusão</x:t>
        </x:is>
      </x:c>
      <x:c r="H16" s="6" t="inlineStr">
        <x:is>
          <x:t>Plataforma / LMS</x:t>
        </x:is>
      </x:c>
      <x:c r="I16" s="6" t="inlineStr">
        <x:is>
          <x:t>Média</x:t>
        </x:is>
      </x:c>
      <x:c r="J16" s="6" t="inlineStr">
        <x:is>
          <x:t>Diária</x:t>
        </x:is>
      </x:c>
      <x:c r="K16" s="6" t="inlineStr">
        <x:is>
          <x:t>Desenvolvimento, ativação e time-to-value</x:t>
        </x:is>
      </x:c>
    </x:row>
    <x:row r="17" ht="52" customHeight="1">
      <x:c r="A17" s="7" t="inlineStr">
        <x:is>
          <x:t>N12</x:t>
        </x:is>
      </x:c>
      <x:c r="B17" s="7" t="inlineStr">
        <x:is>
          <x:t>Ação</x:t>
        </x:is>
      </x:c>
      <x:c r="C17" s="7" t="inlineStr">
        <x:is>
          <x:t>Recomendação</x:t>
        </x:is>
      </x:c>
      <x:c r="D17" s="7" t="inlineStr">
        <x:is>
          <x:t>Ação sugerida por regra, analista ou modelo.</x:t>
        </x:is>
      </x:c>
      <x:c r="E17" s="7" t="inlineStr">
        <x:is>
          <x:t>recommendation_id</x:t>
        </x:is>
      </x:c>
      <x:c r="F17" s="7" t="inlineStr">
        <x:is>
          <x:t>1 recomendação</x:t>
        </x:is>
      </x:c>
      <x:c r="G17" s="7" t="inlineStr">
        <x:is>
          <x:t>tipo, score, explicação, versão, status</x:t>
        </x:is>
      </x:c>
      <x:c r="H17" s="7" t="inlineStr">
        <x:is>
          <x:t>Motor de inteligência</x:t>
        </x:is>
      </x:c>
      <x:c r="I17" s="7" t="inlineStr">
        <x:is>
          <x:t>Média</x:t>
        </x:is>
      </x:c>
      <x:c r="J17" s="7" t="inlineStr">
        <x:is>
          <x:t>Tempo real</x:t>
        </x:is>
      </x:c>
      <x:c r="K17" s="7" t="inlineStr">
        <x:is>
          <x:t>Uplift, aceitação e valor das decisões</x:t>
        </x:is>
      </x:c>
    </x:row>
    <x:row r="18" ht="52" customHeight="1">
      <x:c r="A18" s="6" t="inlineStr">
        <x:is>
          <x:t>N13</x:t>
        </x:is>
      </x:c>
      <x:c r="B18" s="6" t="inlineStr">
        <x:is>
          <x:t>Ação</x:t>
        </x:is>
      </x:c>
      <x:c r="C18" s="6" t="inlineStr">
        <x:is>
          <x:t>Match</x:t>
        </x:is>
      </x:c>
      <x:c r="D18" s="6" t="inlineStr">
        <x:is>
          <x:t>Compatibilidade calculada entre demanda e oferta.</x:t>
        </x:is>
      </x:c>
      <x:c r="E18" s="6" t="inlineStr">
        <x:is>
          <x:t>match_id</x:t>
        </x:is>
      </x:c>
      <x:c r="F18" s="6" t="inlineStr">
        <x:is>
          <x:t>1 par oportunidade-oferta</x:t>
        </x:is>
      </x:c>
      <x:c r="G18" s="6" t="inlineStr">
        <x:is>
          <x:t>score, critérios, posição, decisão</x:t>
        </x:is>
      </x:c>
      <x:c r="H18" s="6" t="inlineStr">
        <x:is>
          <x:t>Motor de matching</x:t>
        </x:is>
      </x:c>
      <x:c r="I18" s="6" t="inlineStr">
        <x:is>
          <x:t>Média</x:t>
        </x:is>
      </x:c>
      <x:c r="J18" s="6" t="inlineStr">
        <x:is>
          <x:t>Tempo real</x:t>
        </x:is>
      </x:c>
      <x:c r="K18" s="6" t="inlineStr">
        <x:is>
          <x:t>Conversão, ciclo, contratação e conexão</x:t>
        </x:is>
      </x:c>
    </x:row>
    <x:row r="19" ht="52" customHeight="1">
      <x:c r="A19" s="7" t="inlineStr">
        <x:is>
          <x:t>N14</x:t>
        </x:is>
      </x:c>
      <x:c r="B19" s="7" t="inlineStr">
        <x:is>
          <x:t>Execução</x:t>
        </x:is>
      </x:c>
      <x:c r="C19" s="7" t="inlineStr">
        <x:is>
          <x:t>Participação</x:t>
        </x:is>
      </x:c>
      <x:c r="D19" s="7" t="inlineStr">
        <x:is>
          <x:t>Exposição de pessoa ou empresa a programa, evento ou ação.</x:t>
        </x:is>
      </x:c>
      <x:c r="E19" s="7" t="inlineStr">
        <x:is>
          <x:t>participation_id</x:t>
        </x:is>
      </x:c>
      <x:c r="F19" s="7" t="inlineStr">
        <x:is>
          <x:t>1 participante por ação</x:t>
        </x:is>
      </x:c>
      <x:c r="G19" s="7" t="inlineStr">
        <x:is>
          <x:t>convite, presença, dose, conclusão</x:t>
        </x:is>
      </x:c>
      <x:c r="H19" s="7" t="inlineStr">
        <x:is>
          <x:t>Eventos / LMS</x:t>
        </x:is>
      </x:c>
      <x:c r="I19" s="7" t="inlineStr">
        <x:is>
          <x:t>Alta</x:t>
        </x:is>
      </x:c>
      <x:c r="J19" s="7" t="inlineStr">
        <x:is>
          <x:t>Evento</x:t>
        </x:is>
      </x:c>
      <x:c r="K19" s="7" t="inlineStr">
        <x:is>
          <x:t>Atribuição e análise de efeito</x:t>
        </x:is>
      </x:c>
    </x:row>
    <x:row r="20" ht="52" customHeight="1">
      <x:c r="A20" s="6" t="inlineStr">
        <x:is>
          <x:t>N15</x:t>
        </x:is>
      </x:c>
      <x:c r="B20" s="6" t="inlineStr">
        <x:is>
          <x:t>Execução</x:t>
        </x:is>
      </x:c>
      <x:c r="C20" s="6" t="inlineStr">
        <x:is>
          <x:t>Programa / projeto</x:t>
        </x:is>
      </x:c>
      <x:c r="D20" s="6" t="inlineStr">
        <x:is>
          <x:t>Unidade organizada de intervenção, serviço ou campanha.</x:t>
        </x:is>
      </x:c>
      <x:c r="E20" s="6" t="inlineStr">
        <x:is>
          <x:t>program_id</x:t>
        </x:is>
      </x:c>
      <x:c r="F20" s="6" t="inlineStr">
        <x:is>
          <x:t>1 programa</x:t>
        </x:is>
      </x:c>
      <x:c r="G20" s="6" t="inlineStr">
        <x:is>
          <x:t>escopo, público, custo, metas, owner</x:t>
        </x:is>
      </x:c>
      <x:c r="H20" s="6" t="inlineStr">
        <x:is>
          <x:t>PMO / CRM</x:t>
        </x:is>
      </x:c>
      <x:c r="I20" s="6" t="inlineStr">
        <x:is>
          <x:t>Média</x:t>
        </x:is>
      </x:c>
      <x:c r="J20" s="6" t="inlineStr">
        <x:is>
          <x:t>Semanal</x:t>
        </x:is>
      </x:c>
      <x:c r="K20" s="6" t="inlineStr">
        <x:is>
          <x:t>Custo por resultado e portfólio</x:t>
        </x:is>
      </x:c>
    </x:row>
    <x:row r="21" ht="52" customHeight="1">
      <x:c r="A21" s="7" t="inlineStr">
        <x:is>
          <x:t>N16</x:t>
        </x:is>
      </x:c>
      <x:c r="B21" s="7" t="inlineStr">
        <x:is>
          <x:t>Negócio</x:t>
        </x:is>
      </x:c>
      <x:c r="C21" s="7" t="inlineStr">
        <x:is>
          <x:t>Contrato</x:t>
        </x:is>
      </x:c>
      <x:c r="D21" s="7" t="inlineStr">
        <x:is>
          <x:t>Acordo comercial da HUB, cliente ou fornecedor.</x:t>
        </x:is>
      </x:c>
      <x:c r="E21" s="7" t="inlineStr">
        <x:is>
          <x:t>contract_id</x:t>
        </x:is>
      </x:c>
      <x:c r="F21" s="7" t="inlineStr">
        <x:is>
          <x:t>1 contrato</x:t>
        </x:is>
      </x:c>
      <x:c r="G21" s="7" t="inlineStr">
        <x:is>
          <x:t>valor, margem, vigência, origem, estágio</x:t>
        </x:is>
      </x:c>
      <x:c r="H21" s="7" t="inlineStr">
        <x:is>
          <x:t>CRM / ERP</x:t>
        </x:is>
      </x:c>
      <x:c r="I21" s="7" t="inlineStr">
        <x:is>
          <x:t>Alta</x:t>
        </x:is>
      </x:c>
      <x:c r="J21" s="7" t="inlineStr">
        <x:is>
          <x:t>Diária</x:t>
        </x:is>
      </x:c>
      <x:c r="K21" s="7" t="inlineStr">
        <x:is>
          <x:t>ARR, MRR, margem e receita influenciada</x:t>
        </x:is>
      </x:c>
    </x:row>
    <x:row r="22" ht="52" customHeight="1">
      <x:c r="A22" s="6" t="inlineStr">
        <x:is>
          <x:t>N17</x:t>
        </x:is>
      </x:c>
      <x:c r="B22" s="6" t="inlineStr">
        <x:is>
          <x:t>Negócio</x:t>
        </x:is>
      </x:c>
      <x:c r="C22" s="6" t="inlineStr">
        <x:is>
          <x:t>Transação</x:t>
        </x:is>
      </x:c>
      <x:c r="D22" s="6" t="inlineStr">
        <x:is>
          <x:t>Movimento financeiro associado a contrato, compra ou marketplace.</x:t>
        </x:is>
      </x:c>
      <x:c r="E22" s="6" t="inlineStr">
        <x:is>
          <x:t>transaction_id</x:t>
        </x:is>
      </x:c>
      <x:c r="F22" s="6" t="inlineStr">
        <x:is>
          <x:t>1 lançamento</x:t>
        </x:is>
      </x:c>
      <x:c r="G22" s="6" t="inlineStr">
        <x:is>
          <x:t>valor, moeda, data, natureza, centro de custo</x:t>
        </x:is>
      </x:c>
      <x:c r="H22" s="6" t="inlineStr">
        <x:is>
          <x:t>ERP / Financeiro</x:t>
        </x:is>
      </x:c>
      <x:c r="I22" s="6" t="inlineStr">
        <x:is>
          <x:t>Alta</x:t>
        </x:is>
      </x:c>
      <x:c r="J22" s="6" t="inlineStr">
        <x:is>
          <x:t>Diária</x:t>
        </x:is>
      </x:c>
      <x:c r="K22" s="6" t="inlineStr">
        <x:is>
          <x:t>Receita, custo, saving, GMV e margem</x:t>
        </x:is>
      </x:c>
    </x:row>
    <x:row r="23" ht="52" customHeight="1">
      <x:c r="A23" s="7" t="inlineStr">
        <x:is>
          <x:t>N18</x:t>
        </x:is>
      </x:c>
      <x:c r="B23" s="7" t="inlineStr">
        <x:is>
          <x:t>Resultado</x:t>
        </x:is>
      </x:c>
      <x:c r="C23" s="7" t="inlineStr">
        <x:is>
          <x:t>Indicador de negócio</x:t>
        </x:is>
      </x:c>
      <x:c r="D23" s="7" t="inlineStr">
        <x:is>
          <x:t>Medição de resultado da empresa ou entidade.</x:t>
        </x:is>
      </x:c>
      <x:c r="E23" s="7" t="inlineStr">
        <x:is>
          <x:t>business_metric_id</x:t>
        </x:is>
      </x:c>
      <x:c r="F23" s="7" t="inlineStr">
        <x:is>
          <x:t>1 indicador por período</x:t>
        </x:is>
      </x:c>
      <x:c r="G23" s="7" t="inlineStr">
        <x:is>
          <x:t>nome, valor, período, unidade, baseline</x:t>
        </x:is>
      </x:c>
      <x:c r="H23" s="7" t="inlineStr">
        <x:is>
          <x:t>BI / ERP</x:t>
        </x:is>
      </x:c>
      <x:c r="I23" s="7" t="inlineStr">
        <x:is>
          <x:t>Alta</x:t>
        </x:is>
      </x:c>
      <x:c r="J23" s="7" t="inlineStr">
        <x:is>
          <x:t>Mensal</x:t>
        </x:is>
      </x:c>
      <x:c r="K23" s="7" t="inlineStr">
        <x:is>
          <x:t>Produtividade, retenção, receita, custo e risco</x:t>
        </x:is>
      </x:c>
    </x:row>
    <x:row r="24" ht="52" customHeight="1">
      <x:c r="A24" s="6" t="inlineStr">
        <x:is>
          <x:t>N19</x:t>
        </x:is>
      </x:c>
      <x:c r="B24" s="6" t="inlineStr">
        <x:is>
          <x:t>Resultado</x:t>
        </x:is>
      </x:c>
      <x:c r="C24" s="6" t="inlineStr">
        <x:is>
          <x:t>Outcome individual</x:t>
        </x:is>
      </x:c>
      <x:c r="D24" s="6" t="inlineStr">
        <x:is>
          <x:t>Mudança observada na pessoa após uma ação.</x:t>
        </x:is>
      </x:c>
      <x:c r="E24" s="6" t="inlineStr">
        <x:is>
          <x:t>outcome_id</x:t>
        </x:is>
      </x:c>
      <x:c r="F24" s="6" t="inlineStr">
        <x:is>
          <x:t>1 pessoa-resultado-período</x:t>
        </x:is>
      </x:c>
      <x:c r="G24" s="6" t="inlineStr">
        <x:is>
          <x:t>dimensão, antes, depois, confiança</x:t>
        </x:is>
      </x:c>
      <x:c r="H24" s="6" t="inlineStr">
        <x:is>
          <x:t>Pesquisa / HRIS</x:t>
        </x:is>
      </x:c>
      <x:c r="I24" s="6" t="inlineStr">
        <x:is>
          <x:t>Alta</x:t>
        </x:is>
      </x:c>
      <x:c r="J24" s="6" t="inlineStr">
        <x:is>
          <x:t>Mensal</x:t>
        </x:is>
      </x:c>
      <x:c r="K24" s="6" t="inlineStr">
        <x:is>
          <x:t>Efeito em capacidade, mobilidade e retenção</x:t>
        </x:is>
      </x:c>
    </x:row>
    <x:row r="25" ht="52" customHeight="1">
      <x:c r="A25" s="7" t="inlineStr">
        <x:is>
          <x:t>N20</x:t>
        </x:is>
      </x:c>
      <x:c r="B25" s="7" t="inlineStr">
        <x:is>
          <x:t>Contexto</x:t>
        </x:is>
      </x:c>
      <x:c r="C25" s="7" t="inlineStr">
        <x:is>
          <x:t>Cohort</x:t>
        </x:is>
      </x:c>
      <x:c r="D25" s="7" t="inlineStr">
        <x:is>
          <x:t>Grupo comparável usado para mensuração e benchmark.</x:t>
        </x:is>
      </x:c>
      <x:c r="E25" s="7" t="inlineStr">
        <x:is>
          <x:t>cohort_id</x:t>
        </x:is>
      </x:c>
      <x:c r="F25" s="7" t="inlineStr">
        <x:is>
          <x:t>1 definição de grupo</x:t>
        </x:is>
      </x:c>
      <x:c r="G25" s="7" t="inlineStr">
        <x:is>
          <x:t>critérios, janela, tamanho, versão</x:t>
        </x:is>
      </x:c>
      <x:c r="H25" s="7" t="inlineStr">
        <x:is>
          <x:t>Camada analítica</x:t>
        </x:is>
      </x:c>
      <x:c r="I25" s="7" t="inlineStr">
        <x:is>
          <x:t>Média</x:t>
        </x:is>
      </x:c>
      <x:c r="J25" s="7" t="inlineStr">
        <x:is>
          <x:t>Mensal</x:t>
        </x:is>
      </x:c>
      <x:c r="K25" s="7" t="inlineStr">
        <x:is>
          <x:t>Atribuição, controle e fairness</x:t>
        </x:is>
      </x:c>
    </x:row>
    <x:row r="26" ht="52" customHeight="1">
      <x:c r="A26" s="6" t="inlineStr">
        <x:is>
          <x:t>N21</x:t>
        </x:is>
      </x:c>
      <x:c r="B26" s="6" t="inlineStr">
        <x:is>
          <x:t>Contexto</x:t>
        </x:is>
      </x:c>
      <x:c r="C26" s="6" t="inlineStr">
        <x:is>
          <x:t>Benchmark</x:t>
        </x:is>
      </x:c>
      <x:c r="D26" s="6" t="inlineStr">
        <x:is>
          <x:t>Referência agregada interna ou do ecossistema.</x:t>
        </x:is>
      </x:c>
      <x:c r="E26" s="6" t="inlineStr">
        <x:is>
          <x:t>benchmark_id</x:t>
        </x:is>
      </x:c>
      <x:c r="F26" s="6" t="inlineStr">
        <x:is>
          <x:t>1 métrica-segmento-período</x:t>
        </x:is>
      </x:c>
      <x:c r="G26" s="6" t="inlineStr">
        <x:is>
          <x:t>percentis, amostra, regras de anonimização</x:t>
        </x:is>
      </x:c>
      <x:c r="H26" s="6" t="inlineStr">
        <x:is>
          <x:t>Data mart</x:t>
        </x:is>
      </x:c>
      <x:c r="I26" s="6" t="inlineStr">
        <x:is>
          <x:t>Média</x:t>
        </x:is>
      </x:c>
      <x:c r="J26" s="6" t="inlineStr">
        <x:is>
          <x:t>Mensal</x:t>
        </x:is>
      </x:c>
      <x:c r="K26" s="6" t="inlineStr">
        <x:is>
          <x:t>Prioridade, comparação e serviços de inteligência</x:t>
        </x:is>
      </x:c>
    </x:row>
    <x:row r="27" ht="52" customHeight="1">
      <x:c r="A27" s="7" t="inlineStr">
        <x:is>
          <x:t>N22</x:t>
        </x:is>
      </x:c>
      <x:c r="B27" s="7" t="inlineStr">
        <x:is>
          <x:t>Risco</x:t>
        </x:is>
      </x:c>
      <x:c r="C27" s="7" t="inlineStr">
        <x:is>
          <x:t>Risco / controle</x:t>
        </x:is>
      </x:c>
      <x:c r="D27" s="7" t="inlineStr">
        <x:is>
          <x:t>Evento potencial, exposição e mecanismo de mitigação.</x:t>
        </x:is>
      </x:c>
      <x:c r="E27" s="7" t="inlineStr">
        <x:is>
          <x:t>risk_id</x:t>
        </x:is>
      </x:c>
      <x:c r="F27" s="7" t="inlineStr">
        <x:is>
          <x:t>1 risco por contexto</x:t>
        </x:is>
      </x:c>
      <x:c r="G27" s="7" t="inlineStr">
        <x:is>
          <x:t>probabilidade, impacto, controle, residual</x:t>
        </x:is>
      </x:c>
      <x:c r="H27" s="7" t="inlineStr">
        <x:is>
          <x:t>GRC / Jurídico</x:t>
        </x:is>
      </x:c>
      <x:c r="I27" s="7" t="inlineStr">
        <x:is>
          <x:t>Alta</x:t>
        </x:is>
      </x:c>
      <x:c r="J27" s="7" t="inlineStr">
        <x:is>
          <x:t>Mensal</x:t>
        </x:is>
      </x:c>
      <x:c r="K27" s="7" t="inlineStr">
        <x:is>
          <x:t>Perda esperada e risco evitado</x:t>
        </x:is>
      </x:c>
    </x:row>
    <x:row r="28" ht="52" customHeight="1">
      <x:c r="A28" s="6" t="inlineStr">
        <x:is>
          <x:t>N23</x:t>
        </x:is>
      </x:c>
      <x:c r="B28" s="6" t="inlineStr">
        <x:is>
          <x:t>Comunicação</x:t>
        </x:is>
      </x:c>
      <x:c r="C28" s="6" t="inlineStr">
        <x:is>
          <x:t>Conteúdo / campanha</x:t>
        </x:is>
      </x:c>
      <x:c r="D28" s="6" t="inlineStr">
        <x:is>
          <x:t>Ativo de mídia usado para gerar atenção, demanda ou ação.</x:t>
        </x:is>
      </x:c>
      <x:c r="E28" s="6" t="inlineStr">
        <x:is>
          <x:t>content_id</x:t>
        </x:is>
      </x:c>
      <x:c r="F28" s="6" t="inlineStr">
        <x:is>
          <x:t>1 ativo/campanha</x:t>
        </x:is>
      </x:c>
      <x:c r="G28" s="6" t="inlineStr">
        <x:is>
          <x:t>canal, audiência, custo, objetivo, criativo</x:t>
        </x:is>
      </x:c>
      <x:c r="H28" s="6" t="inlineStr">
        <x:is>
          <x:t>Marketing</x:t>
        </x:is>
      </x:c>
      <x:c r="I28" s="6" t="inlineStr">
        <x:is>
          <x:t>Baixa</x:t>
        </x:is>
      </x:c>
      <x:c r="J28" s="6" t="inlineStr">
        <x:is>
          <x:t>Diária</x:t>
        </x:is>
      </x:c>
      <x:c r="K28" s="6" t="inlineStr">
        <x:is>
          <x:t>CAC, pipeline, ROAS e conversão</x:t>
        </x:is>
      </x:c>
    </x:row>
    <x:row r="29" ht="52" customHeight="1">
      <x:c r="A29" s="7" t="inlineStr">
        <x:is>
          <x:t>N24</x:t>
        </x:is>
      </x:c>
      <x:c r="B29" s="7" t="inlineStr">
        <x:is>
          <x:t>Qualidade</x:t>
        </x:is>
      </x:c>
      <x:c r="C29" s="7" t="inlineStr">
        <x:is>
          <x:t>Consentimento</x:t>
        </x:is>
      </x:c>
      <x:c r="D29" s="7" t="inlineStr">
        <x:is>
          <x:t>Permissão, finalidade e base legal aplicável ao tratamento.</x:t>
        </x:is>
      </x:c>
      <x:c r="E29" s="7" t="inlineStr">
        <x:is>
          <x:t>consent_id</x:t>
        </x:is>
      </x:c>
      <x:c r="F29" s="7" t="inlineStr">
        <x:is>
          <x:t>1 finalidade por titular</x:t>
        </x:is>
      </x:c>
      <x:c r="G29" s="7" t="inlineStr">
        <x:is>
          <x:t>base legal, versão, data, revogação</x:t>
        </x:is>
      </x:c>
      <x:c r="H29" s="7" t="inlineStr">
        <x:is>
          <x:t>CMP / cadastro</x:t>
        </x:is>
      </x:c>
      <x:c r="I29" s="7" t="inlineStr">
        <x:is>
          <x:t>Crítica</x:t>
        </x:is>
      </x:c>
      <x:c r="J29" s="7" t="inlineStr">
        <x:is>
          <x:t>Tempo real</x:t>
        </x:is>
      </x:c>
      <x:c r="K29" s="7" t="inlineStr">
        <x:is>
          <x:t>Uso legítimo e auditável dos dados</x:t>
        </x:is>
      </x:c>
    </x:row>
    <x:row r="30" ht="52" customHeight="1">
      <x:c r="A30" s="6" t="inlineStr">
        <x:is>
          <x:t>N25</x:t>
        </x:is>
      </x:c>
      <x:c r="B30" s="6" t="inlineStr">
        <x:is>
          <x:t>Qualidade</x:t>
        </x:is>
      </x:c>
      <x:c r="C30" s="6" t="inlineStr">
        <x:is>
          <x:t>Versão de modelo</x:t>
        </x:is>
      </x:c>
      <x:c r="D30" s="6" t="inlineStr">
        <x:is>
          <x:t>Configuração do algoritmo, regra ou score em produção.</x:t>
        </x:is>
      </x:c>
      <x:c r="E30" s="6" t="inlineStr">
        <x:is>
          <x:t>model_version_id</x:t>
        </x:is>
      </x:c>
      <x:c r="F30" s="6" t="inlineStr">
        <x:is>
          <x:t>1 versão</x:t>
        </x:is>
      </x:c>
      <x:c r="G30" s="6" t="inlineStr">
        <x:is>
          <x:t>features, pesos, data, performance, fairness</x:t>
        </x:is>
      </x:c>
      <x:c r="H30" s="6" t="inlineStr">
        <x:is>
          <x:t>MLOps</x:t>
        </x:is>
      </x:c>
      <x:c r="I30" s="6" t="inlineStr">
        <x:is>
          <x:t>Média</x:t>
        </x:is>
      </x:c>
      <x:c r="J30" s="6" t="inlineStr">
        <x:is>
          <x:t>Release</x:t>
        </x:is>
      </x:c>
      <x:c r="K30" s="6" t="inlineStr">
        <x:is>
          <x:t>Reprodutibilidade e confiança</x:t>
        </x:is>
      </x:c>
    </x:row>
  </x:sheetData>
  <x:autoFilter ref="A5:K30"/>
  <x:mergeCells count="2">
    <x:mergeCell ref="A1:K2"/>
    <x:mergeCell ref="A3:K3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4.xml><?xml version="1.0" encoding="utf-8"?>
<x:worksheet xmlns:x="http://schemas.openxmlformats.org/spreadsheetml/2006/main">
  <x:sheetPr>
    <x:tabColor rgb="000078B8"/>
    <x:outlinePr summaryBelow="1" summaryRight="1"/>
    <x:pageSetUpPr fitToPage="1"/>
  </x:sheetPr>
  <x:dimension ref="A1:K25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8" customWidth="1"/>
    <x:col min="2" max="2" width="22" customWidth="1"/>
    <x:col min="3" max="3" width="20" customWidth="1"/>
    <x:col min="4" max="4" width="22" customWidth="1"/>
    <x:col min="5" max="5" width="19" customWidth="1"/>
    <x:col min="6" max="6" width="17" customWidth="1"/>
    <x:col min="7" max="7" width="17" customWidth="1"/>
    <x:col min="8" max="8" width="22" customWidth="1"/>
    <x:col min="9" max="9" width="34" customWidth="1"/>
    <x:col min="10" max="10" width="34" customWidth="1"/>
    <x:col min="11" max="11" width="38" customWidth="1"/>
  </x:cols>
  <x:sheetData>
    <x:row r="1" ht="26" customHeight="1">
      <x:c r="A1" s="1" t="inlineStr">
        <x:is>
          <x:t>Conexões do mapa neural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ht="24" customHeight="1">
      <x:c r="A3" s="3" t="inlineStr">
        <x:is>
          <x:t>As relações são temporais, direcionais e auditáveis; são elas que permitem explicar valor.</x:t>
        </x:is>
      </x:c>
    </x:row>
    <x:row r="5" ht="34" customHeight="1">
      <x:c r="A5" s="44" t="inlineStr">
        <x:is>
          <x:t>ID</x:t>
        </x:is>
      </x:c>
      <x:c r="B5" s="44" t="inlineStr">
        <x:is>
          <x:t>Nó origem</x:t>
        </x:is>
      </x:c>
      <x:c r="C5" s="44" t="inlineStr">
        <x:is>
          <x:t>Relação</x:t>
        </x:is>
      </x:c>
      <x:c r="D5" s="44" t="inlineStr">
        <x:is>
          <x:t>Nó destino</x:t>
        </x:is>
      </x:c>
      <x:c r="E5" s="44" t="inlineStr">
        <x:is>
          <x:t>Direção</x:t>
        </x:is>
      </x:c>
      <x:c r="F5" s="44" t="inlineStr">
        <x:is>
          <x:t>Peso / score</x:t>
        </x:is>
      </x:c>
      <x:c r="G5" s="44" t="inlineStr">
        <x:is>
          <x:t>Janela temporal</x:t>
        </x:is>
      </x:c>
      <x:c r="H5" s="44" t="inlineStr">
        <x:is>
          <x:t>Evidência</x:t>
        </x:is>
      </x:c>
      <x:c r="I5" s="44" t="inlineStr">
        <x:is>
          <x:t>Indicadores derivados</x:t>
        </x:is>
      </x:c>
      <x:c r="J5" s="44" t="inlineStr">
        <x:is>
          <x:t>Uso de negócio</x:t>
        </x:is>
      </x:c>
      <x:c r="K5" s="44" t="inlineStr">
        <x:is>
          <x:t>Regra de qualidade</x:t>
        </x:is>
      </x:c>
    </x:row>
    <x:row r="6" ht="48" customHeight="1">
      <x:c r="A6" s="6" t="inlineStr">
        <x:is>
          <x:t>E01</x:t>
        </x:is>
      </x:c>
      <x:c r="B6" s="6" t="inlineStr">
        <x:is>
          <x:t>Pessoa</x:t>
        </x:is>
      </x:c>
      <x:c r="C6" s="6" t="inlineStr">
        <x:is>
          <x:t>possui vínculo com</x:t>
        </x:is>
      </x:c>
      <x:c r="D6" s="6" t="inlineStr">
        <x:is>
          <x:t>Empresa</x:t>
        </x:is>
      </x:c>
      <x:c r="E6" s="6" t="inlineStr">
        <x:is>
          <x:t>Pessoa → Empresa</x:t>
        </x:is>
      </x:c>
      <x:c r="F6" s="6" t="inlineStr">
        <x:is>
          <x:t>papel / FTE</x:t>
        </x:is>
      </x:c>
      <x:c r="G6" s="6" t="inlineStr">
        <x:is>
          <x:t>vigência</x:t>
        </x:is>
      </x:c>
      <x:c r="H6" s="6" t="inlineStr">
        <x:is>
          <x:t>HRIS</x:t>
        </x:is>
      </x:c>
      <x:c r="I6" s="6" t="inlineStr">
        <x:is>
          <x:t>headcount, retenção, custo</x:t>
        </x:is>
      </x:c>
      <x:c r="J6" s="6" t="inlineStr">
        <x:is>
          <x:t>segmentar outcomes por empresa</x:t>
        </x:is>
      </x:c>
      <x:c r="K6" s="6" t="inlineStr">
        <x:is>
          <x:t>sem sobreposição de vínculos ativos incompatíveis</x:t>
        </x:is>
      </x:c>
    </x:row>
    <x:row r="7" ht="48" customHeight="1">
      <x:c r="A7" s="7" t="inlineStr">
        <x:is>
          <x:t>E02</x:t>
        </x:is>
      </x:c>
      <x:c r="B7" s="7" t="inlineStr">
        <x:is>
          <x:t>Empresa</x:t>
        </x:is>
      </x:c>
      <x:c r="C7" s="7" t="inlineStr">
        <x:is>
          <x:t>é associada a</x:t>
        </x:is>
      </x:c>
      <x:c r="D7" s="7" t="inlineStr">
        <x:is>
          <x:t>Entidade</x:t>
        </x:is>
      </x:c>
      <x:c r="E7" s="7" t="inlineStr">
        <x:is>
          <x:t>Empresa → Entidade</x:t>
        </x:is>
      </x:c>
      <x:c r="F7" s="7" t="inlineStr">
        <x:is>
          <x:t>status / tier</x:t>
        </x:is>
      </x:c>
      <x:c r="G7" s="7" t="inlineStr">
        <x:is>
          <x:t>vigência</x:t>
        </x:is>
      </x:c>
      <x:c r="H7" s="7" t="inlineStr">
        <x:is>
          <x:t>CRM</x:t>
        </x:is>
      </x:c>
      <x:c r="I7" s="7" t="inlineStr">
        <x:is>
          <x:t>adesão, renovação, valor por associado</x:t>
        </x:is>
      </x:c>
      <x:c r="J7" s="7" t="inlineStr">
        <x:is>
          <x:t>medir valor entregue pela entidade</x:t>
        </x:is>
      </x:c>
      <x:c r="K7" s="7" t="inlineStr">
        <x:is>
          <x:t>vigência e situação contratual válidas</x:t>
        </x:is>
      </x:c>
    </x:row>
    <x:row r="8" ht="48" customHeight="1">
      <x:c r="A8" s="6" t="inlineStr">
        <x:is>
          <x:t>E03</x:t>
        </x:is>
      </x:c>
      <x:c r="B8" s="6" t="inlineStr">
        <x:is>
          <x:t>Pessoa</x:t>
        </x:is>
      </x:c>
      <x:c r="C8" s="6" t="inlineStr">
        <x:is>
          <x:t>demonstra</x:t>
        </x:is>
      </x:c>
      <x:c r="D8" s="6" t="inlineStr">
        <x:is>
          <x:t>Competência</x:t>
        </x:is>
      </x:c>
      <x:c r="E8" s="6" t="inlineStr">
        <x:is>
          <x:t>Pessoa → Competência</x:t>
        </x:is>
      </x:c>
      <x:c r="F8" s="6" t="inlineStr">
        <x:is>
          <x:t>nível + confiança</x:t>
        </x:is>
      </x:c>
      <x:c r="G8" s="6" t="inlineStr">
        <x:is>
          <x:t>validade</x:t>
        </x:is>
      </x:c>
      <x:c r="H8" s="6" t="inlineStr">
        <x:is>
          <x:t>Evidência</x:t>
        </x:is>
      </x:c>
      <x:c r="I8" s="6" t="inlineStr">
        <x:is>
          <x:t>prontidão, gap, mobilidade</x:t>
        </x:is>
      </x:c>
      <x:c r="J8" s="6" t="inlineStr">
        <x:is>
          <x:t>recomendar oportunidades e jornadas</x:t>
        </x:is>
      </x:c>
      <x:c r="K8" s="6" t="inlineStr">
        <x:is>
          <x:t>score com fonte e data</x:t>
        </x:is>
      </x:c>
    </x:row>
    <x:row r="9" ht="48" customHeight="1">
      <x:c r="A9" s="7" t="inlineStr">
        <x:is>
          <x:t>E04</x:t>
        </x:is>
      </x:c>
      <x:c r="B9" s="7" t="inlineStr">
        <x:is>
          <x:t>Oportunidade</x:t>
        </x:is>
      </x:c>
      <x:c r="C9" s="7" t="inlineStr">
        <x:is>
          <x:t>requer</x:t>
        </x:is>
      </x:c>
      <x:c r="D9" s="7" t="inlineStr">
        <x:is>
          <x:t>Competência</x:t>
        </x:is>
      </x:c>
      <x:c r="E9" s="7" t="inlineStr">
        <x:is>
          <x:t>Oportunidade → Competência</x:t>
        </x:is>
      </x:c>
      <x:c r="F9" s="7" t="inlineStr">
        <x:is>
          <x:t>peso do requisito</x:t>
        </x:is>
      </x:c>
      <x:c r="G9" s="7" t="inlineStr">
        <x:is>
          <x:t>até fechamento</x:t>
        </x:is>
      </x:c>
      <x:c r="H9" s="7" t="inlineStr">
        <x:is>
          <x:t>Descrição estruturada</x:t>
        </x:is>
      </x:c>
      <x:c r="I9" s="7" t="inlineStr">
        <x:is>
          <x:t>fit, cobertura de requisitos</x:t>
        </x:is>
      </x:c>
      <x:c r="J9" s="7" t="inlineStr">
        <x:is>
          <x:t>matching explicável</x:t>
        </x:is>
      </x:c>
      <x:c r="K9" s="7" t="inlineStr">
        <x:is>
          <x:t>taxonomia compatível</x:t>
        </x:is>
      </x:c>
    </x:row>
    <x:row r="10" ht="48" customHeight="1">
      <x:c r="A10" s="6" t="inlineStr">
        <x:is>
          <x:t>E05</x:t>
        </x:is>
      </x:c>
      <x:c r="B10" s="6" t="inlineStr">
        <x:is>
          <x:t>Pessoa</x:t>
        </x:is>
      </x:c>
      <x:c r="C10" s="6" t="inlineStr">
        <x:is>
          <x:t>recebe</x:t>
        </x:is>
      </x:c>
      <x:c r="D10" s="6" t="inlineStr">
        <x:is>
          <x:t>Recomendação</x:t>
        </x:is>
      </x:c>
      <x:c r="E10" s="6" t="inlineStr">
        <x:is>
          <x:t>Pessoa → Recomendação</x:t>
        </x:is>
      </x:c>
      <x:c r="F10" s="6" t="inlineStr">
        <x:is>
          <x:t>propensão</x:t>
        </x:is>
      </x:c>
      <x:c r="G10" s="6" t="inlineStr">
        <x:is>
          <x:t>7–30 dias</x:t>
        </x:is>
      </x:c>
      <x:c r="H10" s="6" t="inlineStr">
        <x:is>
          <x:t>Modelo/regra</x:t>
        </x:is>
      </x:c>
      <x:c r="I10" s="6" t="inlineStr">
        <x:is>
          <x:t>aceitação, uplift</x:t>
        </x:is>
      </x:c>
      <x:c r="J10" s="6" t="inlineStr">
        <x:is>
          <x:t>next best action</x:t>
        </x:is>
      </x:c>
      <x:c r="K10" s="6" t="inlineStr">
        <x:is>
          <x:t>versão do modelo registrada</x:t>
        </x:is>
      </x:c>
    </x:row>
    <x:row r="11" ht="48" customHeight="1">
      <x:c r="A11" s="7" t="inlineStr">
        <x:is>
          <x:t>E06</x:t>
        </x:is>
      </x:c>
      <x:c r="B11" s="7" t="inlineStr">
        <x:is>
          <x:t>Recomendação</x:t>
        </x:is>
      </x:c>
      <x:c r="C11" s="7" t="inlineStr">
        <x:is>
          <x:t>propõe</x:t>
        </x:is>
      </x:c>
      <x:c r="D11" s="7" t="inlineStr">
        <x:is>
          <x:t>Jornada</x:t>
        </x:is>
      </x:c>
      <x:c r="E11" s="7" t="inlineStr">
        <x:is>
          <x:t>Recomendação → Jornada</x:t>
        </x:is>
      </x:c>
      <x:c r="F11" s="7" t="inlineStr">
        <x:is>
          <x:t>prioridade</x:t>
        </x:is>
      </x:c>
      <x:c r="G11" s="7" t="inlineStr">
        <x:is>
          <x:t>janela sugerida</x:t>
        </x:is>
      </x:c>
      <x:c r="H11" s="7" t="inlineStr">
        <x:is>
          <x:t>Motor</x:t>
        </x:is>
      </x:c>
      <x:c r="I11" s="7" t="inlineStr">
        <x:is>
          <x:t>conversão e time-to-value</x:t>
        </x:is>
      </x:c>
      <x:c r="J11" s="7" t="inlineStr">
        <x:is>
          <x:t>orquestrar desenvolvimento</x:t>
        </x:is>
      </x:c>
      <x:c r="K11" s="7" t="inlineStr">
        <x:is>
          <x:t>explicação disponível</x:t>
        </x:is>
      </x:c>
    </x:row>
    <x:row r="12" ht="48" customHeight="1">
      <x:c r="A12" s="6" t="inlineStr">
        <x:is>
          <x:t>E07</x:t>
        </x:is>
      </x:c>
      <x:c r="B12" s="6" t="inlineStr">
        <x:is>
          <x:t>Pessoa</x:t>
        </x:is>
      </x:c>
      <x:c r="C12" s="6" t="inlineStr">
        <x:is>
          <x:t>participa de</x:t>
        </x:is>
      </x:c>
      <x:c r="D12" s="6" t="inlineStr">
        <x:is>
          <x:t>Programa / projeto</x:t>
        </x:is>
      </x:c>
      <x:c r="E12" s="6" t="inlineStr">
        <x:is>
          <x:t>Pessoa → Programa</x:t>
        </x:is>
      </x:c>
      <x:c r="F12" s="6" t="inlineStr">
        <x:is>
          <x:t>dose / presença</x:t>
        </x:is>
      </x:c>
      <x:c r="G12" s="6" t="inlineStr">
        <x:is>
          <x:t>data e duração</x:t>
        </x:is>
      </x:c>
      <x:c r="H12" s="6" t="inlineStr">
        <x:is>
          <x:t>Participação</x:t>
        </x:is>
      </x:c>
      <x:c r="I12" s="6" t="inlineStr">
        <x:is>
          <x:t>alcance, conclusão, efeito</x:t>
        </x:is>
      </x:c>
      <x:c r="J12" s="6" t="inlineStr">
        <x:is>
          <x:t>atribuição por exposição</x:t>
        </x:is>
      </x:c>
      <x:c r="K12" s="6" t="inlineStr">
        <x:is>
          <x:t>deduplicação por evento</x:t>
        </x:is>
      </x:c>
    </x:row>
    <x:row r="13" ht="48" customHeight="1">
      <x:c r="A13" s="7" t="inlineStr">
        <x:is>
          <x:t>E08</x:t>
        </x:is>
      </x:c>
      <x:c r="B13" s="7" t="inlineStr">
        <x:is>
          <x:t>Programa / projeto</x:t>
        </x:is>
      </x:c>
      <x:c r="C13" s="7" t="inlineStr">
        <x:is>
          <x:t>altera</x:t>
        </x:is>
      </x:c>
      <x:c r="D13" s="7" t="inlineStr">
        <x:is>
          <x:t>Outcome individual</x:t>
        </x:is>
      </x:c>
      <x:c r="E13" s="7" t="inlineStr">
        <x:is>
          <x:t>Programa → Outcome</x:t>
        </x:is>
      </x:c>
      <x:c r="F13" s="7" t="inlineStr">
        <x:is>
          <x:t>efeito estimado</x:t>
        </x:is>
      </x:c>
      <x:c r="G13" s="7" t="inlineStr">
        <x:is>
          <x:t>pré / pós</x:t>
        </x:is>
      </x:c>
      <x:c r="H13" s="7" t="inlineStr">
        <x:is>
          <x:t>Análise</x:t>
        </x:is>
      </x:c>
      <x:c r="I13" s="7" t="inlineStr">
        <x:is>
          <x:t>uplift, variação</x:t>
        </x:is>
      </x:c>
      <x:c r="J13" s="7" t="inlineStr">
        <x:is>
          <x:t>provar eficácia</x:t>
        </x:is>
      </x:c>
      <x:c r="K13" s="7" t="inlineStr">
        <x:is>
          <x:t>baseline comparável</x:t>
        </x:is>
      </x:c>
    </x:row>
    <x:row r="14" ht="48" customHeight="1">
      <x:c r="A14" s="6" t="inlineStr">
        <x:is>
          <x:t>E09</x:t>
        </x:is>
      </x:c>
      <x:c r="B14" s="6" t="inlineStr">
        <x:is>
          <x:t>Outcome individual</x:t>
        </x:is>
      </x:c>
      <x:c r="C14" s="6" t="inlineStr">
        <x:is>
          <x:t>contribui para</x:t>
        </x:is>
      </x:c>
      <x:c r="D14" s="6" t="inlineStr">
        <x:is>
          <x:t>Indicador de negócio</x:t>
        </x:is>
      </x:c>
      <x:c r="E14" s="6" t="inlineStr">
        <x:is>
          <x:t>Outcome → KPI</x:t>
        </x:is>
      </x:c>
      <x:c r="F14" s="6" t="inlineStr">
        <x:is>
          <x:t>elasticidade</x:t>
        </x:is>
      </x:c>
      <x:c r="G14" s="6" t="inlineStr">
        <x:is>
          <x:t>1–12 meses</x:t>
        </x:is>
      </x:c>
      <x:c r="H14" s="6" t="inlineStr">
        <x:is>
          <x:t>Modelo causal</x:t>
        </x:is>
      </x:c>
      <x:c r="I14" s="6" t="inlineStr">
        <x:is>
          <x:t>produtividade, retenção</x:t>
        </x:is>
      </x:c>
      <x:c r="J14" s="6" t="inlineStr">
        <x:is>
          <x:t>monetização</x:t>
        </x:is>
      </x:c>
      <x:c r="K14" s="6" t="inlineStr">
        <x:is>
          <x:t>não declarar causalidade sem método</x:t>
        </x:is>
      </x:c>
    </x:row>
    <x:row r="15" ht="48" customHeight="1">
      <x:c r="A15" s="7" t="inlineStr">
        <x:is>
          <x:t>E10</x:t>
        </x:is>
      </x:c>
      <x:c r="B15" s="7" t="inlineStr">
        <x:is>
          <x:t>Fornecedor / solução</x:t>
        </x:is>
      </x:c>
      <x:c r="C15" s="7" t="inlineStr">
        <x:is>
          <x:t>responde a</x:t>
        </x:is>
      </x:c>
      <x:c r="D15" s="7" t="inlineStr">
        <x:is>
          <x:t>Oportunidade</x:t>
        </x:is>
      </x:c>
      <x:c r="E15" s="7" t="inlineStr">
        <x:is>
          <x:t>Fornecedor → Oportunidade</x:t>
        </x:is>
      </x:c>
      <x:c r="F15" s="7" t="inlineStr">
        <x:is>
          <x:t>fit / elegibilidade</x:t>
        </x:is>
      </x:c>
      <x:c r="G15" s="7" t="inlineStr">
        <x:is>
          <x:t>até fechamento</x:t>
        </x:is>
      </x:c>
      <x:c r="H15" s="7" t="inlineStr">
        <x:is>
          <x:t>Match</x:t>
        </x:is>
      </x:c>
      <x:c r="I15" s="7" t="inlineStr">
        <x:is>
          <x:t>ciclo, conversão, GMV</x:t>
        </x:is>
      </x:c>
      <x:c r="J15" s="7" t="inlineStr">
        <x:is>
          <x:t>compras e marketplace</x:t>
        </x:is>
      </x:c>
      <x:c r="K15" s="7" t="inlineStr">
        <x:is>
          <x:t>requisitos obrigatórios atendidos</x:t>
        </x:is>
      </x:c>
    </x:row>
    <x:row r="16" ht="48" customHeight="1">
      <x:c r="A16" s="6" t="inlineStr">
        <x:is>
          <x:t>E11</x:t>
        </x:is>
      </x:c>
      <x:c r="B16" s="6" t="inlineStr">
        <x:is>
          <x:t>Match</x:t>
        </x:is>
      </x:c>
      <x:c r="C16" s="6" t="inlineStr">
        <x:is>
          <x:t>gera</x:t>
        </x:is>
      </x:c>
      <x:c r="D16" s="6" t="inlineStr">
        <x:is>
          <x:t>Contrato</x:t>
        </x:is>
      </x:c>
      <x:c r="E16" s="6" t="inlineStr">
        <x:is>
          <x:t>Match → Contrato</x:t>
        </x:is>
      </x:c>
      <x:c r="F16" s="6" t="inlineStr">
        <x:is>
          <x:t>atribuição</x:t>
        </x:is>
      </x:c>
      <x:c r="G16" s="6" t="inlineStr">
        <x:is>
          <x:t>até 180 dias</x:t>
        </x:is>
      </x:c>
      <x:c r="H16" s="6" t="inlineStr">
        <x:is>
          <x:t>CRM / Compras</x:t>
        </x:is>
      </x:c>
      <x:c r="I16" s="6" t="inlineStr">
        <x:is>
          <x:t>receita influenciada, take rate</x:t>
        </x:is>
      </x:c>
      <x:c r="J16" s="6" t="inlineStr">
        <x:is>
          <x:t>provar conversão da rede</x:t>
        </x:is>
      </x:c>
      <x:c r="K16" s="6" t="inlineStr">
        <x:is>
          <x:t>origem e touchpoints registrados</x:t>
        </x:is>
      </x:c>
    </x:row>
    <x:row r="17" ht="48" customHeight="1">
      <x:c r="A17" s="7" t="inlineStr">
        <x:is>
          <x:t>E12</x:t>
        </x:is>
      </x:c>
      <x:c r="B17" s="7" t="inlineStr">
        <x:is>
          <x:t>Contrato</x:t>
        </x:is>
      </x:c>
      <x:c r="C17" s="7" t="inlineStr">
        <x:is>
          <x:t>gera</x:t>
        </x:is>
      </x:c>
      <x:c r="D17" s="7" t="inlineStr">
        <x:is>
          <x:t>Transação</x:t>
        </x:is>
      </x:c>
      <x:c r="E17" s="7" t="inlineStr">
        <x:is>
          <x:t>Contrato → Transação</x:t>
        </x:is>
      </x:c>
      <x:c r="F17" s="7" t="inlineStr">
        <x:is>
          <x:t>valor reconhecido</x:t>
        </x:is>
      </x:c>
      <x:c r="G17" s="7" t="inlineStr">
        <x:is>
          <x:t>competência</x:t>
        </x:is>
      </x:c>
      <x:c r="H17" s="7" t="inlineStr">
        <x:is>
          <x:t>ERP</x:t>
        </x:is>
      </x:c>
      <x:c r="I17" s="7" t="inlineStr">
        <x:is>
          <x:t>receita, margem, MRR</x:t>
        </x:is>
      </x:c>
      <x:c r="J17" s="7" t="inlineStr">
        <x:is>
          <x:t>unit economics</x:t>
        </x:is>
      </x:c>
      <x:c r="K17" s="7" t="inlineStr">
        <x:is>
          <x:t>conciliação financeira</x:t>
        </x:is>
      </x:c>
    </x:row>
    <x:row r="18" ht="48" customHeight="1">
      <x:c r="A18" s="6" t="inlineStr">
        <x:is>
          <x:t>E13</x:t>
        </x:is>
      </x:c>
      <x:c r="B18" s="6" t="inlineStr">
        <x:is>
          <x:t>Conteúdo / campanha</x:t>
        </x:is>
      </x:c>
      <x:c r="C18" s="6" t="inlineStr">
        <x:is>
          <x:t>influencia</x:t>
        </x:is>
      </x:c>
      <x:c r="D18" s="6" t="inlineStr">
        <x:is>
          <x:t>Oportunidade</x:t>
        </x:is>
      </x:c>
      <x:c r="E18" s="6" t="inlineStr">
        <x:is>
          <x:t>Campanha → Oportunidade</x:t>
        </x:is>
      </x:c>
      <x:c r="F18" s="6" t="inlineStr">
        <x:is>
          <x:t>modelo de atribuição</x:t>
        </x:is>
      </x:c>
      <x:c r="G18" s="6" t="inlineStr">
        <x:is>
          <x:t>30–180 dias</x:t>
        </x:is>
      </x:c>
      <x:c r="H18" s="6" t="inlineStr">
        <x:is>
          <x:t>UTM / CRM</x:t>
        </x:is>
      </x:c>
      <x:c r="I18" s="6" t="inlineStr">
        <x:is>
          <x:t>pipeline, CAC, ROAS</x:t>
        </x:is>
      </x:c>
      <x:c r="J18" s="6" t="inlineStr">
        <x:is>
          <x:t>mídia de conversão</x:t>
        </x:is>
      </x:c>
      <x:c r="K18" s="6" t="inlineStr">
        <x:is>
          <x:t>janela e modelo explícitos</x:t>
        </x:is>
      </x:c>
    </x:row>
    <x:row r="19" ht="48" customHeight="1">
      <x:c r="A19" s="7" t="inlineStr">
        <x:is>
          <x:t>E14</x:t>
        </x:is>
      </x:c>
      <x:c r="B19" s="7" t="inlineStr">
        <x:is>
          <x:t>Diagnóstico</x:t>
        </x:is>
      </x:c>
      <x:c r="C19" s="7" t="inlineStr">
        <x:is>
          <x:t>identifica</x:t>
        </x:is>
      </x:c>
      <x:c r="D19" s="7" t="inlineStr">
        <x:is>
          <x:t>Risco / controle</x:t>
        </x:is>
      </x:c>
      <x:c r="E19" s="7" t="inlineStr">
        <x:is>
          <x:t>Diagnóstico → Risco</x:t>
        </x:is>
      </x:c>
      <x:c r="F19" s="7" t="inlineStr">
        <x:is>
          <x:t>severidade</x:t>
        </x:is>
      </x:c>
      <x:c r="G19" s="7" t="inlineStr">
        <x:is>
          <x:t>até revisão</x:t>
        </x:is>
      </x:c>
      <x:c r="H19" s="7" t="inlineStr">
        <x:is>
          <x:t>Instrumento</x:t>
        </x:is>
      </x:c>
      <x:c r="I19" s="7" t="inlineStr">
        <x:is>
          <x:t>exposição, risco residual</x:t>
        </x:is>
      </x:c>
      <x:c r="J19" s="7" t="inlineStr">
        <x:is>
          <x:t>priorizar mitigação</x:t>
        </x:is>
      </x:c>
      <x:c r="K19" s="7" t="inlineStr">
        <x:is>
          <x:t>instrumento versionado</x:t>
        </x:is>
      </x:c>
    </x:row>
    <x:row r="20" ht="48" customHeight="1">
      <x:c r="A20" s="6" t="inlineStr">
        <x:is>
          <x:t>E15</x:t>
        </x:is>
      </x:c>
      <x:c r="B20" s="6" t="inlineStr">
        <x:is>
          <x:t>Risco / controle</x:t>
        </x:is>
      </x:c>
      <x:c r="C20" s="6" t="inlineStr">
        <x:is>
          <x:t>afeta</x:t>
        </x:is>
      </x:c>
      <x:c r="D20" s="6" t="inlineStr">
        <x:is>
          <x:t>Indicador de negócio</x:t>
        </x:is>
      </x:c>
      <x:c r="E20" s="6" t="inlineStr">
        <x:is>
          <x:t>Risco → KPI</x:t>
        </x:is>
      </x:c>
      <x:c r="F20" s="6" t="inlineStr">
        <x:is>
          <x:t>perda esperada</x:t>
        </x:is>
      </x:c>
      <x:c r="G20" s="6" t="inlineStr">
        <x:is>
          <x:t>12 meses</x:t>
        </x:is>
      </x:c>
      <x:c r="H20" s="6" t="inlineStr">
        <x:is>
          <x:t>GRC / Financeiro</x:t>
        </x:is>
      </x:c>
      <x:c r="I20" s="6" t="inlineStr">
        <x:is>
          <x:t>risco evitado</x:t>
        </x:is>
      </x:c>
      <x:c r="J20" s="6" t="inlineStr">
        <x:is>
          <x:t>business case</x:t>
        </x:is>
      </x:c>
      <x:c r="K20" s="6" t="inlineStr">
        <x:is>
          <x:t>probabilidade e impacto validados</x:t>
        </x:is>
      </x:c>
    </x:row>
    <x:row r="21" ht="48" customHeight="1">
      <x:c r="A21" s="7" t="inlineStr">
        <x:is>
          <x:t>E16</x:t>
        </x:is>
      </x:c>
      <x:c r="B21" s="7" t="inlineStr">
        <x:is>
          <x:t>Empresa</x:t>
        </x:is>
      </x:c>
      <x:c r="C21" s="7" t="inlineStr">
        <x:is>
          <x:t>é comparada em</x:t>
        </x:is>
      </x:c>
      <x:c r="D21" s="7" t="inlineStr">
        <x:is>
          <x:t>Benchmark</x:t>
        </x:is>
      </x:c>
      <x:c r="E21" s="7" t="inlineStr">
        <x:is>
          <x:t>Empresa → Benchmark</x:t>
        </x:is>
      </x:c>
      <x:c r="F21" s="7" t="inlineStr">
        <x:is>
          <x:t>percentil</x:t>
        </x:is>
      </x:c>
      <x:c r="G21" s="7" t="inlineStr">
        <x:is>
          <x:t>mesmo período</x:t>
        </x:is>
      </x:c>
      <x:c r="H21" s="7" t="inlineStr">
        <x:is>
          <x:t>Data mart</x:t>
        </x:is>
      </x:c>
      <x:c r="I21" s="7" t="inlineStr">
        <x:is>
          <x:t>posição, gap</x:t>
        </x:is>
      </x:c>
      <x:c r="J21" s="7" t="inlineStr">
        <x:is>
          <x:t>priorizar serviços</x:t>
        </x:is>
      </x:c>
      <x:c r="K21" s="7" t="inlineStr">
        <x:is>
          <x:t>mínimo de amostra e anonimização</x:t>
        </x:is>
      </x:c>
    </x:row>
    <x:row r="22" ht="48" customHeight="1">
      <x:c r="A22" s="6" t="inlineStr">
        <x:is>
          <x:t>E17</x:t>
        </x:is>
      </x:c>
      <x:c r="B22" s="6" t="inlineStr">
        <x:is>
          <x:t>Interação</x:t>
        </x:is>
      </x:c>
      <x:c r="C22" s="6" t="inlineStr">
        <x:is>
          <x:t>atualiza</x:t>
        </x:is>
      </x:c>
      <x:c r="D22" s="6" t="inlineStr">
        <x:is>
          <x:t>Recomendação</x:t>
        </x:is>
      </x:c>
      <x:c r="E22" s="6" t="inlineStr">
        <x:is>
          <x:t>Evento → Recomendação</x:t>
        </x:is>
      </x:c>
      <x:c r="F22" s="6" t="inlineStr">
        <x:is>
          <x:t>recência / frequência</x:t>
        </x:is>
      </x:c>
      <x:c r="G22" s="6" t="inlineStr">
        <x:is>
          <x:t>tempo real</x:t>
        </x:is>
      </x:c>
      <x:c r="H22" s="6" t="inlineStr">
        <x:is>
          <x:t>Tracking</x:t>
        </x:is>
      </x:c>
      <x:c r="I22" s="6" t="inlineStr">
        <x:is>
          <x:t>CTR, aceitação, propensão</x:t>
        </x:is>
      </x:c>
      <x:c r="J22" s="6" t="inlineStr">
        <x:is>
          <x:t>personalização</x:t>
        </x:is>
      </x:c>
      <x:c r="K22" s="6" t="inlineStr">
        <x:is>
          <x:t>evento válido e consentido</x:t>
        </x:is>
      </x:c>
    </x:row>
    <x:row r="23" ht="48" customHeight="1">
      <x:c r="A23" s="7" t="inlineStr">
        <x:is>
          <x:t>E18</x:t>
        </x:is>
      </x:c>
      <x:c r="B23" s="7" t="inlineStr">
        <x:is>
          <x:t>Versão de modelo</x:t>
        </x:is>
      </x:c>
      <x:c r="C23" s="7" t="inlineStr">
        <x:is>
          <x:t>produz</x:t>
        </x:is>
      </x:c>
      <x:c r="D23" s="7" t="inlineStr">
        <x:is>
          <x:t>Match</x:t>
        </x:is>
      </x:c>
      <x:c r="E23" s="7" t="inlineStr">
        <x:is>
          <x:t>Modelo → Match</x:t>
        </x:is>
      </x:c>
      <x:c r="F23" s="7" t="inlineStr">
        <x:is>
          <x:t>score</x:t>
        </x:is>
      </x:c>
      <x:c r="G23" s="7" t="inlineStr">
        <x:is>
          <x:t>release</x:t>
        </x:is>
      </x:c>
      <x:c r="H23" s="7" t="inlineStr">
        <x:is>
          <x:t>MLOps</x:t>
        </x:is>
      </x:c>
      <x:c r="I23" s="7" t="inlineStr">
        <x:is>
          <x:t>precisão, fairness</x:t>
        </x:is>
      </x:c>
      <x:c r="J23" s="7" t="inlineStr">
        <x:is>
          <x:t>governança algorítmica</x:t>
        </x:is>
      </x:c>
      <x:c r="K23" s="7" t="inlineStr">
        <x:is>
          <x:t>log de features e versão</x:t>
        </x:is>
      </x:c>
    </x:row>
    <x:row r="24" ht="48" customHeight="1">
      <x:c r="A24" s="6" t="inlineStr">
        <x:is>
          <x:t>E19</x:t>
        </x:is>
      </x:c>
      <x:c r="B24" s="6" t="inlineStr">
        <x:is>
          <x:t>Cohort</x:t>
        </x:is>
      </x:c>
      <x:c r="C24" s="6" t="inlineStr">
        <x:is>
          <x:t>contém</x:t>
        </x:is>
      </x:c>
      <x:c r="D24" s="6" t="inlineStr">
        <x:is>
          <x:t>Pessoa</x:t>
        </x:is>
      </x:c>
      <x:c r="E24" s="6" t="inlineStr">
        <x:is>
          <x:t>Cohort → Pessoa</x:t>
        </x:is>
      </x:c>
      <x:c r="F24" s="6" t="inlineStr">
        <x:is>
          <x:t>elegibilidade</x:t>
        </x:is>
      </x:c>
      <x:c r="G24" s="6" t="inlineStr">
        <x:is>
          <x:t>janela analítica</x:t>
        </x:is>
      </x:c>
      <x:c r="H24" s="6" t="inlineStr">
        <x:is>
          <x:t>Camada analítica</x:t>
        </x:is>
      </x:c>
      <x:c r="I24" s="6" t="inlineStr">
        <x:is>
          <x:t>efeito, comparação</x:t>
        </x:is>
      </x:c>
      <x:c r="J24" s="6" t="inlineStr">
        <x:is>
          <x:t>mensuração quase-experimental</x:t>
        </x:is>
      </x:c>
      <x:c r="K24" s="6" t="inlineStr">
        <x:is>
          <x:t>critérios imutáveis na análise</x:t>
        </x:is>
      </x:c>
    </x:row>
    <x:row r="25" ht="48" customHeight="1">
      <x:c r="A25" s="7" t="inlineStr">
        <x:is>
          <x:t>E20</x:t>
        </x:is>
      </x:c>
      <x:c r="B25" s="7" t="inlineStr">
        <x:is>
          <x:t>Consentimento</x:t>
        </x:is>
      </x:c>
      <x:c r="C25" s="7" t="inlineStr">
        <x:is>
          <x:t>autoriza finalidade para</x:t>
        </x:is>
      </x:c>
      <x:c r="D25" s="7" t="inlineStr">
        <x:is>
          <x:t>Pessoa</x:t>
        </x:is>
      </x:c>
      <x:c r="E25" s="7" t="inlineStr">
        <x:is>
          <x:t>Consentimento → Pessoa</x:t>
        </x:is>
      </x:c>
      <x:c r="F25" s="7" t="inlineStr">
        <x:is>
          <x:t>status</x:t>
        </x:is>
      </x:c>
      <x:c r="G25" s="7" t="inlineStr">
        <x:is>
          <x:t>vigência</x:t>
        </x:is>
      </x:c>
      <x:c r="H25" s="7" t="inlineStr">
        <x:is>
          <x:t>CMP</x:t>
        </x:is>
      </x:c>
      <x:c r="I25" s="7" t="inlineStr">
        <x:is>
          <x:t>cobertura de consentimento</x:t>
        </x:is>
      </x:c>
      <x:c r="J25" s="7" t="inlineStr">
        <x:is>
          <x:t>LGPD</x:t>
        </x:is>
      </x:c>
      <x:c r="K25" s="7" t="inlineStr">
        <x:is>
          <x:t>revogação aplicada imediatamente</x:t>
        </x:is>
      </x:c>
    </x:row>
  </x:sheetData>
  <x:autoFilter ref="A5:K25"/>
  <x:mergeCells count="2">
    <x:mergeCell ref="A1:K2"/>
    <x:mergeCell ref="A3:K3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5.xml><?xml version="1.0" encoding="utf-8"?>
<x:worksheet xmlns:x="http://schemas.openxmlformats.org/spreadsheetml/2006/main">
  <x:sheetPr>
    <x:tabColor rgb="00008D92"/>
    <x:outlinePr summaryBelow="1" summaryRight="1"/>
    <x:pageSetUpPr fitToPage="1"/>
  </x:sheetPr>
  <x:dimension ref="A1:T78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10" customWidth="1"/>
    <x:col min="2" max="2" width="22" customWidth="1"/>
    <x:col min="3" max="3" width="16" customWidth="1"/>
    <x:col min="4" max="4" width="14" customWidth="1"/>
    <x:col min="5" max="5" width="28" customWidth="1"/>
    <x:col min="6" max="6" width="38" customWidth="1"/>
    <x:col min="7" max="7" width="44" customWidth="1"/>
    <x:col min="8" max="8" width="46" customWidth="1"/>
    <x:col min="9" max="9" width="14" customWidth="1"/>
    <x:col min="10" max="10" width="16" customWidth="1"/>
    <x:col min="11" max="11" width="14" customWidth="1"/>
    <x:col min="12" max="12" width="26" customWidth="1"/>
    <x:col min="13" max="13" width="30" customWidth="1"/>
    <x:col min="14" max="14" width="20" customWidth="1"/>
    <x:col min="15" max="15" width="14" customWidth="1"/>
    <x:col min="16" max="16" width="24" customWidth="1"/>
    <x:col min="17" max="17" width="44" customWidth="1"/>
    <x:col min="18" max="18" width="20" customWidth="1"/>
    <x:col min="19" max="19" width="14" customWidth="1"/>
    <x:col min="20" max="20" width="10" customWidth="1"/>
  </x:cols>
  <x:sheetData>
    <x:row r="1" ht="26" customHeight="1">
      <x:c r="A1" s="1" t="inlineStr">
        <x:is>
          <x:t>Catálogo mestre de indicadores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  <x:c r="R1" s="2" t="n"/>
      <x:c r="S1" s="2" t="n"/>
      <x:c r="T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  <x:c r="S2" s="2" t="n"/>
      <x:c r="T2" s="2" t="n"/>
    </x:row>
    <x:row r="3" ht="24" customHeight="1">
      <x:c r="A3" s="3" t="inlineStr">
        <x:is>
          <x:t>Cada indicador inclui pergunta, fórmula, fonte e como pode chegar a valor financeiro.</x:t>
        </x:is>
      </x:c>
    </x:row>
    <x:row r="5" ht="34" customHeight="1">
      <x:c r="A5" s="44" t="inlineStr">
        <x:is>
          <x:t>ID</x:t>
        </x:is>
      </x:c>
      <x:c r="B5" s="44" t="inlineStr">
        <x:is>
          <x:t>Vertente</x:t>
        </x:is>
      </x:c>
      <x:c r="C5" s="44" t="inlineStr">
        <x:is>
          <x:t>Visão</x:t>
        </x:is>
      </x:c>
      <x:c r="D5" s="44" t="inlineStr">
        <x:is>
          <x:t>Camada</x:t>
        </x:is>
      </x:c>
      <x:c r="E5" s="44" t="inlineStr">
        <x:is>
          <x:t>Indicador</x:t>
        </x:is>
      </x:c>
      <x:c r="F5" s="44" t="inlineStr">
        <x:is>
          <x:t>Pergunta de gestão</x:t>
        </x:is>
      </x:c>
      <x:c r="G5" s="44" t="inlineStr">
        <x:is>
          <x:t>Definição</x:t>
        </x:is>
      </x:c>
      <x:c r="H5" s="44" t="inlineStr">
        <x:is>
          <x:t>Fórmula</x:t>
        </x:is>
      </x:c>
      <x:c r="I5" s="44" t="inlineStr">
        <x:is>
          <x:t>Unidade</x:t>
        </x:is>
      </x:c>
      <x:c r="J5" s="44" t="inlineStr">
        <x:is>
          <x:t>Polaridade</x:t>
        </x:is>
      </x:c>
      <x:c r="K5" s="44" t="inlineStr">
        <x:is>
          <x:t>Frequência</x:t>
        </x:is>
      </x:c>
      <x:c r="L5" s="44" t="inlineStr">
        <x:is>
          <x:t>Fonte mínima</x:t>
        </x:is>
      </x:c>
      <x:c r="M5" s="44" t="inlineStr">
        <x:is>
          <x:t>Dimensões / cortes</x:t>
        </x:is>
      </x:c>
      <x:c r="N5" s="44" t="inlineStr">
        <x:is>
          <x:t>Owner</x:t>
        </x:is>
      </x:c>
      <x:c r="O5" s="44" t="inlineStr">
        <x:is>
          <x:t>Tipo</x:t>
        </x:is>
      </x:c>
      <x:c r="P5" s="44" t="inlineStr">
        <x:is>
          <x:t>Alavanca financeira</x:t>
        </x:is>
      </x:c>
      <x:c r="Q5" s="44" t="inlineStr">
        <x:is>
          <x:t>Conversão financeira</x:t>
        </x:is>
      </x:c>
      <x:c r="R5" s="44" t="inlineStr">
        <x:is>
          <x:t>Nível de evidência</x:t>
        </x:is>
      </x:c>
      <x:c r="S5" s="44" t="inlineStr">
        <x:is>
          <x:t>Prioridade</x:t>
        </x:is>
      </x:c>
      <x:c r="T5" s="44" t="inlineStr">
        <x:is>
          <x:t>Fase</x:t>
        </x:is>
      </x:c>
    </x:row>
    <x:row r="6" ht="62" customHeight="1">
      <x:c r="A6" s="6" t="inlineStr">
        <x:is>
          <x:t>PES-01</x:t>
        </x:is>
      </x:c>
      <x:c r="B6" s="6" t="inlineStr">
        <x:is>
          <x:t>Pessoas</x:t>
        </x:is>
      </x:c>
      <x:c r="C6" s="6" t="inlineStr">
        <x:is>
          <x:t>Pessoa</x:t>
        </x:is>
      </x:c>
      <x:c r="D6" s="6" t="inlineStr">
        <x:is>
          <x:t>Insumo</x:t>
        </x:is>
      </x:c>
      <x:c r="E6" s="6" t="inlineStr">
        <x:is>
          <x:t>Completude do perfil</x:t>
        </x:is>
      </x:c>
      <x:c r="F6" s="6" t="inlineStr">
        <x:is>
          <x:t>Temos dados suficientes para orientar a pessoa?</x:t>
        </x:is>
      </x:c>
      <x:c r="G6" s="6" t="inlineStr">
        <x:is>
          <x:t>Percentual de campos essenciais válidos.</x:t>
        </x:is>
      </x:c>
      <x:c r="H6" s="6" t="inlineStr">
        <x:is>
          <x:t>campos essenciais preenchidos / campos essenciais esperados</x:t>
        </x:is>
      </x:c>
      <x:c r="I6" s="6" t="inlineStr">
        <x:is>
          <x:t>%</x:t>
        </x:is>
      </x:c>
      <x:c r="J6" s="6" t="inlineStr">
        <x:is>
          <x:t>Maior é melhor</x:t>
        </x:is>
      </x:c>
      <x:c r="K6" s="6" t="inlineStr">
        <x:is>
          <x:t>Diária</x:t>
        </x:is>
      </x:c>
      <x:c r="L6" s="6" t="inlineStr">
        <x:is>
          <x:t>Pessoa + consentimento</x:t>
        </x:is>
      </x:c>
      <x:c r="M6" s="6" t="inlineStr">
        <x:is>
          <x:t>empresa, região, persona</x:t>
        </x:is>
      </x:c>
      <x:c r="N6" s="6" t="inlineStr">
        <x:is>
          <x:t>Produto</x:t>
        </x:is>
      </x:c>
      <x:c r="O6" s="6" t="inlineStr">
        <x:is>
          <x:t>Leading</x:t>
        </x:is>
      </x:c>
      <x:c r="P6" s="6" t="inlineStr">
        <x:is>
          <x:t>Qualidade / conversão</x:t>
        </x:is>
      </x:c>
      <x:c r="Q6" s="6" t="inlineStr">
        <x:is>
          <x:t>Não monetizar isoladamente</x:t>
        </x:is>
      </x:c>
      <x:c r="R6" s="6" t="inlineStr">
        <x:is>
          <x:t>Descritivo</x:t>
        </x:is>
      </x:c>
      <x:c r="S6" s="6" t="inlineStr">
        <x:is>
          <x:t>Alta</x:t>
        </x:is>
      </x:c>
      <x:c r="T6" s="6" t="inlineStr">
        <x:is>
          <x:t>M0</x:t>
        </x:is>
      </x:c>
    </x:row>
    <x:row r="7" ht="62" customHeight="1">
      <x:c r="A7" s="7" t="inlineStr">
        <x:is>
          <x:t>PES-02</x:t>
        </x:is>
      </x:c>
      <x:c r="B7" s="7" t="inlineStr">
        <x:is>
          <x:t>Pessoas</x:t>
        </x:is>
      </x:c>
      <x:c r="C7" s="7" t="inlineStr">
        <x:is>
          <x:t>Pessoa</x:t>
        </x:is>
      </x:c>
      <x:c r="D7" s="7" t="inlineStr">
        <x:is>
          <x:t>Sinal</x:t>
        </x:is>
      </x:c>
      <x:c r="E7" s="7" t="inlineStr">
        <x:is>
          <x:t>Índice de prontidão</x:t>
        </x:is>
      </x:c>
      <x:c r="F7" s="7" t="inlineStr">
        <x:is>
          <x:t>Quão preparada a pessoa está para a oportunidade-alvo?</x:t>
        </x:is>
      </x:c>
      <x:c r="G7" s="7" t="inlineStr">
        <x:is>
          <x:t>Score ponderado de requisitos, evidências e recência.</x:t>
        </x:is>
      </x:c>
      <x:c r="H7" s="7" t="inlineStr">
        <x:is>
          <x:t>Σ(nível × peso × confiança × recência) / Σ pesos</x:t>
        </x:is>
      </x:c>
      <x:c r="I7" s="7" t="inlineStr">
        <x:is>
          <x:t>score 0–100</x:t>
        </x:is>
      </x:c>
      <x:c r="J7" s="7" t="inlineStr">
        <x:is>
          <x:t>Maior é melhor</x:t>
        </x:is>
      </x:c>
      <x:c r="K7" s="7" t="inlineStr">
        <x:is>
          <x:t>Evento</x:t>
        </x:is>
      </x:c>
      <x:c r="L7" s="7" t="inlineStr">
        <x:is>
          <x:t>Competência + evidência + oportunidade</x:t>
        </x:is>
      </x:c>
      <x:c r="M7" s="7" t="inlineStr">
        <x:is>
          <x:t>competência, papel, cohort</x:t>
        </x:is>
      </x:c>
      <x:c r="N7" s="7" t="inlineStr">
        <x:is>
          <x:t>Inteligência</x:t>
        </x:is>
      </x:c>
      <x:c r="O7" s="7" t="inlineStr">
        <x:is>
          <x:t>Leading</x:t>
        </x:is>
      </x:c>
      <x:c r="P7" s="7" t="inlineStr">
        <x:is>
          <x:t>Produtividade / contratação</x:t>
        </x:is>
      </x:c>
      <x:c r="Q7" s="7" t="inlineStr">
        <x:is>
          <x:t>Usar como driver; monetizar somente via resultado posterior</x:t>
        </x:is>
      </x:c>
      <x:c r="R7" s="7" t="inlineStr">
        <x:is>
          <x:t>Descritivo</x:t>
        </x:is>
      </x:c>
      <x:c r="S7" s="7" t="inlineStr">
        <x:is>
          <x:t>Alta</x:t>
        </x:is>
      </x:c>
      <x:c r="T7" s="7" t="inlineStr">
        <x:is>
          <x:t>M0</x:t>
        </x:is>
      </x:c>
    </x:row>
    <x:row r="8" ht="62" customHeight="1">
      <x:c r="A8" s="6" t="inlineStr">
        <x:is>
          <x:t>PES-03</x:t>
        </x:is>
      </x:c>
      <x:c r="B8" s="6" t="inlineStr">
        <x:is>
          <x:t>Pessoas</x:t>
        </x:is>
      </x:c>
      <x:c r="C8" s="6" t="inlineStr">
        <x:is>
          <x:t>Pessoa</x:t>
        </x:is>
      </x:c>
      <x:c r="D8" s="6" t="inlineStr">
        <x:is>
          <x:t>Sinal</x:t>
        </x:is>
      </x:c>
      <x:c r="E8" s="6" t="inlineStr">
        <x:is>
          <x:t>Gap crítico de capacidade</x:t>
        </x:is>
      </x:c>
      <x:c r="F8" s="6" t="inlineStr">
        <x:is>
          <x:t>Quais lacunas bloqueiam resultado?</x:t>
        </x:is>
      </x:c>
      <x:c r="G8" s="6" t="inlineStr">
        <x:is>
          <x:t>Peso dos requisitos não atendidos.</x:t>
        </x:is>
      </x:c>
      <x:c r="H8" s="6" t="inlineStr">
        <x:is>
          <x:t>Σ pesos dos requisitos abaixo do nível mínimo</x:t>
        </x:is>
      </x:c>
      <x:c r="I8" s="6" t="inlineStr">
        <x:is>
          <x:t>pontos</x:t>
        </x:is>
      </x:c>
      <x:c r="J8" s="6" t="inlineStr">
        <x:is>
          <x:t>Menor é melhor</x:t>
        </x:is>
      </x:c>
      <x:c r="K8" s="6" t="inlineStr">
        <x:is>
          <x:t>Semanal</x:t>
        </x:is>
      </x:c>
      <x:c r="L8" s="6" t="inlineStr">
        <x:is>
          <x:t>Competência + oportunidade</x:t>
        </x:is>
      </x:c>
      <x:c r="M8" s="6" t="inlineStr">
        <x:is>
          <x:t>competência, função, empresa</x:t>
        </x:is>
      </x:c>
      <x:c r="N8" s="6" t="inlineStr">
        <x:is>
          <x:t>RH</x:t>
        </x:is>
      </x:c>
      <x:c r="O8" s="6" t="inlineStr">
        <x:is>
          <x:t>Leading</x:t>
        </x:is>
      </x:c>
      <x:c r="P8" s="6" t="inlineStr">
        <x:is>
          <x:t>Produtividade / risco</x:t>
        </x:is>
      </x:c>
      <x:c r="Q8" s="6" t="inlineStr">
        <x:is>
          <x:t>horas de improdutividade associadas × custo-hora</x:t>
        </x:is>
      </x:c>
      <x:c r="R8" s="6" t="inlineStr">
        <x:is>
          <x:t>Descritivo</x:t>
        </x:is>
      </x:c>
      <x:c r="S8" s="6" t="inlineStr">
        <x:is>
          <x:t>Alta</x:t>
        </x:is>
      </x:c>
      <x:c r="T8" s="6" t="inlineStr">
        <x:is>
          <x:t>M1</x:t>
        </x:is>
      </x:c>
    </x:row>
    <x:row r="9" ht="62" customHeight="1">
      <x:c r="A9" s="7" t="inlineStr">
        <x:is>
          <x:t>PES-04</x:t>
        </x:is>
      </x:c>
      <x:c r="B9" s="7" t="inlineStr">
        <x:is>
          <x:t>Pessoas</x:t>
        </x:is>
      </x:c>
      <x:c r="C9" s="7" t="inlineStr">
        <x:is>
          <x:t>Pessoa</x:t>
        </x:is>
      </x:c>
      <x:c r="D9" s="7" t="inlineStr">
        <x:is>
          <x:t>Ação</x:t>
        </x:is>
      </x:c>
      <x:c r="E9" s="7" t="inlineStr">
        <x:is>
          <x:t>Aceitação de recomendação</x:t>
        </x:is>
      </x:c>
      <x:c r="F9" s="7" t="inlineStr">
        <x:is>
          <x:t>A recomendação leva a uma ação?</x:t>
        </x:is>
      </x:c>
      <x:c r="G9" s="7" t="inlineStr">
        <x:is>
          <x:t>Recomendações aceitas no prazo.</x:t>
        </x:is>
      </x:c>
      <x:c r="H9" s="7" t="inlineStr">
        <x:is>
          <x:t>recomendações aceitas / recomendações entregues</x:t>
        </x:is>
      </x:c>
      <x:c r="I9" s="7" t="inlineStr">
        <x:is>
          <x:t>%</x:t>
        </x:is>
      </x:c>
      <x:c r="J9" s="7" t="inlineStr">
        <x:is>
          <x:t>Maior é melhor</x:t>
        </x:is>
      </x:c>
      <x:c r="K9" s="7" t="inlineStr">
        <x:is>
          <x:t>Semanal</x:t>
        </x:is>
      </x:c>
      <x:c r="L9" s="7" t="inlineStr">
        <x:is>
          <x:t>Recomendação + evento</x:t>
        </x:is>
      </x:c>
      <x:c r="M9" s="7" t="inlineStr">
        <x:is>
          <x:t>modelo, tipo, canal</x:t>
        </x:is>
      </x:c>
      <x:c r="N9" s="7" t="inlineStr">
        <x:is>
          <x:t>Produto</x:t>
        </x:is>
      </x:c>
      <x:c r="O9" s="7" t="inlineStr">
        <x:is>
          <x:t>Leading</x:t>
        </x:is>
      </x:c>
      <x:c r="P9" s="7" t="inlineStr">
        <x:is>
          <x:t>Conversão</x:t>
        </x:is>
      </x:c>
      <x:c r="Q9" s="7" t="inlineStr">
        <x:is>
          <x:t>valor médio do outcome × uplift de aceitação</x:t>
        </x:is>
      </x:c>
      <x:c r="R9" s="7" t="inlineStr">
        <x:is>
          <x:t>Descritivo</x:t>
        </x:is>
      </x:c>
      <x:c r="S9" s="7" t="inlineStr">
        <x:is>
          <x:t>Alta</x:t>
        </x:is>
      </x:c>
      <x:c r="T9" s="7" t="inlineStr">
        <x:is>
          <x:t>M0</x:t>
        </x:is>
      </x:c>
    </x:row>
    <x:row r="10" ht="62" customHeight="1">
      <x:c r="A10" s="6" t="inlineStr">
        <x:is>
          <x:t>PES-05</x:t>
        </x:is>
      </x:c>
      <x:c r="B10" s="6" t="inlineStr">
        <x:is>
          <x:t>Pessoas</x:t>
        </x:is>
      </x:c>
      <x:c r="C10" s="6" t="inlineStr">
        <x:is>
          <x:t>Pessoa</x:t>
        </x:is>
      </x:c>
      <x:c r="D10" s="6" t="inlineStr">
        <x:is>
          <x:t>Ação</x:t>
        </x:is>
      </x:c>
      <x:c r="E10" s="6" t="inlineStr">
        <x:is>
          <x:t>Conclusão de jornada</x:t>
        </x:is>
      </x:c>
      <x:c r="F10" s="6" t="inlineStr">
        <x:is>
          <x:t>A pessoa completa o caminho proposto?</x:t>
        </x:is>
      </x:c>
      <x:c r="G10" s="6" t="inlineStr">
        <x:is>
          <x:t>Jornadas concluídas entre as iniciadas.</x:t>
        </x:is>
      </x:c>
      <x:c r="H10" s="6" t="inlineStr">
        <x:is>
          <x:t>jornadas concluídas / jornadas iniciadas</x:t>
        </x:is>
      </x:c>
      <x:c r="I10" s="6" t="inlineStr">
        <x:is>
          <x:t>%</x:t>
        </x:is>
      </x:c>
      <x:c r="J10" s="6" t="inlineStr">
        <x:is>
          <x:t>Maior é melhor</x:t>
        </x:is>
      </x:c>
      <x:c r="K10" s="6" t="inlineStr">
        <x:is>
          <x:t>Semanal</x:t>
        </x:is>
      </x:c>
      <x:c r="L10" s="6" t="inlineStr">
        <x:is>
          <x:t>Jornada + eventos</x:t>
        </x:is>
      </x:c>
      <x:c r="M10" s="6" t="inlineStr">
        <x:is>
          <x:t>jornada, cohort, empresa</x:t>
        </x:is>
      </x:c>
      <x:c r="N10" s="6" t="inlineStr">
        <x:is>
          <x:t>Produto / LMS</x:t>
        </x:is>
      </x:c>
      <x:c r="O10" s="6" t="inlineStr">
        <x:is>
          <x:t>Leading</x:t>
        </x:is>
      </x:c>
      <x:c r="P10" s="6" t="inlineStr">
        <x:is>
          <x:t>Produtividade / retenção</x:t>
        </x:is>
      </x:c>
      <x:c r="Q10" s="6" t="inlineStr">
        <x:is>
          <x:t>concluintes × efeito médio monetizado</x:t>
        </x:is>
      </x:c>
      <x:c r="R10" s="6" t="inlineStr">
        <x:is>
          <x:t>Descritivo</x:t>
        </x:is>
      </x:c>
      <x:c r="S10" s="6" t="inlineStr">
        <x:is>
          <x:t>Alta</x:t>
        </x:is>
      </x:c>
      <x:c r="T10" s="6" t="inlineStr">
        <x:is>
          <x:t>M0</x:t>
        </x:is>
      </x:c>
    </x:row>
    <x:row r="11" ht="62" customHeight="1">
      <x:c r="A11" s="7" t="inlineStr">
        <x:is>
          <x:t>PES-06</x:t>
        </x:is>
      </x:c>
      <x:c r="B11" s="7" t="inlineStr">
        <x:is>
          <x:t>Pessoas</x:t>
        </x:is>
      </x:c>
      <x:c r="C11" s="7" t="inlineStr">
        <x:is>
          <x:t>Pessoa</x:t>
        </x:is>
      </x:c>
      <x:c r="D11" s="7" t="inlineStr">
        <x:is>
          <x:t>Resultado</x:t>
        </x:is>
      </x:c>
      <x:c r="E11" s="7" t="inlineStr">
        <x:is>
          <x:t>Evolução de capacidade</x:t>
        </x:is>
      </x:c>
      <x:c r="F11" s="7" t="inlineStr">
        <x:is>
          <x:t>A capacidade mudou após a jornada?</x:t>
        </x:is>
      </x:c>
      <x:c r="G11" s="7" t="inlineStr">
        <x:is>
          <x:t>Variação padronizada pré e pós.</x:t>
        </x:is>
      </x:c>
      <x:c r="H11" s="7" t="inlineStr">
        <x:is>
          <x:t>score pós − score pré</x:t>
        </x:is>
      </x:c>
      <x:c r="I11" s="7" t="inlineStr">
        <x:is>
          <x:t>p.p. ou score</x:t>
        </x:is>
      </x:c>
      <x:c r="J11" s="7" t="inlineStr">
        <x:is>
          <x:t>Maior é melhor</x:t>
        </x:is>
      </x:c>
      <x:c r="K11" s="7" t="inlineStr">
        <x:is>
          <x:t>Mensal</x:t>
        </x:is>
      </x:c>
      <x:c r="L11" s="7" t="inlineStr">
        <x:is>
          <x:t>Diagnóstico + cohort</x:t>
        </x:is>
      </x:c>
      <x:c r="M11" s="7" t="inlineStr">
        <x:is>
          <x:t>competência, jornada, empresa</x:t>
        </x:is>
      </x:c>
      <x:c r="N11" s="7" t="inlineStr">
        <x:is>
          <x:t>Inteligência</x:t>
        </x:is>
      </x:c>
      <x:c r="O11" s="7" t="inlineStr">
        <x:is>
          <x:t>Lagging</x:t>
        </x:is>
      </x:c>
      <x:c r="P11" s="7" t="inlineStr">
        <x:is>
          <x:t>Produtividade</x:t>
        </x:is>
      </x:c>
      <x:c r="Q11" s="7" t="inlineStr">
        <x:is>
          <x:t>pessoas × custo anual × ganho produtividade × atribuição</x:t>
        </x:is>
      </x:c>
      <x:c r="R11" s="7" t="inlineStr">
        <x:is>
          <x:t>Quase-experimental</x:t>
        </x:is>
      </x:c>
      <x:c r="S11" s="7" t="inlineStr">
        <x:is>
          <x:t>Alta</x:t>
        </x:is>
      </x:c>
      <x:c r="T11" s="7" t="inlineStr">
        <x:is>
          <x:t>M1</x:t>
        </x:is>
      </x:c>
    </x:row>
    <x:row r="12" ht="62" customHeight="1">
      <x:c r="A12" s="6" t="inlineStr">
        <x:is>
          <x:t>PES-07</x:t>
        </x:is>
      </x:c>
      <x:c r="B12" s="6" t="inlineStr">
        <x:is>
          <x:t>Pessoas</x:t>
        </x:is>
      </x:c>
      <x:c r="C12" s="6" t="inlineStr">
        <x:is>
          <x:t>Pessoa</x:t>
        </x:is>
      </x:c>
      <x:c r="D12" s="6" t="inlineStr">
        <x:is>
          <x:t>Resultado</x:t>
        </x:is>
      </x:c>
      <x:c r="E12" s="6" t="inlineStr">
        <x:is>
          <x:t>Tempo até oportunidade</x:t>
        </x:is>
      </x:c>
      <x:c r="F12" s="6" t="inlineStr">
        <x:is>
          <x:t>Quanto tempo leva para gerar oportunidade relevante?</x:t>
        </x:is>
      </x:c>
      <x:c r="G12" s="6" t="inlineStr">
        <x:is>
          <x:t>Dias do cadastro/prontidão até primeira oportunidade aceita.</x:t>
        </x:is>
      </x:c>
      <x:c r="H12" s="6" t="inlineStr">
        <x:is>
          <x:t>data oportunidade − data elegibilidade</x:t>
        </x:is>
      </x:c>
      <x:c r="I12" s="6" t="inlineStr">
        <x:is>
          <x:t>dias</x:t>
        </x:is>
      </x:c>
      <x:c r="J12" s="6" t="inlineStr">
        <x:is>
          <x:t>Menor é melhor</x:t>
        </x:is>
      </x:c>
      <x:c r="K12" s="6" t="inlineStr">
        <x:is>
          <x:t>Mensal</x:t>
        </x:is>
      </x:c>
      <x:c r="L12" s="6" t="inlineStr">
        <x:is>
          <x:t>Pessoa + oportunidade + match</x:t>
        </x:is>
      </x:c>
      <x:c r="M12" s="6" t="inlineStr">
        <x:is>
          <x:t>cohort, canal, empresa</x:t>
        </x:is>
      </x:c>
      <x:c r="N12" s="6" t="inlineStr">
        <x:is>
          <x:t>Operações</x:t>
        </x:is>
      </x:c>
      <x:c r="O12" s="6" t="inlineStr">
        <x:is>
          <x:t>Lagging</x:t>
        </x:is>
      </x:c>
      <x:c r="P12" s="6" t="inlineStr">
        <x:is>
          <x:t>Receita / empregabilidade</x:t>
        </x:is>
      </x:c>
      <x:c r="Q12" s="6" t="inlineStr">
        <x:is>
          <x:t>dias reduzidos × custo diário da vacância ou oportunidade</x:t>
        </x:is>
      </x:c>
      <x:c r="R12" s="6" t="inlineStr">
        <x:is>
          <x:t>Correlação</x:t>
        </x:is>
      </x:c>
      <x:c r="S12" s="6" t="inlineStr">
        <x:is>
          <x:t>Média</x:t>
        </x:is>
      </x:c>
      <x:c r="T12" s="6" t="inlineStr">
        <x:is>
          <x:t>M1</x:t>
        </x:is>
      </x:c>
    </x:row>
    <x:row r="13" ht="62" customHeight="1">
      <x:c r="A13" s="7" t="inlineStr">
        <x:is>
          <x:t>PES-08</x:t>
        </x:is>
      </x:c>
      <x:c r="B13" s="7" t="inlineStr">
        <x:is>
          <x:t>Pessoas</x:t>
        </x:is>
      </x:c>
      <x:c r="C13" s="7" t="inlineStr">
        <x:is>
          <x:t>Pessoa</x:t>
        </x:is>
      </x:c>
      <x:c r="D13" s="7" t="inlineStr">
        <x:is>
          <x:t>Resultado</x:t>
        </x:is>
      </x:c>
      <x:c r="E13" s="7" t="inlineStr">
        <x:is>
          <x:t>Mobilidade / conexão efetiva</x:t>
        </x:is>
      </x:c>
      <x:c r="F13" s="7" t="inlineStr">
        <x:is>
          <x:t>A conexão virou movimentação, projeto ou contrato?</x:t>
        </x:is>
      </x:c>
      <x:c r="G13" s="7" t="inlineStr">
        <x:is>
          <x:t>Pessoas com outcome confirmado após match.</x:t>
        </x:is>
      </x:c>
      <x:c r="H13" s="7" t="inlineStr">
        <x:is>
          <x:t>pessoas com outcome / pessoas com match aceito</x:t>
        </x:is>
      </x:c>
      <x:c r="I13" s="7" t="inlineStr">
        <x:is>
          <x:t>%</x:t>
        </x:is>
      </x:c>
      <x:c r="J13" s="7" t="inlineStr">
        <x:is>
          <x:t>Maior é melhor</x:t>
        </x:is>
      </x:c>
      <x:c r="K13" s="7" t="inlineStr">
        <x:is>
          <x:t>Mensal</x:t>
        </x:is>
      </x:c>
      <x:c r="L13" s="7" t="inlineStr">
        <x:is>
          <x:t>Match + outcome</x:t>
        </x:is>
      </x:c>
      <x:c r="M13" s="7" t="inlineStr">
        <x:is>
          <x:t>tipo de outcome, cohort</x:t>
        </x:is>
      </x:c>
      <x:c r="N13" s="7" t="inlineStr">
        <x:is>
          <x:t>Operações</x:t>
        </x:is>
      </x:c>
      <x:c r="O13" s="7" t="inlineStr">
        <x:is>
          <x:t>Lagging</x:t>
        </x:is>
      </x:c>
      <x:c r="P13" s="7" t="inlineStr">
        <x:is>
          <x:t>Receita / retenção</x:t>
        </x:is>
      </x:c>
      <x:c r="Q13" s="7" t="inlineStr">
        <x:is>
          <x:t>outcomes incrementais × valor médio</x:t>
        </x:is>
      </x:c>
      <x:c r="R13" s="7" t="inlineStr">
        <x:is>
          <x:t>Quase-experimental</x:t>
        </x:is>
      </x:c>
      <x:c r="S13" s="7" t="inlineStr">
        <x:is>
          <x:t>Alta</x:t>
        </x:is>
      </x:c>
      <x:c r="T13" s="7" t="inlineStr">
        <x:is>
          <x:t>M1</x:t>
        </x:is>
      </x:c>
    </x:row>
    <x:row r="14" ht="62" customHeight="1">
      <x:c r="A14" s="6" t="inlineStr">
        <x:is>
          <x:t>PES-09</x:t>
        </x:is>
      </x:c>
      <x:c r="B14" s="6" t="inlineStr">
        <x:is>
          <x:t>Pessoas</x:t>
        </x:is>
      </x:c>
      <x:c r="C14" s="6" t="inlineStr">
        <x:is>
          <x:t>Pessoa</x:t>
        </x:is>
      </x:c>
      <x:c r="D14" s="6" t="inlineStr">
        <x:is>
          <x:t>Resultado</x:t>
        </x:is>
      </x:c>
      <x:c r="E14" s="6" t="inlineStr">
        <x:is>
          <x:t>NPS da jornada</x:t>
        </x:is>
      </x:c>
      <x:c r="F14" s="6" t="inlineStr">
        <x:is>
          <x:t>A experiência gerou valor percebido?</x:t>
        </x:is>
      </x:c>
      <x:c r="G14" s="6" t="inlineStr">
        <x:is>
          <x:t>Net Promoter Score por jornada.</x:t>
        </x:is>
      </x:c>
      <x:c r="H14" s="6" t="inlineStr">
        <x:is>
          <x:t>% promotores − % detratores</x:t>
        </x:is>
      </x:c>
      <x:c r="I14" s="6" t="inlineStr">
        <x:is>
          <x:t>NPS</x:t>
        </x:is>
      </x:c>
      <x:c r="J14" s="6" t="inlineStr">
        <x:is>
          <x:t>Maior é melhor</x:t>
        </x:is>
      </x:c>
      <x:c r="K14" s="6" t="inlineStr">
        <x:is>
          <x:t>Mensal</x:t>
        </x:is>
      </x:c>
      <x:c r="L14" s="6" t="inlineStr">
        <x:is>
          <x:t>Pesquisa</x:t>
        </x:is>
      </x:c>
      <x:c r="M14" s="6" t="inlineStr">
        <x:is>
          <x:t>jornada, etapa, persona</x:t>
        </x:is>
      </x:c>
      <x:c r="N14" s="6" t="inlineStr">
        <x:is>
          <x:t>CX</x:t>
        </x:is>
      </x:c>
      <x:c r="O14" s="6" t="inlineStr">
        <x:is>
          <x:t>Lagging</x:t>
        </x:is>
      </x:c>
      <x:c r="P14" s="6" t="inlineStr">
        <x:is>
          <x:t>Retenção / indicação</x:t>
        </x:is>
      </x:c>
      <x:c r="Q14" s="6" t="inlineStr">
        <x:is>
          <x:t>não monetizar sem relação validada com churn</x:t>
        </x:is>
      </x:c>
      <x:c r="R14" s="6" t="inlineStr">
        <x:is>
          <x:t>Descritivo</x:t>
        </x:is>
      </x:c>
      <x:c r="S14" s="6" t="inlineStr">
        <x:is>
          <x:t>Média</x:t>
        </x:is>
      </x:c>
      <x:c r="T14" s="6" t="inlineStr">
        <x:is>
          <x:t>M1</x:t>
        </x:is>
      </x:c>
    </x:row>
    <x:row r="15" ht="62" customHeight="1">
      <x:c r="A15" s="7" t="inlineStr">
        <x:is>
          <x:t>PES-10</x:t>
        </x:is>
      </x:c>
      <x:c r="B15" s="7" t="inlineStr">
        <x:is>
          <x:t>Pessoas</x:t>
        </x:is>
      </x:c>
      <x:c r="C15" s="7" t="inlineStr">
        <x:is>
          <x:t>Pessoa</x:t>
        </x:is>
      </x:c>
      <x:c r="D15" s="7" t="inlineStr">
        <x:is>
          <x:t>Impacto</x:t>
        </x:is>
      </x:c>
      <x:c r="E15" s="7" t="inlineStr">
        <x:is>
          <x:t>Valor gerado por pessoa</x:t>
        </x:is>
      </x:c>
      <x:c r="F15" s="7" t="inlineStr">
        <x:is>
          <x:t>Quanto benefício comprovado foi associado a cada pessoa impactada?</x:t>
        </x:is>
      </x:c>
      <x:c r="G15" s="7" t="inlineStr">
        <x:is>
          <x:t>Benefício atribuído dividido pelo público elegível.</x:t>
        </x:is>
      </x:c>
      <x:c r="H15" s="7" t="inlineStr">
        <x:is>
          <x:t>benefício financeiro atribuído / pessoas impactadas</x:t>
        </x:is>
      </x:c>
      <x:c r="I15" s="7" t="inlineStr">
        <x:is>
          <x:t>R$/pessoa</x:t>
        </x:is>
      </x:c>
      <x:c r="J15" s="7" t="inlineStr">
        <x:is>
          <x:t>Maior é melhor</x:t>
        </x:is>
      </x:c>
      <x:c r="K15" s="7" t="inlineStr">
        <x:is>
          <x:t>Trimestral</x:t>
        </x:is>
      </x:c>
      <x:c r="L15" s="7" t="inlineStr">
        <x:is>
          <x:t>Outcomes + financeiro</x:t>
        </x:is>
      </x:c>
      <x:c r="M15" s="7" t="inlineStr">
        <x:is>
          <x:t>empresa, programa, cohort</x:t>
        </x:is>
      </x:c>
      <x:c r="N15" s="7" t="inlineStr">
        <x:is>
          <x:t>Financeiro</x:t>
        </x:is>
      </x:c>
      <x:c r="O15" s="7" t="inlineStr">
        <x:is>
          <x:t>Lagging</x:t>
        </x:is>
      </x:c>
      <x:c r="P15" s="7" t="inlineStr">
        <x:is>
          <x:t>Lucro / custo</x:t>
        </x:is>
      </x:c>
      <x:c r="Q15" s="7" t="inlineStr">
        <x:is>
          <x:t>benefícios atribuídos após deduplicação</x:t>
        </x:is>
      </x:c>
      <x:c r="R15" s="7" t="inlineStr">
        <x:is>
          <x:t>Quase-experimental</x:t>
        </x:is>
      </x:c>
      <x:c r="S15" s="7" t="inlineStr">
        <x:is>
          <x:t>Alta</x:t>
        </x:is>
      </x:c>
      <x:c r="T15" s="7" t="inlineStr">
        <x:is>
          <x:t>M2</x:t>
        </x:is>
      </x:c>
    </x:row>
    <x:row r="16" ht="62" customHeight="1">
      <x:c r="A16" s="6" t="inlineStr">
        <x:is>
          <x:t>RH-01</x:t>
        </x:is>
      </x:c>
      <x:c r="B16" s="6" t="inlineStr">
        <x:is>
          <x:t>Empresas / RH</x:t>
        </x:is>
      </x:c>
      <x:c r="C16" s="6" t="inlineStr">
        <x:is>
          <x:t>RH</x:t>
        </x:is>
      </x:c>
      <x:c r="D16" s="6" t="inlineStr">
        <x:is>
          <x:t>Insumo</x:t>
        </x:is>
      </x:c>
      <x:c r="E16" s="6" t="inlineStr">
        <x:is>
          <x:t>Cobertura de capacidades</x:t>
        </x:is>
      </x:c>
      <x:c r="F16" s="6" t="inlineStr">
        <x:is>
          <x:t>Quanto da força de trabalho possui capacidades mapeadas?</x:t>
        </x:is>
      </x:c>
      <x:c r="G16" s="6" t="inlineStr">
        <x:is>
          <x:t>Pessoas ativas com taxonomia válida.</x:t>
        </x:is>
      </x:c>
      <x:c r="H16" s="6" t="inlineStr">
        <x:is>
          <x:t>pessoas mapeadas / pessoas elegíveis</x:t>
        </x:is>
      </x:c>
      <x:c r="I16" s="6" t="inlineStr">
        <x:is>
          <x:t>%</x:t>
        </x:is>
      </x:c>
      <x:c r="J16" s="6" t="inlineStr">
        <x:is>
          <x:t>Maior é melhor</x:t>
        </x:is>
      </x:c>
      <x:c r="K16" s="6" t="inlineStr">
        <x:is>
          <x:t>Mensal</x:t>
        </x:is>
      </x:c>
      <x:c r="L16" s="6" t="inlineStr">
        <x:is>
          <x:t>HRIS + competência</x:t>
        </x:is>
      </x:c>
      <x:c r="M16" s="6" t="inlineStr">
        <x:is>
          <x:t>função, unidade, região</x:t>
        </x:is>
      </x:c>
      <x:c r="N16" s="6" t="inlineStr">
        <x:is>
          <x:t>RH</x:t>
        </x:is>
      </x:c>
      <x:c r="O16" s="6" t="inlineStr">
        <x:is>
          <x:t>Leading</x:t>
        </x:is>
      </x:c>
      <x:c r="P16" s="6" t="inlineStr">
        <x:is>
          <x:t>Risco / planejamento</x:t>
        </x:is>
      </x:c>
      <x:c r="Q16" s="6" t="inlineStr">
        <x:is>
          <x:t>não monetizar isoladamente</x:t>
        </x:is>
      </x:c>
      <x:c r="R16" s="6" t="inlineStr">
        <x:is>
          <x:t>Descritivo</x:t>
        </x:is>
      </x:c>
      <x:c r="S16" s="6" t="inlineStr">
        <x:is>
          <x:t>Alta</x:t>
        </x:is>
      </x:c>
      <x:c r="T16" s="6" t="inlineStr">
        <x:is>
          <x:t>M0</x:t>
        </x:is>
      </x:c>
    </x:row>
    <x:row r="17" ht="62" customHeight="1">
      <x:c r="A17" s="7" t="inlineStr">
        <x:is>
          <x:t>RH-02</x:t>
        </x:is>
      </x:c>
      <x:c r="B17" s="7" t="inlineStr">
        <x:is>
          <x:t>Empresas / RH</x:t>
        </x:is>
      </x:c>
      <x:c r="C17" s="7" t="inlineStr">
        <x:is>
          <x:t>RH</x:t>
        </x:is>
      </x:c>
      <x:c r="D17" s="7" t="inlineStr">
        <x:is>
          <x:t>Sinal</x:t>
        </x:is>
      </x:c>
      <x:c r="E17" s="7" t="inlineStr">
        <x:is>
          <x:t>Risco de lacuna crítica</x:t>
        </x:is>
      </x:c>
      <x:c r="F17" s="7" t="inlineStr">
        <x:is>
          <x:t>Onde faltam capacidades para a estratégia?</x:t>
        </x:is>
      </x:c>
      <x:c r="G17" s="7" t="inlineStr">
        <x:is>
          <x:t>Exposição ponderada a gaps críticos.</x:t>
        </x:is>
      </x:c>
      <x:c r="H17" s="7" t="inlineStr">
        <x:is>
          <x:t>Σ(gap × criticidade × população exposta)</x:t>
        </x:is>
      </x:c>
      <x:c r="I17" s="7" t="inlineStr">
        <x:is>
          <x:t>índice</x:t>
        </x:is>
      </x:c>
      <x:c r="J17" s="7" t="inlineStr">
        <x:is>
          <x:t>Menor é melhor</x:t>
        </x:is>
      </x:c>
      <x:c r="K17" s="7" t="inlineStr">
        <x:is>
          <x:t>Mensal</x:t>
        </x:is>
      </x:c>
      <x:c r="L17" s="7" t="inlineStr">
        <x:is>
          <x:t>Capacidade + estratégia</x:t>
        </x:is>
      </x:c>
      <x:c r="M17" s="7" t="inlineStr">
        <x:is>
          <x:t>função, unidade, capacidade</x:t>
        </x:is>
      </x:c>
      <x:c r="N17" s="7" t="inlineStr">
        <x:is>
          <x:t>RH / Estratégia</x:t>
        </x:is>
      </x:c>
      <x:c r="O17" s="7" t="inlineStr">
        <x:is>
          <x:t>Leading</x:t>
        </x:is>
      </x:c>
      <x:c r="P17" s="7" t="inlineStr">
        <x:is>
          <x:t>Risco / produtividade</x:t>
        </x:is>
      </x:c>
      <x:c r="Q17" s="7" t="inlineStr">
        <x:is>
          <x:t>probabilidade × impacto × redução atribuída</x:t>
        </x:is>
      </x:c>
      <x:c r="R17" s="7" t="inlineStr">
        <x:is>
          <x:t>Descritivo</x:t>
        </x:is>
      </x:c>
      <x:c r="S17" s="7" t="inlineStr">
        <x:is>
          <x:t>Alta</x:t>
        </x:is>
      </x:c>
      <x:c r="T17" s="7" t="inlineStr">
        <x:is>
          <x:t>M1</x:t>
        </x:is>
      </x:c>
    </x:row>
    <x:row r="18" ht="62" customHeight="1">
      <x:c r="A18" s="6" t="inlineStr">
        <x:is>
          <x:t>RH-03</x:t>
        </x:is>
      </x:c>
      <x:c r="B18" s="6" t="inlineStr">
        <x:is>
          <x:t>Empresas / RH</x:t>
        </x:is>
      </x:c>
      <x:c r="C18" s="6" t="inlineStr">
        <x:is>
          <x:t>RH</x:t>
        </x:is>
      </x:c>
      <x:c r="D18" s="6" t="inlineStr">
        <x:is>
          <x:t>Processo</x:t>
        </x:is>
      </x:c>
      <x:c r="E18" s="6" t="inlineStr">
        <x:is>
          <x:t>Time-to-fill</x:t>
        </x:is>
      </x:c>
      <x:c r="F18" s="6" t="inlineStr">
        <x:is>
          <x:t>Quanto tempo uma vaga crítica permanece aberta?</x:t>
        </x:is>
      </x:c>
      <x:c r="G18" s="6" t="inlineStr">
        <x:is>
          <x:t>Dias entre abertura e aceite.</x:t>
        </x:is>
      </x:c>
      <x:c r="H18" s="6" t="inlineStr">
        <x:is>
          <x:t>data aceite − data abertura</x:t>
        </x:is>
      </x:c>
      <x:c r="I18" s="6" t="inlineStr">
        <x:is>
          <x:t>dias</x:t>
        </x:is>
      </x:c>
      <x:c r="J18" s="6" t="inlineStr">
        <x:is>
          <x:t>Menor é melhor</x:t>
        </x:is>
      </x:c>
      <x:c r="K18" s="6" t="inlineStr">
        <x:is>
          <x:t>Mensal</x:t>
        </x:is>
      </x:c>
      <x:c r="L18" s="6" t="inlineStr">
        <x:is>
          <x:t>ATS</x:t>
        </x:is>
      </x:c>
      <x:c r="M18" s="6" t="inlineStr">
        <x:is>
          <x:t>função, senioridade, canal</x:t>
        </x:is>
      </x:c>
      <x:c r="N18" s="6" t="inlineStr">
        <x:is>
          <x:t>Talent Acquisition</x:t>
        </x:is>
      </x:c>
      <x:c r="O18" s="6" t="inlineStr">
        <x:is>
          <x:t>Lagging</x:t>
        </x:is>
      </x:c>
      <x:c r="P18" s="6" t="inlineStr">
        <x:is>
          <x:t>Custo</x:t>
        </x:is>
      </x:c>
      <x:c r="Q18" s="6" t="inlineStr">
        <x:is>
          <x:t>dias evitados × custo diário da vacância × atribuição</x:t>
        </x:is>
      </x:c>
      <x:c r="R18" s="6" t="inlineStr">
        <x:is>
          <x:t>Quase-experimental</x:t>
        </x:is>
      </x:c>
      <x:c r="S18" s="6" t="inlineStr">
        <x:is>
          <x:t>Alta</x:t>
        </x:is>
      </x:c>
      <x:c r="T18" s="6" t="inlineStr">
        <x:is>
          <x:t>M1</x:t>
        </x:is>
      </x:c>
    </x:row>
    <x:row r="19" ht="62" customHeight="1">
      <x:c r="A19" s="7" t="inlineStr">
        <x:is>
          <x:t>RH-04</x:t>
        </x:is>
      </x:c>
      <x:c r="B19" s="7" t="inlineStr">
        <x:is>
          <x:t>Empresas / RH</x:t>
        </x:is>
      </x:c>
      <x:c r="C19" s="7" t="inlineStr">
        <x:is>
          <x:t>RH</x:t>
        </x:is>
      </x:c>
      <x:c r="D19" s="7" t="inlineStr">
        <x:is>
          <x:t>Processo</x:t>
        </x:is>
      </x:c>
      <x:c r="E19" s="7" t="inlineStr">
        <x:is>
          <x:t>Custo por contratação</x:t>
        </x:is>
      </x:c>
      <x:c r="F19" s="7" t="inlineStr">
        <x:is>
          <x:t>Quanto custa cada contratação concluída?</x:t>
        </x:is>
      </x:c>
      <x:c r="G19" s="7" t="inlineStr">
        <x:is>
          <x:t>Custos de recrutamento divididos pelas admissões.</x:t>
        </x:is>
      </x:c>
      <x:c r="H19" s="7" t="inlineStr">
        <x:is>
          <x:t>custos atribuíveis / admissões</x:t>
        </x:is>
      </x:c>
      <x:c r="I19" s="7" t="inlineStr">
        <x:is>
          <x:t>R$/contratação</x:t>
        </x:is>
      </x:c>
      <x:c r="J19" s="7" t="inlineStr">
        <x:is>
          <x:t>Menor é melhor</x:t>
        </x:is>
      </x:c>
      <x:c r="K19" s="7" t="inlineStr">
        <x:is>
          <x:t>Mensal</x:t>
        </x:is>
      </x:c>
      <x:c r="L19" s="7" t="inlineStr">
        <x:is>
          <x:t>ATS + financeiro</x:t>
        </x:is>
      </x:c>
      <x:c r="M19" s="7" t="inlineStr">
        <x:is>
          <x:t>canal, função, cohort</x:t>
        </x:is>
      </x:c>
      <x:c r="N19" s="7" t="inlineStr">
        <x:is>
          <x:t>Talent Acquisition</x:t>
        </x:is>
      </x:c>
      <x:c r="O19" s="7" t="inlineStr">
        <x:is>
          <x:t>Lagging</x:t>
        </x:is>
      </x:c>
      <x:c r="P19" s="7" t="inlineStr">
        <x:is>
          <x:t>Custo</x:t>
        </x:is>
      </x:c>
      <x:c r="Q19" s="7" t="inlineStr">
        <x:is>
          <x:t>custo baseline − custo após HUB</x:t>
        </x:is>
      </x:c>
      <x:c r="R19" s="7" t="inlineStr">
        <x:is>
          <x:t>Quase-experimental</x:t>
        </x:is>
      </x:c>
      <x:c r="S19" s="7" t="inlineStr">
        <x:is>
          <x:t>Alta</x:t>
        </x:is>
      </x:c>
      <x:c r="T19" s="7" t="inlineStr">
        <x:is>
          <x:t>M1</x:t>
        </x:is>
      </x:c>
    </x:row>
    <x:row r="20" ht="62" customHeight="1">
      <x:c r="A20" s="6" t="inlineStr">
        <x:is>
          <x:t>RH-05</x:t>
        </x:is>
      </x:c>
      <x:c r="B20" s="6" t="inlineStr">
        <x:is>
          <x:t>Empresas / RH</x:t>
        </x:is>
      </x:c>
      <x:c r="C20" s="6" t="inlineStr">
        <x:is>
          <x:t>RH</x:t>
        </x:is>
      </x:c>
      <x:c r="D20" s="6" t="inlineStr">
        <x:is>
          <x:t>Resultado</x:t>
        </x:is>
      </x:c>
      <x:c r="E20" s="6" t="inlineStr">
        <x:is>
          <x:t>Qualidade da contratação</x:t>
        </x:is>
      </x:c>
      <x:c r="F20" s="6" t="inlineStr">
        <x:is>
          <x:t>A contratação permanece e performa?</x:t>
        </x:is>
      </x:c>
      <x:c r="G20" s="6" t="inlineStr">
        <x:is>
          <x:t>Score composto de desempenho, retenção e fit em 6/12 meses.</x:t>
        </x:is>
      </x:c>
      <x:c r="H20" s="6" t="inlineStr">
        <x:is>
          <x:t>média ponderada(performance, retenção, fit)</x:t>
        </x:is>
      </x:c>
      <x:c r="I20" s="6" t="inlineStr">
        <x:is>
          <x:t>score</x:t>
        </x:is>
      </x:c>
      <x:c r="J20" s="6" t="inlineStr">
        <x:is>
          <x:t>Maior é melhor</x:t>
        </x:is>
      </x:c>
      <x:c r="K20" s="6" t="inlineStr">
        <x:is>
          <x:t>Trimestral</x:t>
        </x:is>
      </x:c>
      <x:c r="L20" s="6" t="inlineStr">
        <x:is>
          <x:t>ATS + HRIS + performance</x:t>
        </x:is>
      </x:c>
      <x:c r="M20" s="6" t="inlineStr">
        <x:is>
          <x:t>função, canal, cohort</x:t>
        </x:is>
      </x:c>
      <x:c r="N20" s="6" t="inlineStr">
        <x:is>
          <x:t>RH</x:t>
        </x:is>
      </x:c>
      <x:c r="O20" s="6" t="inlineStr">
        <x:is>
          <x:t>Lagging</x:t>
        </x:is>
      </x:c>
      <x:c r="P20" s="6" t="inlineStr">
        <x:is>
          <x:t>Produtividade / retenção</x:t>
        </x:is>
      </x:c>
      <x:c r="Q20" s="6" t="inlineStr">
        <x:is>
          <x:t>uplift × custo de reposição ou valor de produtividade</x:t>
        </x:is>
      </x:c>
      <x:c r="R20" s="6" t="inlineStr">
        <x:is>
          <x:t>Quase-experimental</x:t>
        </x:is>
      </x:c>
      <x:c r="S20" s="6" t="inlineStr">
        <x:is>
          <x:t>Alta</x:t>
        </x:is>
      </x:c>
      <x:c r="T20" s="6" t="inlineStr">
        <x:is>
          <x:t>M2</x:t>
        </x:is>
      </x:c>
    </x:row>
    <x:row r="21" ht="62" customHeight="1">
      <x:c r="A21" s="7" t="inlineStr">
        <x:is>
          <x:t>RH-06</x:t>
        </x:is>
      </x:c>
      <x:c r="B21" s="7" t="inlineStr">
        <x:is>
          <x:t>Empresas / RH</x:t>
        </x:is>
      </x:c>
      <x:c r="C21" s="7" t="inlineStr">
        <x:is>
          <x:t>RH</x:t>
        </x:is>
      </x:c>
      <x:c r="D21" s="7" t="inlineStr">
        <x:is>
          <x:t>Resultado</x:t>
        </x:is>
      </x:c>
      <x:c r="E21" s="7" t="inlineStr">
        <x:is>
          <x:t>Time-to-productivity</x:t>
        </x:is>
      </x:c>
      <x:c r="F21" s="7" t="inlineStr">
        <x:is>
          <x:t>Em quanto tempo a pessoa atinge a performance esperada?</x:t>
        </x:is>
      </x:c>
      <x:c r="G21" s="7" t="inlineStr">
        <x:is>
          <x:t>Dias da admissão até marco de produtividade.</x:t>
        </x:is>
      </x:c>
      <x:c r="H21" s="7" t="inlineStr">
        <x:is>
          <x:t>data marco − data admissão</x:t>
        </x:is>
      </x:c>
      <x:c r="I21" s="7" t="inlineStr">
        <x:is>
          <x:t>dias</x:t>
        </x:is>
      </x:c>
      <x:c r="J21" s="7" t="inlineStr">
        <x:is>
          <x:t>Menor é melhor</x:t>
        </x:is>
      </x:c>
      <x:c r="K21" s="7" t="inlineStr">
        <x:is>
          <x:t>Mensal</x:t>
        </x:is>
      </x:c>
      <x:c r="L21" s="7" t="inlineStr">
        <x:is>
          <x:t>HRIS + performance</x:t>
        </x:is>
      </x:c>
      <x:c r="M21" s="7" t="inlineStr">
        <x:is>
          <x:t>função, jornada, cohort</x:t>
        </x:is>
      </x:c>
      <x:c r="N21" s="7" t="inlineStr">
        <x:is>
          <x:t>RH / Operação</x:t>
        </x:is>
      </x:c>
      <x:c r="O21" s="7" t="inlineStr">
        <x:is>
          <x:t>Lagging</x:t>
        </x:is>
      </x:c>
      <x:c r="P21" s="7" t="inlineStr">
        <x:is>
          <x:t>Produtividade</x:t>
        </x:is>
      </x:c>
      <x:c r="Q21" s="7" t="inlineStr">
        <x:is>
          <x:t>dias reduzidos × custo diário carregado × pessoas</x:t>
        </x:is>
      </x:c>
      <x:c r="R21" s="7" t="inlineStr">
        <x:is>
          <x:t>Quase-experimental</x:t>
        </x:is>
      </x:c>
      <x:c r="S21" s="7" t="inlineStr">
        <x:is>
          <x:t>Alta</x:t>
        </x:is>
      </x:c>
      <x:c r="T21" s="7" t="inlineStr">
        <x:is>
          <x:t>M2</x:t>
        </x:is>
      </x:c>
    </x:row>
    <x:row r="22" ht="62" customHeight="1">
      <x:c r="A22" s="6" t="inlineStr">
        <x:is>
          <x:t>RH-07</x:t>
        </x:is>
      </x:c>
      <x:c r="B22" s="6" t="inlineStr">
        <x:is>
          <x:t>Empresas / RH</x:t>
        </x:is>
      </x:c>
      <x:c r="C22" s="6" t="inlineStr">
        <x:is>
          <x:t>RH</x:t>
        </x:is>
      </x:c>
      <x:c r="D22" s="6" t="inlineStr">
        <x:is>
          <x:t>Resultado</x:t>
        </x:is>
      </x:c>
      <x:c r="E22" s="6" t="inlineStr">
        <x:is>
          <x:t>Turnover evitável</x:t>
        </x:is>
      </x:c>
      <x:c r="F22" s="6" t="inlineStr">
        <x:is>
          <x:t>A intervenção reduz saídas evitáveis?</x:t>
        </x:is>
      </x:c>
      <x:c r="G22" s="6" t="inlineStr">
        <x:is>
          <x:t>Diferença ajustada de turnover entre expostos e comparáveis.</x:t>
        </x:is>
      </x:c>
      <x:c r="H22" s="6" t="inlineStr">
        <x:is>
          <x:t>turnover controle − turnover exposto</x:t>
        </x:is>
      </x:c>
      <x:c r="I22" s="6" t="inlineStr">
        <x:is>
          <x:t>p.p.</x:t>
        </x:is>
      </x:c>
      <x:c r="J22" s="6" t="inlineStr">
        <x:is>
          <x:t>Maior é melhor</x:t>
        </x:is>
      </x:c>
      <x:c r="K22" s="6" t="inlineStr">
        <x:is>
          <x:t>Trimestral</x:t>
        </x:is>
      </x:c>
      <x:c r="L22" s="6" t="inlineStr">
        <x:is>
          <x:t>HRIS + cohort</x:t>
        </x:is>
      </x:c>
      <x:c r="M22" s="6" t="inlineStr">
        <x:is>
          <x:t>função, gestor, jornada</x:t>
        </x:is>
      </x:c>
      <x:c r="N22" s="6" t="inlineStr">
        <x:is>
          <x:t>People Analytics</x:t>
        </x:is>
      </x:c>
      <x:c r="O22" s="6" t="inlineStr">
        <x:is>
          <x:t>Lagging</x:t>
        </x:is>
      </x:c>
      <x:c r="P22" s="6" t="inlineStr">
        <x:is>
          <x:t>Custo / retenção</x:t>
        </x:is>
      </x:c>
      <x:c r="Q22" s="6" t="inlineStr">
        <x:is>
          <x:t>pessoas × redução turnover × custo reposição × atribuição</x:t>
        </x:is>
      </x:c>
      <x:c r="R22" s="6" t="inlineStr">
        <x:is>
          <x:t>Quase-experimental</x:t>
        </x:is>
      </x:c>
      <x:c r="S22" s="6" t="inlineStr">
        <x:is>
          <x:t>Alta</x:t>
        </x:is>
      </x:c>
      <x:c r="T22" s="6" t="inlineStr">
        <x:is>
          <x:t>M2</x:t>
        </x:is>
      </x:c>
    </x:row>
    <x:row r="23" ht="62" customHeight="1">
      <x:c r="A23" s="7" t="inlineStr">
        <x:is>
          <x:t>RH-08</x:t>
        </x:is>
      </x:c>
      <x:c r="B23" s="7" t="inlineStr">
        <x:is>
          <x:t>Empresas / RH</x:t>
        </x:is>
      </x:c>
      <x:c r="C23" s="7" t="inlineStr">
        <x:is>
          <x:t>RH</x:t>
        </x:is>
      </x:c>
      <x:c r="D23" s="7" t="inlineStr">
        <x:is>
          <x:t>Resultado</x:t>
        </x:is>
      </x:c>
      <x:c r="E23" s="7" t="inlineStr">
        <x:is>
          <x:t>Absenteísmo evitado</x:t>
        </x:is>
      </x:c>
      <x:c r="F23" s="7" t="inlineStr">
        <x:is>
          <x:t>A ação reduz dias perdidos?</x:t>
        </x:is>
      </x:c>
      <x:c r="G23" s="7" t="inlineStr">
        <x:is>
          <x:t>Diferença de dias de ausência ajustada.</x:t>
        </x:is>
      </x:c>
      <x:c r="H23" s="7" t="inlineStr">
        <x:is>
          <x:t>dias baseline − dias após</x:t>
        </x:is>
      </x:c>
      <x:c r="I23" s="7" t="inlineStr">
        <x:is>
          <x:t>dias</x:t>
        </x:is>
      </x:c>
      <x:c r="J23" s="7" t="inlineStr">
        <x:is>
          <x:t>Maior é melhor</x:t>
        </x:is>
      </x:c>
      <x:c r="K23" s="7" t="inlineStr">
        <x:is>
          <x:t>Mensal</x:t>
        </x:is>
      </x:c>
      <x:c r="L23" s="7" t="inlineStr">
        <x:is>
          <x:t>HRIS / saúde</x:t>
        </x:is>
      </x:c>
      <x:c r="M23" s="7" t="inlineStr">
        <x:is>
          <x:t>unidade, cohort, causa</x:t>
        </x:is>
      </x:c>
      <x:c r="N23" s="7" t="inlineStr">
        <x:is>
          <x:t>RH</x:t>
        </x:is>
      </x:c>
      <x:c r="O23" s="7" t="inlineStr">
        <x:is>
          <x:t>Lagging</x:t>
        </x:is>
      </x:c>
      <x:c r="P23" s="7" t="inlineStr">
        <x:is>
          <x:t>Produtividade / custo</x:t>
        </x:is>
      </x:c>
      <x:c r="Q23" s="7" t="inlineStr">
        <x:is>
          <x:t>dias evitados × custo diário × atribuição</x:t>
        </x:is>
      </x:c>
      <x:c r="R23" s="7" t="inlineStr">
        <x:is>
          <x:t>Quase-experimental</x:t>
        </x:is>
      </x:c>
      <x:c r="S23" s="7" t="inlineStr">
        <x:is>
          <x:t>Média</x:t>
        </x:is>
      </x:c>
      <x:c r="T23" s="7" t="inlineStr">
        <x:is>
          <x:t>M2</x:t>
        </x:is>
      </x:c>
    </x:row>
    <x:row r="24" ht="62" customHeight="1">
      <x:c r="A24" s="6" t="inlineStr">
        <x:is>
          <x:t>RH-09</x:t>
        </x:is>
      </x:c>
      <x:c r="B24" s="6" t="inlineStr">
        <x:is>
          <x:t>Empresas / RH</x:t>
        </x:is>
      </x:c>
      <x:c r="C24" s="6" t="inlineStr">
        <x:is>
          <x:t>Executiva</x:t>
        </x:is>
      </x:c>
      <x:c r="D24" s="6" t="inlineStr">
        <x:is>
          <x:t>Impacto</x:t>
        </x:is>
      </x:c>
      <x:c r="E24" s="6" t="inlineStr">
        <x:is>
          <x:t>Ganho de produtividade</x:t>
        </x:is>
      </x:c>
      <x:c r="F24" s="6" t="inlineStr">
        <x:is>
          <x:t>Qual valor do tempo ou output adicional?</x:t>
        </x:is>
      </x:c>
      <x:c r="G24" s="6" t="inlineStr">
        <x:is>
          <x:t>Valor monetizado da melhoria atribuída.</x:t>
        </x:is>
      </x:c>
      <x:c r="H24" s="6" t="inlineStr">
        <x:is>
          <x:t>pessoas × custo anual × % ganho × atribuição</x:t>
        </x:is>
      </x:c>
      <x:c r="I24" s="6" t="inlineStr">
        <x:is>
          <x:t>R$</x:t>
        </x:is>
      </x:c>
      <x:c r="J24" s="6" t="inlineStr">
        <x:is>
          <x:t>Maior é melhor</x:t>
        </x:is>
      </x:c>
      <x:c r="K24" s="6" t="inlineStr">
        <x:is>
          <x:t>Trimestral</x:t>
        </x:is>
      </x:c>
      <x:c r="L24" s="6" t="inlineStr">
        <x:is>
          <x:t>Performance + financeiro</x:t>
        </x:is>
      </x:c>
      <x:c r="M24" s="6" t="inlineStr">
        <x:is>
          <x:t>unidade, programa, cohort</x:t>
        </x:is>
      </x:c>
      <x:c r="N24" s="6" t="inlineStr">
        <x:is>
          <x:t>Financeiro</x:t>
        </x:is>
      </x:c>
      <x:c r="O24" s="6" t="inlineStr">
        <x:is>
          <x:t>Lagging</x:t>
        </x:is>
      </x:c>
      <x:c r="P24" s="6" t="inlineStr">
        <x:is>
          <x:t>Lucro / produtividade</x:t>
        </x:is>
      </x:c>
      <x:c r="Q24" s="6" t="inlineStr">
        <x:is>
          <x:t>fórmula direta com teto de atribuição</x:t>
        </x:is>
      </x:c>
      <x:c r="R24" s="6" t="inlineStr">
        <x:is>
          <x:t>Quase-experimental</x:t>
        </x:is>
      </x:c>
      <x:c r="S24" s="6" t="inlineStr">
        <x:is>
          <x:t>Alta</x:t>
        </x:is>
      </x:c>
      <x:c r="T24" s="6" t="inlineStr">
        <x:is>
          <x:t>M2</x:t>
        </x:is>
      </x:c>
    </x:row>
    <x:row r="25" ht="62" customHeight="1">
      <x:c r="A25" s="7" t="inlineStr">
        <x:is>
          <x:t>RH-10</x:t>
        </x:is>
      </x:c>
      <x:c r="B25" s="7" t="inlineStr">
        <x:is>
          <x:t>Empresas / RH</x:t>
        </x:is>
      </x:c>
      <x:c r="C25" s="7" t="inlineStr">
        <x:is>
          <x:t>Executiva</x:t>
        </x:is>
      </x:c>
      <x:c r="D25" s="7" t="inlineStr">
        <x:is>
          <x:t>Impacto</x:t>
        </x:is>
      </x:c>
      <x:c r="E25" s="7" t="inlineStr">
        <x:is>
          <x:t>ROI de desenvolvimento</x:t>
        </x:is>
      </x:c>
      <x:c r="F25" s="7" t="inlineStr">
        <x:is>
          <x:t>O desenvolvimento compensa o investimento?</x:t>
        </x:is>
      </x:c>
      <x:c r="G25" s="7" t="inlineStr">
        <x:is>
          <x:t>Retorno financeiro líquido das jornadas.</x:t>
        </x:is>
      </x:c>
      <x:c r="H25" s="7" t="inlineStr">
        <x:is>
          <x:t>(benefícios atribuídos − custo total) / custo total</x:t>
        </x:is>
      </x:c>
      <x:c r="I25" s="7" t="inlineStr">
        <x:is>
          <x:t>%</x:t>
        </x:is>
      </x:c>
      <x:c r="J25" s="7" t="inlineStr">
        <x:is>
          <x:t>Maior é melhor</x:t>
        </x:is>
      </x:c>
      <x:c r="K25" s="7" t="inlineStr">
        <x:is>
          <x:t>Trimestral</x:t>
        </x:is>
      </x:c>
      <x:c r="L25" s="7" t="inlineStr">
        <x:is>
          <x:t>Financeiro + outcomes</x:t>
        </x:is>
      </x:c>
      <x:c r="M25" s="7" t="inlineStr">
        <x:is>
          <x:t>programa, unidade, cohort</x:t>
        </x:is>
      </x:c>
      <x:c r="N25" s="7" t="inlineStr">
        <x:is>
          <x:t>Financeiro / RH</x:t>
        </x:is>
      </x:c>
      <x:c r="O25" s="7" t="inlineStr">
        <x:is>
          <x:t>Lagging</x:t>
        </x:is>
      </x:c>
      <x:c r="P25" s="7" t="inlineStr">
        <x:is>
          <x:t>ROI</x:t>
        </x:is>
      </x:c>
      <x:c r="Q25" s="7" t="inlineStr">
        <x:is>
          <x:t>benefício líquido / investimento</x:t>
        </x:is>
      </x:c>
      <x:c r="R25" s="7" t="inlineStr">
        <x:is>
          <x:t>Quase-experimental</x:t>
        </x:is>
      </x:c>
      <x:c r="S25" s="7" t="inlineStr">
        <x:is>
          <x:t>Alta</x:t>
        </x:is>
      </x:c>
      <x:c r="T25" s="7" t="inlineStr">
        <x:is>
          <x:t>M2</x:t>
        </x:is>
      </x:c>
    </x:row>
    <x:row r="26" ht="62" customHeight="1">
      <x:c r="A26" s="6" t="inlineStr">
        <x:is>
          <x:t>COM-01</x:t>
        </x:is>
      </x:c>
      <x:c r="B26" s="6" t="inlineStr">
        <x:is>
          <x:t>Compras / Fornecedores</x:t>
        </x:is>
      </x:c>
      <x:c r="C26" s="6" t="inlineStr">
        <x:is>
          <x:t>Compras</x:t>
        </x:is>
      </x:c>
      <x:c r="D26" s="6" t="inlineStr">
        <x:is>
          <x:t>Insumo</x:t>
        </x:is>
      </x:c>
      <x:c r="E26" s="6" t="inlineStr">
        <x:is>
          <x:t>Cobertura de categorias</x:t>
        </x:is>
      </x:c>
      <x:c r="F26" s="6" t="inlineStr">
        <x:is>
          <x:t>Há oferta qualificada para as demandas críticas?</x:t>
        </x:is>
      </x:c>
      <x:c r="G26" s="6" t="inlineStr">
        <x:is>
          <x:t>Categorias com fornecedores elegíveis.</x:t>
        </x:is>
      </x:c>
      <x:c r="H26" s="6" t="inlineStr">
        <x:is>
          <x:t>categorias cobertas / categorias prioritárias</x:t>
        </x:is>
      </x:c>
      <x:c r="I26" s="6" t="inlineStr">
        <x:is>
          <x:t>%</x:t>
        </x:is>
      </x:c>
      <x:c r="J26" s="6" t="inlineStr">
        <x:is>
          <x:t>Maior é melhor</x:t>
        </x:is>
      </x:c>
      <x:c r="K26" s="6" t="inlineStr">
        <x:is>
          <x:t>Mensal</x:t>
        </x:is>
      </x:c>
      <x:c r="L26" s="6" t="inlineStr">
        <x:is>
          <x:t>Fornecedor + categoria</x:t>
        </x:is>
      </x:c>
      <x:c r="M26" s="6" t="inlineStr">
        <x:is>
          <x:t>categoria, região, porte</x:t>
        </x:is>
      </x:c>
      <x:c r="N26" s="6" t="inlineStr">
        <x:is>
          <x:t>Compras</x:t>
        </x:is>
      </x:c>
      <x:c r="O26" s="6" t="inlineStr">
        <x:is>
          <x:t>Leading</x:t>
        </x:is>
      </x:c>
      <x:c r="P26" s="6" t="inlineStr">
        <x:is>
          <x:t>Risco / continuidade</x:t>
        </x:is>
      </x:c>
      <x:c r="Q26" s="6" t="inlineStr">
        <x:is>
          <x:t>não monetizar isoladamente</x:t>
        </x:is>
      </x:c>
      <x:c r="R26" s="6" t="inlineStr">
        <x:is>
          <x:t>Descritivo</x:t>
        </x:is>
      </x:c>
      <x:c r="S26" s="6" t="inlineStr">
        <x:is>
          <x:t>Alta</x:t>
        </x:is>
      </x:c>
      <x:c r="T26" s="6" t="inlineStr">
        <x:is>
          <x:t>M0</x:t>
        </x:is>
      </x:c>
    </x:row>
    <x:row r="27" ht="62" customHeight="1">
      <x:c r="A27" s="7" t="inlineStr">
        <x:is>
          <x:t>COM-02</x:t>
        </x:is>
      </x:c>
      <x:c r="B27" s="7" t="inlineStr">
        <x:is>
          <x:t>Compras / Fornecedores</x:t>
        </x:is>
      </x:c>
      <x:c r="C27" s="7" t="inlineStr">
        <x:is>
          <x:t>Compras</x:t>
        </x:is>
      </x:c>
      <x:c r="D27" s="7" t="inlineStr">
        <x:is>
          <x:t>Processo</x:t>
        </x:is>
      </x:c>
      <x:c r="E27" s="7" t="inlineStr">
        <x:is>
          <x:t>Tempo de homologação</x:t>
        </x:is>
      </x:c>
      <x:c r="F27" s="7" t="inlineStr">
        <x:is>
          <x:t>Quanto tempo leva para qualificar oferta?</x:t>
        </x:is>
      </x:c>
      <x:c r="G27" s="7" t="inlineStr">
        <x:is>
          <x:t>Dias entre início e aprovação.</x:t>
        </x:is>
      </x:c>
      <x:c r="H27" s="7" t="inlineStr">
        <x:is>
          <x:t>data aprovação − data início</x:t>
        </x:is>
      </x:c>
      <x:c r="I27" s="7" t="inlineStr">
        <x:is>
          <x:t>dias</x:t>
        </x:is>
      </x:c>
      <x:c r="J27" s="7" t="inlineStr">
        <x:is>
          <x:t>Menor é melhor</x:t>
        </x:is>
      </x:c>
      <x:c r="K27" s="7" t="inlineStr">
        <x:is>
          <x:t>Mensal</x:t>
        </x:is>
      </x:c>
      <x:c r="L27" s="7" t="inlineStr">
        <x:is>
          <x:t>Compras + fornecedor</x:t>
        </x:is>
      </x:c>
      <x:c r="M27" s="7" t="inlineStr">
        <x:is>
          <x:t>categoria, complexidade</x:t>
        </x:is>
      </x:c>
      <x:c r="N27" s="7" t="inlineStr">
        <x:is>
          <x:t>Compras</x:t>
        </x:is>
      </x:c>
      <x:c r="O27" s="7" t="inlineStr">
        <x:is>
          <x:t>Lagging</x:t>
        </x:is>
      </x:c>
      <x:c r="P27" s="7" t="inlineStr">
        <x:is>
          <x:t>Custo / ciclo</x:t>
        </x:is>
      </x:c>
      <x:c r="Q27" s="7" t="inlineStr">
        <x:is>
          <x:t>dias reduzidos × custo da equipe + custo de atraso</x:t>
        </x:is>
      </x:c>
      <x:c r="R27" s="7" t="inlineStr">
        <x:is>
          <x:t>Quase-experimental</x:t>
        </x:is>
      </x:c>
      <x:c r="S27" s="7" t="inlineStr">
        <x:is>
          <x:t>Alta</x:t>
        </x:is>
      </x:c>
      <x:c r="T27" s="7" t="inlineStr">
        <x:is>
          <x:t>M1</x:t>
        </x:is>
      </x:c>
    </x:row>
    <x:row r="28" ht="62" customHeight="1">
      <x:c r="A28" s="6" t="inlineStr">
        <x:is>
          <x:t>COM-03</x:t>
        </x:is>
      </x:c>
      <x:c r="B28" s="6" t="inlineStr">
        <x:is>
          <x:t>Compras / Fornecedores</x:t>
        </x:is>
      </x:c>
      <x:c r="C28" s="6" t="inlineStr">
        <x:is>
          <x:t>Compras</x:t>
        </x:is>
      </x:c>
      <x:c r="D28" s="6" t="inlineStr">
        <x:is>
          <x:t>Processo</x:t>
        </x:is>
      </x:c>
      <x:c r="E28" s="6" t="inlineStr">
        <x:is>
          <x:t>Taxa de match elegível</x:t>
        </x:is>
      </x:c>
      <x:c r="F28" s="6" t="inlineStr">
        <x:is>
          <x:t>A plataforma encontra oferta realmente apta?</x:t>
        </x:is>
      </x:c>
      <x:c r="G28" s="6" t="inlineStr">
        <x:is>
          <x:t>Matches que atendem requisitos obrigatórios.</x:t>
        </x:is>
      </x:c>
      <x:c r="H28" s="6" t="inlineStr">
        <x:is>
          <x:t>matches elegíveis / matches gerados</x:t>
        </x:is>
      </x:c>
      <x:c r="I28" s="6" t="inlineStr">
        <x:is>
          <x:t>%</x:t>
        </x:is>
      </x:c>
      <x:c r="J28" s="6" t="inlineStr">
        <x:is>
          <x:t>Maior é melhor</x:t>
        </x:is>
      </x:c>
      <x:c r="K28" s="6" t="inlineStr">
        <x:is>
          <x:t>Semanal</x:t>
        </x:is>
      </x:c>
      <x:c r="L28" s="6" t="inlineStr">
        <x:is>
          <x:t>Match + oportunidade</x:t>
        </x:is>
      </x:c>
      <x:c r="M28" s="6" t="inlineStr">
        <x:is>
          <x:t>categoria, modelo, entidade</x:t>
        </x:is>
      </x:c>
      <x:c r="N28" s="6" t="inlineStr">
        <x:is>
          <x:t>Inteligência</x:t>
        </x:is>
      </x:c>
      <x:c r="O28" s="6" t="inlineStr">
        <x:is>
          <x:t>Leading</x:t>
        </x:is>
      </x:c>
      <x:c r="P28" s="6" t="inlineStr">
        <x:is>
          <x:t>Conversão / risco</x:t>
        </x:is>
      </x:c>
      <x:c r="Q28" s="6" t="inlineStr">
        <x:is>
          <x:t>valor de ciclo evitado por match inválido</x:t>
        </x:is>
      </x:c>
      <x:c r="R28" s="6" t="inlineStr">
        <x:is>
          <x:t>Descritivo</x:t>
        </x:is>
      </x:c>
      <x:c r="S28" s="6" t="inlineStr">
        <x:is>
          <x:t>Alta</x:t>
        </x:is>
      </x:c>
      <x:c r="T28" s="6" t="inlineStr">
        <x:is>
          <x:t>M0</x:t>
        </x:is>
      </x:c>
    </x:row>
    <x:row r="29" ht="62" customHeight="1">
      <x:c r="A29" s="7" t="inlineStr">
        <x:is>
          <x:t>COM-04</x:t>
        </x:is>
      </x:c>
      <x:c r="B29" s="7" t="inlineStr">
        <x:is>
          <x:t>Compras / Fornecedores</x:t>
        </x:is>
      </x:c>
      <x:c r="C29" s="7" t="inlineStr">
        <x:is>
          <x:t>Compras</x:t>
        </x:is>
      </x:c>
      <x:c r="D29" s="7" t="inlineStr">
        <x:is>
          <x:t>Processo</x:t>
        </x:is>
      </x:c>
      <x:c r="E29" s="7" t="inlineStr">
        <x:is>
          <x:t>Ciclo de contratação</x:t>
        </x:is>
      </x:c>
      <x:c r="F29" s="7" t="inlineStr">
        <x:is>
          <x:t>Quanto tempo do pedido ao contrato?</x:t>
        </x:is>
      </x:c>
      <x:c r="G29" s="7" t="inlineStr">
        <x:is>
          <x:t>Dias entre demanda e assinatura.</x:t>
        </x:is>
      </x:c>
      <x:c r="H29" s="7" t="inlineStr">
        <x:is>
          <x:t>data contrato − data demanda</x:t>
        </x:is>
      </x:c>
      <x:c r="I29" s="7" t="inlineStr">
        <x:is>
          <x:t>dias</x:t>
        </x:is>
      </x:c>
      <x:c r="J29" s="7" t="inlineStr">
        <x:is>
          <x:t>Menor é melhor</x:t>
        </x:is>
      </x:c>
      <x:c r="K29" s="7" t="inlineStr">
        <x:is>
          <x:t>Mensal</x:t>
        </x:is>
      </x:c>
      <x:c r="L29" s="7" t="inlineStr">
        <x:is>
          <x:t>Oportunidade + contrato</x:t>
        </x:is>
      </x:c>
      <x:c r="M29" s="7" t="inlineStr">
        <x:is>
          <x:t>categoria, valor, complexidade</x:t>
        </x:is>
      </x:c>
      <x:c r="N29" s="7" t="inlineStr">
        <x:is>
          <x:t>Compras</x:t>
        </x:is>
      </x:c>
      <x:c r="O29" s="7" t="inlineStr">
        <x:is>
          <x:t>Lagging</x:t>
        </x:is>
      </x:c>
      <x:c r="P29" s="7" t="inlineStr">
        <x:is>
          <x:t>Custo / receita</x:t>
        </x:is>
      </x:c>
      <x:c r="Q29" s="7" t="inlineStr">
        <x:is>
          <x:t>dias reduzidos × custo do atraso</x:t>
        </x:is>
      </x:c>
      <x:c r="R29" s="7" t="inlineStr">
        <x:is>
          <x:t>Quase-experimental</x:t>
        </x:is>
      </x:c>
      <x:c r="S29" s="7" t="inlineStr">
        <x:is>
          <x:t>Alta</x:t>
        </x:is>
      </x:c>
      <x:c r="T29" s="7" t="inlineStr">
        <x:is>
          <x:t>M1</x:t>
        </x:is>
      </x:c>
    </x:row>
    <x:row r="30" ht="62" customHeight="1">
      <x:c r="A30" s="6" t="inlineStr">
        <x:is>
          <x:t>COM-05</x:t>
        </x:is>
      </x:c>
      <x:c r="B30" s="6" t="inlineStr">
        <x:is>
          <x:t>Compras / Fornecedores</x:t>
        </x:is>
      </x:c>
      <x:c r="C30" s="6" t="inlineStr">
        <x:is>
          <x:t>Compras</x:t>
        </x:is>
      </x:c>
      <x:c r="D30" s="6" t="inlineStr">
        <x:is>
          <x:t>Resultado</x:t>
        </x:is>
      </x:c>
      <x:c r="E30" s="6" t="inlineStr">
        <x:is>
          <x:t>Conversão match → contrato</x:t>
        </x:is>
      </x:c>
      <x:c r="F30" s="6" t="inlineStr">
        <x:is>
          <x:t>Quantas conexões viram negócio?</x:t>
        </x:is>
      </x:c>
      <x:c r="G30" s="6" t="inlineStr">
        <x:is>
          <x:t>Contratos originados de matches aceitos.</x:t>
        </x:is>
      </x:c>
      <x:c r="H30" s="6" t="inlineStr">
        <x:is>
          <x:t>contratos / matches aceitos</x:t>
        </x:is>
      </x:c>
      <x:c r="I30" s="6" t="inlineStr">
        <x:is>
          <x:t>%</x:t>
        </x:is>
      </x:c>
      <x:c r="J30" s="6" t="inlineStr">
        <x:is>
          <x:t>Maior é melhor</x:t>
        </x:is>
      </x:c>
      <x:c r="K30" s="6" t="inlineStr">
        <x:is>
          <x:t>Mensal</x:t>
        </x:is>
      </x:c>
      <x:c r="L30" s="6" t="inlineStr">
        <x:is>
          <x:t>Match + contrato</x:t>
        </x:is>
      </x:c>
      <x:c r="M30" s="6" t="inlineStr">
        <x:is>
          <x:t>categoria, entidade, empresa</x:t>
        </x:is>
      </x:c>
      <x:c r="N30" s="6" t="inlineStr">
        <x:is>
          <x:t>Marketplace</x:t>
        </x:is>
      </x:c>
      <x:c r="O30" s="6" t="inlineStr">
        <x:is>
          <x:t>Lagging</x:t>
        </x:is>
      </x:c>
      <x:c r="P30" s="6" t="inlineStr">
        <x:is>
          <x:t>Receita / eficiência</x:t>
        </x:is>
      </x:c>
      <x:c r="Q30" s="6" t="inlineStr">
        <x:is>
          <x:t>contratos incrementais × margem média</x:t>
        </x:is>
      </x:c>
      <x:c r="R30" s="6" t="inlineStr">
        <x:is>
          <x:t>Quase-experimental</x:t>
        </x:is>
      </x:c>
      <x:c r="S30" s="6" t="inlineStr">
        <x:is>
          <x:t>Alta</x:t>
        </x:is>
      </x:c>
      <x:c r="T30" s="6" t="inlineStr">
        <x:is>
          <x:t>M1</x:t>
        </x:is>
      </x:c>
    </x:row>
    <x:row r="31" ht="62" customHeight="1">
      <x:c r="A31" s="7" t="inlineStr">
        <x:is>
          <x:t>COM-06</x:t>
        </x:is>
      </x:c>
      <x:c r="B31" s="7" t="inlineStr">
        <x:is>
          <x:t>Compras / Fornecedores</x:t>
        </x:is>
      </x:c>
      <x:c r="C31" s="7" t="inlineStr">
        <x:is>
          <x:t>Executiva</x:t>
        </x:is>
      </x:c>
      <x:c r="D31" s="7" t="inlineStr">
        <x:is>
          <x:t>Impacto</x:t>
        </x:is>
      </x:c>
      <x:c r="E31" s="7" t="inlineStr">
        <x:is>
          <x:t>Saving comprovado</x:t>
        </x:is>
      </x:c>
      <x:c r="F31" s="7" t="inlineStr">
        <x:is>
          <x:t>Quanto custo foi reduzido sem perda de qualidade?</x:t>
        </x:is>
      </x:c>
      <x:c r="G31" s="7" t="inlineStr">
        <x:is>
          <x:t>Diferença ajustada entre preço de referência e realizado.</x:t>
        </x:is>
      </x:c>
      <x:c r="H31" s="7" t="inlineStr">
        <x:is>
          <x:t>(preço referência − preço realizado) × volume × atribuição</x:t>
        </x:is>
      </x:c>
      <x:c r="I31" s="7" t="inlineStr">
        <x:is>
          <x:t>R$</x:t>
        </x:is>
      </x:c>
      <x:c r="J31" s="7" t="inlineStr">
        <x:is>
          <x:t>Maior é melhor</x:t>
        </x:is>
      </x:c>
      <x:c r="K31" s="7" t="inlineStr">
        <x:is>
          <x:t>Mensal</x:t>
        </x:is>
      </x:c>
      <x:c r="L31" s="7" t="inlineStr">
        <x:is>
          <x:t>Compras + financeiro</x:t>
        </x:is>
      </x:c>
      <x:c r="M31" s="7" t="inlineStr">
        <x:is>
          <x:t>categoria, contrato, empresa</x:t>
        </x:is>
      </x:c>
      <x:c r="N31" s="7" t="inlineStr">
        <x:is>
          <x:t>Compras / Financeiro</x:t>
        </x:is>
      </x:c>
      <x:c r="O31" s="7" t="inlineStr">
        <x:is>
          <x:t>Lagging</x:t>
        </x:is>
      </x:c>
      <x:c r="P31" s="7" t="inlineStr">
        <x:is>
          <x:t>Custo / margem</x:t>
        </x:is>
      </x:c>
      <x:c r="Q31" s="7" t="inlineStr">
        <x:is>
          <x:t>saving validado pela controladoria</x:t>
        </x:is>
      </x:c>
      <x:c r="R31" s="7" t="inlineStr">
        <x:is>
          <x:t>Quase-experimental</x:t>
        </x:is>
      </x:c>
      <x:c r="S31" s="7" t="inlineStr">
        <x:is>
          <x:t>Alta</x:t>
        </x:is>
      </x:c>
      <x:c r="T31" s="7" t="inlineStr">
        <x:is>
          <x:t>M2</x:t>
        </x:is>
      </x:c>
    </x:row>
    <x:row r="32" ht="62" customHeight="1">
      <x:c r="A32" s="6" t="inlineStr">
        <x:is>
          <x:t>COM-07</x:t>
        </x:is>
      </x:c>
      <x:c r="B32" s="6" t="inlineStr">
        <x:is>
          <x:t>Compras / Fornecedores</x:t>
        </x:is>
      </x:c>
      <x:c r="C32" s="6" t="inlineStr">
        <x:is>
          <x:t>Compras</x:t>
        </x:is>
      </x:c>
      <x:c r="D32" s="6" t="inlineStr">
        <x:is>
          <x:t>Resultado</x:t>
        </x:is>
      </x:c>
      <x:c r="E32" s="6" t="inlineStr">
        <x:is>
          <x:t>Desempenho do fornecedor</x:t>
        </x:is>
      </x:c>
      <x:c r="F32" s="6" t="inlineStr">
        <x:is>
          <x:t>A nova oferta entrega qualidade, prazo e serviço?</x:t>
        </x:is>
      </x:c>
      <x:c r="G32" s="6" t="inlineStr">
        <x:is>
          <x:t>Score pós-contratação.</x:t>
        </x:is>
      </x:c>
      <x:c r="H32" s="6" t="inlineStr">
        <x:is>
          <x:t>média ponderada(qualidade, prazo, SLA, risco)</x:t>
        </x:is>
      </x:c>
      <x:c r="I32" s="6" t="inlineStr">
        <x:is>
          <x:t>score</x:t>
        </x:is>
      </x:c>
      <x:c r="J32" s="6" t="inlineStr">
        <x:is>
          <x:t>Maior é melhor</x:t>
        </x:is>
      </x:c>
      <x:c r="K32" s="6" t="inlineStr">
        <x:is>
          <x:t>Mensal</x:t>
        </x:is>
      </x:c>
      <x:c r="L32" s="6" t="inlineStr">
        <x:is>
          <x:t>SRM / contrato</x:t>
        </x:is>
      </x:c>
      <x:c r="M32" s="6" t="inlineStr">
        <x:is>
          <x:t>categoria, fornecedor</x:t>
        </x:is>
      </x:c>
      <x:c r="N32" s="6" t="inlineStr">
        <x:is>
          <x:t>Compras</x:t>
        </x:is>
      </x:c>
      <x:c r="O32" s="6" t="inlineStr">
        <x:is>
          <x:t>Lagging</x:t>
        </x:is>
      </x:c>
      <x:c r="P32" s="6" t="inlineStr">
        <x:is>
          <x:t>Risco / custo</x:t>
        </x:is>
      </x:c>
      <x:c r="Q32" s="6" t="inlineStr">
        <x:is>
          <x:t>falhas evitadas × custo médio</x:t>
        </x:is>
      </x:c>
      <x:c r="R32" s="6" t="inlineStr">
        <x:is>
          <x:t>Correlação</x:t>
        </x:is>
      </x:c>
      <x:c r="S32" s="6" t="inlineStr">
        <x:is>
          <x:t>Média</x:t>
        </x:is>
      </x:c>
      <x:c r="T32" s="6" t="inlineStr">
        <x:is>
          <x:t>M2</x:t>
        </x:is>
      </x:c>
    </x:row>
    <x:row r="33" ht="62" customHeight="1">
      <x:c r="A33" s="7" t="inlineStr">
        <x:is>
          <x:t>COM-08</x:t>
        </x:is>
      </x:c>
      <x:c r="B33" s="7" t="inlineStr">
        <x:is>
          <x:t>Compras / Fornecedores</x:t>
        </x:is>
      </x:c>
      <x:c r="C33" s="7" t="inlineStr">
        <x:is>
          <x:t>Executiva</x:t>
        </x:is>
      </x:c>
      <x:c r="D33" s="7" t="inlineStr">
        <x:is>
          <x:t>Impacto</x:t>
        </x:is>
      </x:c>
      <x:c r="E33" s="7" t="inlineStr">
        <x:is>
          <x:t>Spend influenciado pela HUB</x:t>
        </x:is>
      </x:c>
      <x:c r="F33" s="7" t="inlineStr">
        <x:is>
          <x:t>Qual volume de compras passou pela inteligência?</x:t>
        </x:is>
      </x:c>
      <x:c r="G33" s="7" t="inlineStr">
        <x:is>
          <x:t>Valor de contratos com touchpoint rastreado.</x:t>
        </x:is>
      </x:c>
      <x:c r="H33" s="7" t="inlineStr">
        <x:is>
          <x:t>Σ valor dos contratos influenciados</x:t>
        </x:is>
      </x:c>
      <x:c r="I33" s="7" t="inlineStr">
        <x:is>
          <x:t>R$</x:t>
        </x:is>
      </x:c>
      <x:c r="J33" s="7" t="inlineStr">
        <x:is>
          <x:t>Contextual</x:t>
        </x:is>
      </x:c>
      <x:c r="K33" s="7" t="inlineStr">
        <x:is>
          <x:t>Mensal</x:t>
        </x:is>
      </x:c>
      <x:c r="L33" s="7" t="inlineStr">
        <x:is>
          <x:t>Contrato + atribuição</x:t>
        </x:is>
      </x:c>
      <x:c r="M33" s="7" t="inlineStr">
        <x:is>
          <x:t>categoria, empresa, entidade</x:t>
        </x:is>
      </x:c>
      <x:c r="N33" s="7" t="inlineStr">
        <x:is>
          <x:t>Marketplace</x:t>
        </x:is>
      </x:c>
      <x:c r="O33" s="7" t="inlineStr">
        <x:is>
          <x:t>Lagging</x:t>
        </x:is>
      </x:c>
      <x:c r="P33" s="7" t="inlineStr">
        <x:is>
          <x:t>GMV / take rate</x:t>
        </x:is>
      </x:c>
      <x:c r="Q33" s="7" t="inlineStr">
        <x:is>
          <x:t>spend influenciado × take rate</x:t>
        </x:is>
      </x:c>
      <x:c r="R33" s="7" t="inlineStr">
        <x:is>
          <x:t>Descritivo</x:t>
        </x:is>
      </x:c>
      <x:c r="S33" s="7" t="inlineStr">
        <x:is>
          <x:t>Alta</x:t>
        </x:is>
      </x:c>
      <x:c r="T33" s="7" t="inlineStr">
        <x:is>
          <x:t>M1</x:t>
        </x:is>
      </x:c>
    </x:row>
    <x:row r="34" ht="62" customHeight="1">
      <x:c r="A34" s="6" t="inlineStr">
        <x:is>
          <x:t>COM-09</x:t>
        </x:is>
      </x:c>
      <x:c r="B34" s="6" t="inlineStr">
        <x:is>
          <x:t>Compras / Fornecedores</x:t>
        </x:is>
      </x:c>
      <x:c r="C34" s="6" t="inlineStr">
        <x:is>
          <x:t>Executiva</x:t>
        </x:is>
      </x:c>
      <x:c r="D34" s="6" t="inlineStr">
        <x:is>
          <x:t>Impacto</x:t>
        </x:is>
      </x:c>
      <x:c r="E34" s="6" t="inlineStr">
        <x:is>
          <x:t>Risco de fornecimento evitado</x:t>
        </x:is>
      </x:c>
      <x:c r="F34" s="6" t="inlineStr">
        <x:is>
          <x:t>Qual perda esperada foi reduzida?</x:t>
        </x:is>
      </x:c>
      <x:c r="G34" s="6" t="inlineStr">
        <x:is>
          <x:t>Redução de probabilidade/impacto após mitigação.</x:t>
        </x:is>
      </x:c>
      <x:c r="H34" s="6" t="inlineStr">
        <x:is>
          <x:t>perda esperada baseline × redução × atribuição</x:t>
        </x:is>
      </x:c>
      <x:c r="I34" s="6" t="inlineStr">
        <x:is>
          <x:t>R$</x:t>
        </x:is>
      </x:c>
      <x:c r="J34" s="6" t="inlineStr">
        <x:is>
          <x:t>Maior é melhor</x:t>
        </x:is>
      </x:c>
      <x:c r="K34" s="6" t="inlineStr">
        <x:is>
          <x:t>Trimestral</x:t>
        </x:is>
      </x:c>
      <x:c r="L34" s="6" t="inlineStr">
        <x:is>
          <x:t>GRC + SRM</x:t>
        </x:is>
      </x:c>
      <x:c r="M34" s="6" t="inlineStr">
        <x:is>
          <x:t>categoria, risco, empresa</x:t>
        </x:is>
      </x:c>
      <x:c r="N34" s="6" t="inlineStr">
        <x:is>
          <x:t>Riscos</x:t>
        </x:is>
      </x:c>
      <x:c r="O34" s="6" t="inlineStr">
        <x:is>
          <x:t>Lagging</x:t>
        </x:is>
      </x:c>
      <x:c r="P34" s="6" t="inlineStr">
        <x:is>
          <x:t>Risco evitado</x:t>
        </x:is>
      </x:c>
      <x:c r="Q34" s="6" t="inlineStr">
        <x:is>
          <x:t>probabilidade × impacto × delta × atribuição</x:t>
        </x:is>
      </x:c>
      <x:c r="R34" s="6" t="inlineStr">
        <x:is>
          <x:t>Quase-experimental</x:t>
        </x:is>
      </x:c>
      <x:c r="S34" s="6" t="inlineStr">
        <x:is>
          <x:t>Média</x:t>
        </x:is>
      </x:c>
      <x:c r="T34" s="6" t="inlineStr">
        <x:is>
          <x:t>M2</x:t>
        </x:is>
      </x:c>
    </x:row>
    <x:row r="35" ht="62" customHeight="1">
      <x:c r="A35" s="7" t="inlineStr">
        <x:is>
          <x:t>ENT-01</x:t>
        </x:is>
      </x:c>
      <x:c r="B35" s="7" t="inlineStr">
        <x:is>
          <x:t>Entidades / Ecossistema</x:t>
        </x:is>
      </x:c>
      <x:c r="C35" s="7" t="inlineStr">
        <x:is>
          <x:t>Entidade</x:t>
        </x:is>
      </x:c>
      <x:c r="D35" s="7" t="inlineStr">
        <x:is>
          <x:t>Insumo</x:t>
        </x:is>
      </x:c>
      <x:c r="E35" s="7" t="inlineStr">
        <x:is>
          <x:t>Cobertura de associados</x:t>
        </x:is>
      </x:c>
      <x:c r="F35" s="7" t="inlineStr">
        <x:is>
          <x:t>Quanto do ecossistema possui dados utilizáveis?</x:t>
        </x:is>
      </x:c>
      <x:c r="G35" s="7" t="inlineStr">
        <x:is>
          <x:t>Associados ativos integrados.</x:t>
        </x:is>
      </x:c>
      <x:c r="H35" s="7" t="inlineStr">
        <x:is>
          <x:t>associados com dados / associados ativos</x:t>
        </x:is>
      </x:c>
      <x:c r="I35" s="7" t="inlineStr">
        <x:is>
          <x:t>%</x:t>
        </x:is>
      </x:c>
      <x:c r="J35" s="7" t="inlineStr">
        <x:is>
          <x:t>Maior é melhor</x:t>
        </x:is>
      </x:c>
      <x:c r="K35" s="7" t="inlineStr">
        <x:is>
          <x:t>Mensal</x:t>
        </x:is>
      </x:c>
      <x:c r="L35" s="7" t="inlineStr">
        <x:is>
          <x:t>CRM + vínculo</x:t>
        </x:is>
      </x:c>
      <x:c r="M35" s="7" t="inlineStr">
        <x:is>
          <x:t>setor, região, porte</x:t>
        </x:is>
      </x:c>
      <x:c r="N35" s="7" t="inlineStr">
        <x:is>
          <x:t>Entidade</x:t>
        </x:is>
      </x:c>
      <x:c r="O35" s="7" t="inlineStr">
        <x:is>
          <x:t>Leading</x:t>
        </x:is>
      </x:c>
      <x:c r="P35" s="7" t="inlineStr">
        <x:is>
          <x:t>Retenção / inteligência</x:t>
        </x:is>
      </x:c>
      <x:c r="Q35" s="7" t="inlineStr">
        <x:is>
          <x:t>não monetizar isoladamente</x:t>
        </x:is>
      </x:c>
      <x:c r="R35" s="7" t="inlineStr">
        <x:is>
          <x:t>Descritivo</x:t>
        </x:is>
      </x:c>
      <x:c r="S35" s="7" t="inlineStr">
        <x:is>
          <x:t>Alta</x:t>
        </x:is>
      </x:c>
      <x:c r="T35" s="7" t="inlineStr">
        <x:is>
          <x:t>M0</x:t>
        </x:is>
      </x:c>
    </x:row>
    <x:row r="36" ht="62" customHeight="1">
      <x:c r="A36" s="6" t="inlineStr">
        <x:is>
          <x:t>ENT-02</x:t>
        </x:is>
      </x:c>
      <x:c r="B36" s="6" t="inlineStr">
        <x:is>
          <x:t>Entidades / Ecossistema</x:t>
        </x:is>
      </x:c>
      <x:c r="C36" s="6" t="inlineStr">
        <x:is>
          <x:t>Entidade</x:t>
        </x:is>
      </x:c>
      <x:c r="D36" s="6" t="inlineStr">
        <x:is>
          <x:t>Ação</x:t>
        </x:is>
      </x:c>
      <x:c r="E36" s="6" t="inlineStr">
        <x:is>
          <x:t>Ativação de associados</x:t>
        </x:is>
      </x:c>
      <x:c r="F36" s="6" t="inlineStr">
        <x:is>
          <x:t>Quantos associados usam ao menos um serviço de valor?</x:t>
        </x:is>
      </x:c>
      <x:c r="G36" s="6" t="inlineStr">
        <x:is>
          <x:t>Associados ativos em 30 dias.</x:t>
        </x:is>
      </x:c>
      <x:c r="H36" s="6" t="inlineStr">
        <x:is>
          <x:t>associados com evento-chave / associados elegíveis</x:t>
        </x:is>
      </x:c>
      <x:c r="I36" s="6" t="inlineStr">
        <x:is>
          <x:t>%</x:t>
        </x:is>
      </x:c>
      <x:c r="J36" s="6" t="inlineStr">
        <x:is>
          <x:t>Maior é melhor</x:t>
        </x:is>
      </x:c>
      <x:c r="K36" s="6" t="inlineStr">
        <x:is>
          <x:t>Mensal</x:t>
        </x:is>
      </x:c>
      <x:c r="L36" s="6" t="inlineStr">
        <x:is>
          <x:t>Eventos + CRM</x:t>
        </x:is>
      </x:c>
      <x:c r="M36" s="6" t="inlineStr">
        <x:is>
          <x:t>serviço, segmento</x:t>
        </x:is>
      </x:c>
      <x:c r="N36" s="6" t="inlineStr">
        <x:is>
          <x:t>CS</x:t>
        </x:is>
      </x:c>
      <x:c r="O36" s="6" t="inlineStr">
        <x:is>
          <x:t>Leading</x:t>
        </x:is>
      </x:c>
      <x:c r="P36" s="6" t="inlineStr">
        <x:is>
          <x:t>Retenção / expansão</x:t>
        </x:is>
      </x:c>
      <x:c r="Q36" s="6" t="inlineStr">
        <x:is>
          <x:t>uplift de renovação × receita média</x:t>
        </x:is>
      </x:c>
      <x:c r="R36" s="6" t="inlineStr">
        <x:is>
          <x:t>Descritivo</x:t>
        </x:is>
      </x:c>
      <x:c r="S36" s="6" t="inlineStr">
        <x:is>
          <x:t>Alta</x:t>
        </x:is>
      </x:c>
      <x:c r="T36" s="6" t="inlineStr">
        <x:is>
          <x:t>M0</x:t>
        </x:is>
      </x:c>
    </x:row>
    <x:row r="37" ht="62" customHeight="1">
      <x:c r="A37" s="7" t="inlineStr">
        <x:is>
          <x:t>ENT-03</x:t>
        </x:is>
      </x:c>
      <x:c r="B37" s="7" t="inlineStr">
        <x:is>
          <x:t>Entidades / Ecossistema</x:t>
        </x:is>
      </x:c>
      <x:c r="C37" s="7" t="inlineStr">
        <x:is>
          <x:t>Entidade</x:t>
        </x:is>
      </x:c>
      <x:c r="D37" s="7" t="inlineStr">
        <x:is>
          <x:t>Resultado</x:t>
        </x:is>
      </x:c>
      <x:c r="E37" s="7" t="inlineStr">
        <x:is>
          <x:t>Densidade da rede</x:t>
        </x:is>
      </x:c>
      <x:c r="F37" s="7" t="inlineStr">
        <x:is>
          <x:t>O ecossistema cria conexões úteis?</x:t>
        </x:is>
      </x:c>
      <x:c r="G37" s="7" t="inlineStr">
        <x:is>
          <x:t>Conexões efetivas sobre conexões possíveis/qualificadas.</x:t>
        </x:is>
      </x:c>
      <x:c r="H37" s="7" t="inlineStr">
        <x:is>
          <x:t>conexões efetivas / conexões qualificadas possíveis</x:t>
        </x:is>
      </x:c>
      <x:c r="I37" s="7" t="inlineStr">
        <x:is>
          <x:t>%</x:t>
        </x:is>
      </x:c>
      <x:c r="J37" s="7" t="inlineStr">
        <x:is>
          <x:t>Maior é melhor</x:t>
        </x:is>
      </x:c>
      <x:c r="K37" s="7" t="inlineStr">
        <x:is>
          <x:t>Mensal</x:t>
        </x:is>
      </x:c>
      <x:c r="L37" s="7" t="inlineStr">
        <x:is>
          <x:t>Match + vínculo</x:t>
        </x:is>
      </x:c>
      <x:c r="M37" s="7" t="inlineStr">
        <x:is>
          <x:t>tipo de conexão, setor</x:t>
        </x:is>
      </x:c>
      <x:c r="N37" s="7" t="inlineStr">
        <x:is>
          <x:t>Inteligência</x:t>
        </x:is>
      </x:c>
      <x:c r="O37" s="7" t="inlineStr">
        <x:is>
          <x:t>Lagging</x:t>
        </x:is>
      </x:c>
      <x:c r="P37" s="7" t="inlineStr">
        <x:is>
          <x:t>Receita / inovação</x:t>
        </x:is>
      </x:c>
      <x:c r="Q37" s="7" t="inlineStr">
        <x:is>
          <x:t>conexões incrementais × valor médio</x:t>
        </x:is>
      </x:c>
      <x:c r="R37" s="7" t="inlineStr">
        <x:is>
          <x:t>Correlação</x:t>
        </x:is>
      </x:c>
      <x:c r="S37" s="7" t="inlineStr">
        <x:is>
          <x:t>Média</x:t>
        </x:is>
      </x:c>
      <x:c r="T37" s="7" t="inlineStr">
        <x:is>
          <x:t>M1</x:t>
        </x:is>
      </x:c>
    </x:row>
    <x:row r="38" ht="62" customHeight="1">
      <x:c r="A38" s="6" t="inlineStr">
        <x:is>
          <x:t>ENT-04</x:t>
        </x:is>
      </x:c>
      <x:c r="B38" s="6" t="inlineStr">
        <x:is>
          <x:t>Entidades / Ecossistema</x:t>
        </x:is>
      </x:c>
      <x:c r="C38" s="6" t="inlineStr">
        <x:is>
          <x:t>Entidade</x:t>
        </x:is>
      </x:c>
      <x:c r="D38" s="6" t="inlineStr">
        <x:is>
          <x:t>Resultado</x:t>
        </x:is>
      </x:c>
      <x:c r="E38" s="6" t="inlineStr">
        <x:is>
          <x:t>Valor entregue por associado</x:t>
        </x:is>
      </x:c>
      <x:c r="F38" s="6" t="inlineStr">
        <x:is>
          <x:t>Quanto benefício mensurável chega a cada associado?</x:t>
        </x:is>
      </x:c>
      <x:c r="G38" s="6" t="inlineStr">
        <x:is>
          <x:t>Benefício atribuído por associado ativo.</x:t>
        </x:is>
      </x:c>
      <x:c r="H38" s="6" t="inlineStr">
        <x:is>
          <x:t>benefício atribuído / associados ativos</x:t>
        </x:is>
      </x:c>
      <x:c r="I38" s="6" t="inlineStr">
        <x:is>
          <x:t>R$/associado</x:t>
        </x:is>
      </x:c>
      <x:c r="J38" s="6" t="inlineStr">
        <x:is>
          <x:t>Maior é melhor</x:t>
        </x:is>
      </x:c>
      <x:c r="K38" s="6" t="inlineStr">
        <x:is>
          <x:t>Trimestral</x:t>
        </x:is>
      </x:c>
      <x:c r="L38" s="6" t="inlineStr">
        <x:is>
          <x:t>Outcomes + financeiro</x:t>
        </x:is>
      </x:c>
      <x:c r="M38" s="6" t="inlineStr">
        <x:is>
          <x:t>segmento, serviço</x:t>
        </x:is>
      </x:c>
      <x:c r="N38" s="6" t="inlineStr">
        <x:is>
          <x:t>Financeiro / Entidade</x:t>
        </x:is>
      </x:c>
      <x:c r="O38" s="6" t="inlineStr">
        <x:is>
          <x:t>Lagging</x:t>
        </x:is>
      </x:c>
      <x:c r="P38" s="6" t="inlineStr">
        <x:is>
          <x:t>Retenção / receita</x:t>
        </x:is>
      </x:c>
      <x:c r="Q38" s="6" t="inlineStr">
        <x:is>
          <x:t>benefício deduplicado / associados</x:t>
        </x:is>
      </x:c>
      <x:c r="R38" s="6" t="inlineStr">
        <x:is>
          <x:t>Quase-experimental</x:t>
        </x:is>
      </x:c>
      <x:c r="S38" s="6" t="inlineStr">
        <x:is>
          <x:t>Alta</x:t>
        </x:is>
      </x:c>
      <x:c r="T38" s="6" t="inlineStr">
        <x:is>
          <x:t>M2</x:t>
        </x:is>
      </x:c>
    </x:row>
    <x:row r="39" ht="62" customHeight="1">
      <x:c r="A39" s="7" t="inlineStr">
        <x:is>
          <x:t>ENT-05</x:t>
        </x:is>
      </x:c>
      <x:c r="B39" s="7" t="inlineStr">
        <x:is>
          <x:t>Entidades / Ecossistema</x:t>
        </x:is>
      </x:c>
      <x:c r="C39" s="7" t="inlineStr">
        <x:is>
          <x:t>Entidade</x:t>
        </x:is>
      </x:c>
      <x:c r="D39" s="7" t="inlineStr">
        <x:is>
          <x:t>Resultado</x:t>
        </x:is>
      </x:c>
      <x:c r="E39" s="7" t="inlineStr">
        <x:is>
          <x:t>Renovação de associados</x:t>
        </x:is>
      </x:c>
      <x:c r="F39" s="7" t="inlineStr">
        <x:is>
          <x:t>O valor percebido aumenta permanência?</x:t>
        </x:is>
      </x:c>
      <x:c r="G39" s="7" t="inlineStr">
        <x:is>
          <x:t>Taxa de renovação elegível.</x:t>
        </x:is>
      </x:c>
      <x:c r="H39" s="7" t="inlineStr">
        <x:is>
          <x:t>renovações / contratos elegíveis</x:t>
        </x:is>
      </x:c>
      <x:c r="I39" s="7" t="inlineStr">
        <x:is>
          <x:t>%</x:t>
        </x:is>
      </x:c>
      <x:c r="J39" s="7" t="inlineStr">
        <x:is>
          <x:t>Maior é melhor</x:t>
        </x:is>
      </x:c>
      <x:c r="K39" s="7" t="inlineStr">
        <x:is>
          <x:t>Mensal</x:t>
        </x:is>
      </x:c>
      <x:c r="L39" s="7" t="inlineStr">
        <x:is>
          <x:t>CRM + contrato</x:t>
        </x:is>
      </x:c>
      <x:c r="M39" s="7" t="inlineStr">
        <x:is>
          <x:t>tier, segmento, uso</x:t>
        </x:is>
      </x:c>
      <x:c r="N39" s="7" t="inlineStr">
        <x:is>
          <x:t>CS</x:t>
        </x:is>
      </x:c>
      <x:c r="O39" s="7" t="inlineStr">
        <x:is>
          <x:t>Lagging</x:t>
        </x:is>
      </x:c>
      <x:c r="P39" s="7" t="inlineStr">
        <x:is>
          <x:t>Receita recorrente</x:t>
        </x:is>
      </x:c>
      <x:c r="Q39" s="7" t="inlineStr">
        <x:is>
          <x:t>renovações incrementais × ARR médio × margem</x:t>
        </x:is>
      </x:c>
      <x:c r="R39" s="7" t="inlineStr">
        <x:is>
          <x:t>Quase-experimental</x:t>
        </x:is>
      </x:c>
      <x:c r="S39" s="7" t="inlineStr">
        <x:is>
          <x:t>Alta</x:t>
        </x:is>
      </x:c>
      <x:c r="T39" s="7" t="inlineStr">
        <x:is>
          <x:t>M2</x:t>
        </x:is>
      </x:c>
    </x:row>
    <x:row r="40" ht="62" customHeight="1">
      <x:c r="A40" s="6" t="inlineStr">
        <x:is>
          <x:t>ENT-06</x:t>
        </x:is>
      </x:c>
      <x:c r="B40" s="6" t="inlineStr">
        <x:is>
          <x:t>Entidades / Ecossistema</x:t>
        </x:is>
      </x:c>
      <x:c r="C40" s="6" t="inlineStr">
        <x:is>
          <x:t>Executiva</x:t>
        </x:is>
      </x:c>
      <x:c r="D40" s="6" t="inlineStr">
        <x:is>
          <x:t>Impacto</x:t>
        </x:is>
      </x:c>
      <x:c r="E40" s="6" t="inlineStr">
        <x:is>
          <x:t>Receita de novos serviços</x:t>
        </x:is>
      </x:c>
      <x:c r="F40" s="6" t="inlineStr">
        <x:is>
          <x:t>A inteligência cria ofertas monetizáveis?</x:t>
        </x:is>
      </x:c>
      <x:c r="G40" s="6" t="inlineStr">
        <x:is>
          <x:t>Receita de serviços originados por insights da plataforma.</x:t>
        </x:is>
      </x:c>
      <x:c r="H40" s="6" t="inlineStr">
        <x:is>
          <x:t>Σ receita reconhecida de serviços com origem HUB</x:t>
        </x:is>
      </x:c>
      <x:c r="I40" s="6" t="inlineStr">
        <x:is>
          <x:t>R$</x:t>
        </x:is>
      </x:c>
      <x:c r="J40" s="6" t="inlineStr">
        <x:is>
          <x:t>Maior é melhor</x:t>
        </x:is>
      </x:c>
      <x:c r="K40" s="6" t="inlineStr">
        <x:is>
          <x:t>Mensal</x:t>
        </x:is>
      </x:c>
      <x:c r="L40" s="6" t="inlineStr">
        <x:is>
          <x:t>Contrato + origem</x:t>
        </x:is>
      </x:c>
      <x:c r="M40" s="6" t="inlineStr">
        <x:is>
          <x:t>serviço, entidade, segmento</x:t>
        </x:is>
      </x:c>
      <x:c r="N40" s="6" t="inlineStr">
        <x:is>
          <x:t>Comercial</x:t>
        </x:is>
      </x:c>
      <x:c r="O40" s="6" t="inlineStr">
        <x:is>
          <x:t>Lagging</x:t>
        </x:is>
      </x:c>
      <x:c r="P40" s="6" t="inlineStr">
        <x:is>
          <x:t>Receita / margem</x:t>
        </x:is>
      </x:c>
      <x:c r="Q40" s="6" t="inlineStr">
        <x:is>
          <x:t>receita × margem de contribuição</x:t>
        </x:is>
      </x:c>
      <x:c r="R40" s="6" t="inlineStr">
        <x:is>
          <x:t>Descritivo</x:t>
        </x:is>
      </x:c>
      <x:c r="S40" s="6" t="inlineStr">
        <x:is>
          <x:t>Alta</x:t>
        </x:is>
      </x:c>
      <x:c r="T40" s="6" t="inlineStr">
        <x:is>
          <x:t>M1</x:t>
        </x:is>
      </x:c>
    </x:row>
    <x:row r="41" ht="62" customHeight="1">
      <x:c r="A41" s="7" t="inlineStr">
        <x:is>
          <x:t>ENT-07</x:t>
        </x:is>
      </x:c>
      <x:c r="B41" s="7" t="inlineStr">
        <x:is>
          <x:t>Entidades / Ecossistema</x:t>
        </x:is>
      </x:c>
      <x:c r="C41" s="7" t="inlineStr">
        <x:is>
          <x:t>Entidade</x:t>
        </x:is>
      </x:c>
      <x:c r="D41" s="7" t="inlineStr">
        <x:is>
          <x:t>Resultado</x:t>
        </x:is>
      </x:c>
      <x:c r="E41" s="7" t="inlineStr">
        <x:is>
          <x:t>Adoção de benchmark</x:t>
        </x:is>
      </x:c>
      <x:c r="F41" s="7" t="inlineStr">
        <x:is>
          <x:t>O associado usa inteligência para decidir?</x:t>
        </x:is>
      </x:c>
      <x:c r="G41" s="7" t="inlineStr">
        <x:is>
          <x:t>Empresas que consultam e executam ação após benchmark.</x:t>
        </x:is>
      </x:c>
      <x:c r="H41" s="7" t="inlineStr">
        <x:is>
          <x:t>associados com ação / associados expostos</x:t>
        </x:is>
      </x:c>
      <x:c r="I41" s="7" t="inlineStr">
        <x:is>
          <x:t>%</x:t>
        </x:is>
      </x:c>
      <x:c r="J41" s="7" t="inlineStr">
        <x:is>
          <x:t>Maior é melhor</x:t>
        </x:is>
      </x:c>
      <x:c r="K41" s="7" t="inlineStr">
        <x:is>
          <x:t>Trimestral</x:t>
        </x:is>
      </x:c>
      <x:c r="L41" s="7" t="inlineStr">
        <x:is>
          <x:t>Benchmark + eventos</x:t>
        </x:is>
      </x:c>
      <x:c r="M41" s="7" t="inlineStr">
        <x:is>
          <x:t>tema, segmento</x:t>
        </x:is>
      </x:c>
      <x:c r="N41" s="7" t="inlineStr">
        <x:is>
          <x:t>Inteligência</x:t>
        </x:is>
      </x:c>
      <x:c r="O41" s="7" t="inlineStr">
        <x:is>
          <x:t>Lagging</x:t>
        </x:is>
      </x:c>
      <x:c r="P41" s="7" t="inlineStr">
        <x:is>
          <x:t>Produtividade / risco</x:t>
        </x:is>
      </x:c>
      <x:c r="Q41" s="7" t="inlineStr">
        <x:is>
          <x:t>ações incrementais × valor médio validado</x:t>
        </x:is>
      </x:c>
      <x:c r="R41" s="7" t="inlineStr">
        <x:is>
          <x:t>Correlação</x:t>
        </x:is>
      </x:c>
      <x:c r="S41" s="7" t="inlineStr">
        <x:is>
          <x:t>Média</x:t>
        </x:is>
      </x:c>
      <x:c r="T41" s="7" t="inlineStr">
        <x:is>
          <x:t>M2</x:t>
        </x:is>
      </x:c>
    </x:row>
    <x:row r="42" ht="62" customHeight="1">
      <x:c r="A42" s="6" t="inlineStr">
        <x:is>
          <x:t>ENT-08</x:t>
        </x:is>
      </x:c>
      <x:c r="B42" s="6" t="inlineStr">
        <x:is>
          <x:t>Entidades / Ecossistema</x:t>
        </x:is>
      </x:c>
      <x:c r="C42" s="6" t="inlineStr">
        <x:is>
          <x:t>Executiva</x:t>
        </x:is>
      </x:c>
      <x:c r="D42" s="6" t="inlineStr">
        <x:is>
          <x:t>Impacto</x:t>
        </x:is>
      </x:c>
      <x:c r="E42" s="6" t="inlineStr">
        <x:is>
          <x:t>Impacto econômico do ecossistema</x:t>
        </x:is>
      </x:c>
      <x:c r="F42" s="6" t="inlineStr">
        <x:is>
          <x:t>Quanto valor total a rede gerou?</x:t>
        </x:is>
      </x:c>
      <x:c r="G42" s="6" t="inlineStr">
        <x:is>
          <x:t>Soma deduplicada de margem, saving, produtividade e risco atribuídos.</x:t>
        </x:is>
      </x:c>
      <x:c r="H42" s="6" t="inlineStr">
        <x:is>
          <x:t>Σ benefícios atribuídos e deduplicados</x:t>
        </x:is>
      </x:c>
      <x:c r="I42" s="6" t="inlineStr">
        <x:is>
          <x:t>R$</x:t>
        </x:is>
      </x:c>
      <x:c r="J42" s="6" t="inlineStr">
        <x:is>
          <x:t>Maior é melhor</x:t>
        </x:is>
      </x:c>
      <x:c r="K42" s="6" t="inlineStr">
        <x:is>
          <x:t>Semestral</x:t>
        </x:is>
      </x:c>
      <x:c r="L42" s="6" t="inlineStr">
        <x:is>
          <x:t>Data mart financeiro</x:t>
        </x:is>
      </x:c>
      <x:c r="M42" s="6" t="inlineStr">
        <x:is>
          <x:t>entidade, setor, região</x:t>
        </x:is>
      </x:c>
      <x:c r="N42" s="6" t="inlineStr">
        <x:is>
          <x:t>Financeiro</x:t>
        </x:is>
      </x:c>
      <x:c r="O42" s="6" t="inlineStr">
        <x:is>
          <x:t>Lagging</x:t>
        </x:is>
      </x:c>
      <x:c r="P42" s="6" t="inlineStr">
        <x:is>
          <x:t>Impacto / retenção</x:t>
        </x:is>
      </x:c>
      <x:c r="Q42" s="6" t="inlineStr">
        <x:is>
          <x:t>soma por alavanca após regras de não dupla contagem</x:t>
        </x:is>
      </x:c>
      <x:c r="R42" s="6" t="inlineStr">
        <x:is>
          <x:t>Quase-experimental</x:t>
        </x:is>
      </x:c>
      <x:c r="S42" s="6" t="inlineStr">
        <x:is>
          <x:t>Alta</x:t>
        </x:is>
      </x:c>
      <x:c r="T42" s="6" t="inlineStr">
        <x:is>
          <x:t>M2</x:t>
        </x:is>
      </x:c>
    </x:row>
    <x:row r="43" ht="62" customHeight="1">
      <x:c r="A43" s="7" t="inlineStr">
        <x:is>
          <x:t>MKT-01</x:t>
        </x:is>
      </x:c>
      <x:c r="B43" s="7" t="inlineStr">
        <x:is>
          <x:t>Marketing / Mídia</x:t>
        </x:is>
      </x:c>
      <x:c r="C43" s="7" t="inlineStr">
        <x:is>
          <x:t>Marketing</x:t>
        </x:is>
      </x:c>
      <x:c r="D43" s="7" t="inlineStr">
        <x:is>
          <x:t>Insumo</x:t>
        </x:is>
      </x:c>
      <x:c r="E43" s="7" t="inlineStr">
        <x:is>
          <x:t>Alcance qualificado</x:t>
        </x:is>
      </x:c>
      <x:c r="F43" s="7" t="inlineStr">
        <x:is>
          <x:t>A mensagem chegou ao público elegível?</x:t>
        </x:is>
      </x:c>
      <x:c r="G43" s="7" t="inlineStr">
        <x:is>
          <x:t>Pessoas/empresas únicas dentro do ICP.</x:t>
        </x:is>
      </x:c>
      <x:c r="H43" s="7" t="inlineStr">
        <x:is>
          <x:t>usuários únicos elegíveis alcançados</x:t>
        </x:is>
      </x:c>
      <x:c r="I43" s="7" t="inlineStr">
        <x:is>
          <x:t>pessoas/empresas</x:t>
        </x:is>
      </x:c>
      <x:c r="J43" s="7" t="inlineStr">
        <x:is>
          <x:t>Maior é melhor</x:t>
        </x:is>
      </x:c>
      <x:c r="K43" s="7" t="inlineStr">
        <x:is>
          <x:t>Semanal</x:t>
        </x:is>
      </x:c>
      <x:c r="L43" s="7" t="inlineStr">
        <x:is>
          <x:t>Mídia + CRM</x:t>
        </x:is>
      </x:c>
      <x:c r="M43" s="7" t="inlineStr">
        <x:is>
          <x:t>canal, campanha, segmento</x:t>
        </x:is>
      </x:c>
      <x:c r="N43" s="7" t="inlineStr">
        <x:is>
          <x:t>Marketing</x:t>
        </x:is>
      </x:c>
      <x:c r="O43" s="7" t="inlineStr">
        <x:is>
          <x:t>Leading</x:t>
        </x:is>
      </x:c>
      <x:c r="P43" s="7" t="inlineStr">
        <x:is>
          <x:t>Pipeline</x:t>
        </x:is>
      </x:c>
      <x:c r="Q43" s="7" t="inlineStr">
        <x:is>
          <x:t>não monetizar isoladamente</x:t>
        </x:is>
      </x:c>
      <x:c r="R43" s="7" t="inlineStr">
        <x:is>
          <x:t>Descritivo</x:t>
        </x:is>
      </x:c>
      <x:c r="S43" s="7" t="inlineStr">
        <x:is>
          <x:t>Média</x:t>
        </x:is>
      </x:c>
      <x:c r="T43" s="7" t="inlineStr">
        <x:is>
          <x:t>M0</x:t>
        </x:is>
      </x:c>
    </x:row>
    <x:row r="44" ht="62" customHeight="1">
      <x:c r="A44" s="6" t="inlineStr">
        <x:is>
          <x:t>MKT-02</x:t>
        </x:is>
      </x:c>
      <x:c r="B44" s="6" t="inlineStr">
        <x:is>
          <x:t>Marketing / Mídia</x:t>
        </x:is>
      </x:c>
      <x:c r="C44" s="6" t="inlineStr">
        <x:is>
          <x:t>Marketing</x:t>
        </x:is>
      </x:c>
      <x:c r="D44" s="6" t="inlineStr">
        <x:is>
          <x:t>Ação</x:t>
        </x:is>
      </x:c>
      <x:c r="E44" s="6" t="inlineStr">
        <x:is>
          <x:t>Custo por lead qualificado</x:t>
        </x:is>
      </x:c>
      <x:c r="F44" s="6" t="inlineStr">
        <x:is>
          <x:t>Quanto custa gerar demanda realmente útil?</x:t>
        </x:is>
      </x:c>
      <x:c r="G44" s="6" t="inlineStr">
        <x:is>
          <x:t>Investimento por lead que atende ICP.</x:t>
        </x:is>
      </x:c>
      <x:c r="H44" s="6" t="inlineStr">
        <x:is>
          <x:t>custo de mídia / leads qualificados</x:t>
        </x:is>
      </x:c>
      <x:c r="I44" s="6" t="inlineStr">
        <x:is>
          <x:t>R$/lead</x:t>
        </x:is>
      </x:c>
      <x:c r="J44" s="6" t="inlineStr">
        <x:is>
          <x:t>Menor é melhor</x:t>
        </x:is>
      </x:c>
      <x:c r="K44" s="6" t="inlineStr">
        <x:is>
          <x:t>Semanal</x:t>
        </x:is>
      </x:c>
      <x:c r="L44" s="6" t="inlineStr">
        <x:is>
          <x:t>Mídia + CRM</x:t>
        </x:is>
      </x:c>
      <x:c r="M44" s="6" t="inlineStr">
        <x:is>
          <x:t>canal, campanha, ICP</x:t>
        </x:is>
      </x:c>
      <x:c r="N44" s="6" t="inlineStr">
        <x:is>
          <x:t>Marketing</x:t>
        </x:is>
      </x:c>
      <x:c r="O44" s="6" t="inlineStr">
        <x:is>
          <x:t>Lagging</x:t>
        </x:is>
      </x:c>
      <x:c r="P44" s="6" t="inlineStr">
        <x:is>
          <x:t>CAC / custo</x:t>
        </x:is>
      </x:c>
      <x:c r="Q44" s="6" t="inlineStr">
        <x:is>
          <x:t>baseline CPL − CPL atual × volume</x:t>
        </x:is>
      </x:c>
      <x:c r="R44" s="6" t="inlineStr">
        <x:is>
          <x:t>Descritivo</x:t>
        </x:is>
      </x:c>
      <x:c r="S44" s="6" t="inlineStr">
        <x:is>
          <x:t>Alta</x:t>
        </x:is>
      </x:c>
      <x:c r="T44" s="6" t="inlineStr">
        <x:is>
          <x:t>M0</x:t>
        </x:is>
      </x:c>
    </x:row>
    <x:row r="45" ht="62" customHeight="1">
      <x:c r="A45" s="7" t="inlineStr">
        <x:is>
          <x:t>MKT-03</x:t>
        </x:is>
      </x:c>
      <x:c r="B45" s="7" t="inlineStr">
        <x:is>
          <x:t>Marketing / Mídia</x:t>
        </x:is>
      </x:c>
      <x:c r="C45" s="7" t="inlineStr">
        <x:is>
          <x:t>Marketing</x:t>
        </x:is>
      </x:c>
      <x:c r="D45" s="7" t="inlineStr">
        <x:is>
          <x:t>Resultado</x:t>
        </x:is>
      </x:c>
      <x:c r="E45" s="7" t="inlineStr">
        <x:is>
          <x:t>Conversão lead → oportunidade</x:t>
        </x:is>
      </x:c>
      <x:c r="F45" s="7" t="inlineStr">
        <x:is>
          <x:t>A demanda vira conversa comercial?</x:t>
        </x:is>
      </x:c>
      <x:c r="G45" s="7" t="inlineStr">
        <x:is>
          <x:t>Oportunidades criadas entre leads qualificados.</x:t>
        </x:is>
      </x:c>
      <x:c r="H45" s="7" t="inlineStr">
        <x:is>
          <x:t>oportunidades / leads qualificados</x:t>
        </x:is>
      </x:c>
      <x:c r="I45" s="7" t="inlineStr">
        <x:is>
          <x:t>%</x:t>
        </x:is>
      </x:c>
      <x:c r="J45" s="7" t="inlineStr">
        <x:is>
          <x:t>Maior é melhor</x:t>
        </x:is>
      </x:c>
      <x:c r="K45" s="7" t="inlineStr">
        <x:is>
          <x:t>Semanal</x:t>
        </x:is>
      </x:c>
      <x:c r="L45" s="7" t="inlineStr">
        <x:is>
          <x:t>CRM</x:t>
        </x:is>
      </x:c>
      <x:c r="M45" s="7" t="inlineStr">
        <x:is>
          <x:t>canal, campanha, segmento</x:t>
        </x:is>
      </x:c>
      <x:c r="N45" s="7" t="inlineStr">
        <x:is>
          <x:t>Marketing / Vendas</x:t>
        </x:is>
      </x:c>
      <x:c r="O45" s="7" t="inlineStr">
        <x:is>
          <x:t>Lagging</x:t>
        </x:is>
      </x:c>
      <x:c r="P45" s="7" t="inlineStr">
        <x:is>
          <x:t>Pipeline / receita</x:t>
        </x:is>
      </x:c>
      <x:c r="Q45" s="7" t="inlineStr">
        <x:is>
          <x:t>oportunidades incrementais × win rate × margem média</x:t>
        </x:is>
      </x:c>
      <x:c r="R45" s="7" t="inlineStr">
        <x:is>
          <x:t>Descritivo</x:t>
        </x:is>
      </x:c>
      <x:c r="S45" s="7" t="inlineStr">
        <x:is>
          <x:t>Alta</x:t>
        </x:is>
      </x:c>
      <x:c r="T45" s="7" t="inlineStr">
        <x:is>
          <x:t>M0</x:t>
        </x:is>
      </x:c>
    </x:row>
    <x:row r="46" ht="62" customHeight="1">
      <x:c r="A46" s="6" t="inlineStr">
        <x:is>
          <x:t>MKT-04</x:t>
        </x:is>
      </x:c>
      <x:c r="B46" s="6" t="inlineStr">
        <x:is>
          <x:t>Marketing / Mídia</x:t>
        </x:is>
      </x:c>
      <x:c r="C46" s="6" t="inlineStr">
        <x:is>
          <x:t>Executiva</x:t>
        </x:is>
      </x:c>
      <x:c r="D46" s="6" t="inlineStr">
        <x:is>
          <x:t>Impacto</x:t>
        </x:is>
      </x:c>
      <x:c r="E46" s="6" t="inlineStr">
        <x:is>
          <x:t>Pipeline influenciado</x:t>
        </x:is>
      </x:c>
      <x:c r="F46" s="6" t="inlineStr">
        <x:is>
          <x:t>Qual valor de oportunidades recebeu influência rastreada?</x:t>
        </x:is>
      </x:c>
      <x:c r="G46" s="6" t="inlineStr">
        <x:is>
          <x:t>Valor ponderado das oportunidades com touchpoint válido.</x:t>
        </x:is>
      </x:c>
      <x:c r="H46" s="6" t="inlineStr">
        <x:is>
          <x:t>Σ valor oportunidade × probabilidade × peso de atribuição</x:t>
        </x:is>
      </x:c>
      <x:c r="I46" s="6" t="inlineStr">
        <x:is>
          <x:t>R$</x:t>
        </x:is>
      </x:c>
      <x:c r="J46" s="6" t="inlineStr">
        <x:is>
          <x:t>Maior é melhor</x:t>
        </x:is>
      </x:c>
      <x:c r="K46" s="6" t="inlineStr">
        <x:is>
          <x:t>Mensal</x:t>
        </x:is>
      </x:c>
      <x:c r="L46" s="6" t="inlineStr">
        <x:is>
          <x:t>CRM + touchpoint</x:t>
        </x:is>
      </x:c>
      <x:c r="M46" s="6" t="inlineStr">
        <x:is>
          <x:t>canal, campanha, produto</x:t>
        </x:is>
      </x:c>
      <x:c r="N46" s="6" t="inlineStr">
        <x:is>
          <x:t>RevOps</x:t>
        </x:is>
      </x:c>
      <x:c r="O46" s="6" t="inlineStr">
        <x:is>
          <x:t>Lagging</x:t>
        </x:is>
      </x:c>
      <x:c r="P46" s="6" t="inlineStr">
        <x:is>
          <x:t>Receita</x:t>
        </x:is>
      </x:c>
      <x:c r="Q46" s="6" t="inlineStr">
        <x:is>
          <x:t>pipeline ponderado; não somar à receita fechada</x:t>
        </x:is>
      </x:c>
      <x:c r="R46" s="6" t="inlineStr">
        <x:is>
          <x:t>Descritivo</x:t>
        </x:is>
      </x:c>
      <x:c r="S46" s="6" t="inlineStr">
        <x:is>
          <x:t>Alta</x:t>
        </x:is>
      </x:c>
      <x:c r="T46" s="6" t="inlineStr">
        <x:is>
          <x:t>M1</x:t>
        </x:is>
      </x:c>
    </x:row>
    <x:row r="47" ht="62" customHeight="1">
      <x:c r="A47" s="7" t="inlineStr">
        <x:is>
          <x:t>MKT-05</x:t>
        </x:is>
      </x:c>
      <x:c r="B47" s="7" t="inlineStr">
        <x:is>
          <x:t>Marketing / Mídia</x:t>
        </x:is>
      </x:c>
      <x:c r="C47" s="7" t="inlineStr">
        <x:is>
          <x:t>Executiva</x:t>
        </x:is>
      </x:c>
      <x:c r="D47" s="7" t="inlineStr">
        <x:is>
          <x:t>Impacto</x:t>
        </x:is>
      </x:c>
      <x:c r="E47" s="7" t="inlineStr">
        <x:is>
          <x:t>Margem incremental de campanha</x:t>
        </x:is>
      </x:c>
      <x:c r="F47" s="7" t="inlineStr">
        <x:is>
          <x:t>Qual lucro adicional foi atribuído à campanha?</x:t>
        </x:is>
      </x:c>
      <x:c r="G47" s="7" t="inlineStr">
        <x:is>
          <x:t>Margem de negócios incrementais após comparação.</x:t>
        </x:is>
      </x:c>
      <x:c r="H47" s="7" t="inlineStr">
        <x:is>
          <x:t>receita incremental × margem × atribuição</x:t>
        </x:is>
      </x:c>
      <x:c r="I47" s="7" t="inlineStr">
        <x:is>
          <x:t>R$</x:t>
        </x:is>
      </x:c>
      <x:c r="J47" s="7" t="inlineStr">
        <x:is>
          <x:t>Maior é melhor</x:t>
        </x:is>
      </x:c>
      <x:c r="K47" s="7" t="inlineStr">
        <x:is>
          <x:t>Mensal</x:t>
        </x:is>
      </x:c>
      <x:c r="L47" s="7" t="inlineStr">
        <x:is>
          <x:t>CRM + financeiro</x:t>
        </x:is>
      </x:c>
      <x:c r="M47" s="7" t="inlineStr">
        <x:is>
          <x:t>canal, campanha, cohort</x:t>
        </x:is>
      </x:c>
      <x:c r="N47" s="7" t="inlineStr">
        <x:is>
          <x:t>Financeiro / Marketing</x:t>
        </x:is>
      </x:c>
      <x:c r="O47" s="7" t="inlineStr">
        <x:is>
          <x:t>Lagging</x:t>
        </x:is>
      </x:c>
      <x:c r="P47" s="7" t="inlineStr">
        <x:is>
          <x:t>Lucro</x:t>
        </x:is>
      </x:c>
      <x:c r="Q47" s="7" t="inlineStr">
        <x:is>
          <x:t>delta de conversão × volume × ticket × margem</x:t>
        </x:is>
      </x:c>
      <x:c r="R47" s="7" t="inlineStr">
        <x:is>
          <x:t>Quase-experimental</x:t>
        </x:is>
      </x:c>
      <x:c r="S47" s="7" t="inlineStr">
        <x:is>
          <x:t>Alta</x:t>
        </x:is>
      </x:c>
      <x:c r="T47" s="7" t="inlineStr">
        <x:is>
          <x:t>M2</x:t>
        </x:is>
      </x:c>
    </x:row>
    <x:row r="48" ht="62" customHeight="1">
      <x:c r="A48" s="6" t="inlineStr">
        <x:is>
          <x:t>MKT-06</x:t>
        </x:is>
      </x:c>
      <x:c r="B48" s="6" t="inlineStr">
        <x:is>
          <x:t>Marketing / Mídia</x:t>
        </x:is>
      </x:c>
      <x:c r="C48" s="6" t="inlineStr">
        <x:is>
          <x:t>Marketing</x:t>
        </x:is>
      </x:c>
      <x:c r="D48" s="6" t="inlineStr">
        <x:is>
          <x:t>Impacto</x:t>
        </x:is>
      </x:c>
      <x:c r="E48" s="6" t="inlineStr">
        <x:is>
          <x:t>ROAS de margem</x:t>
        </x:is>
      </x:c>
      <x:c r="F48" s="6" t="inlineStr">
        <x:is>
          <x:t>O retorno de mídia supera o investimento?</x:t>
        </x:is>
      </x:c>
      <x:c r="G48" s="6" t="inlineStr">
        <x:is>
          <x:t>Margem atribuída por real de mídia.</x:t>
        </x:is>
      </x:c>
      <x:c r="H48" s="6" t="inlineStr">
        <x:is>
          <x:t>margem atribuída / investimento de mídia</x:t>
        </x:is>
      </x:c>
      <x:c r="I48" s="6" t="inlineStr">
        <x:is>
          <x:t>x</x:t>
        </x:is>
      </x:c>
      <x:c r="J48" s="6" t="inlineStr">
        <x:is>
          <x:t>Maior é melhor</x:t>
        </x:is>
      </x:c>
      <x:c r="K48" s="6" t="inlineStr">
        <x:is>
          <x:t>Mensal</x:t>
        </x:is>
      </x:c>
      <x:c r="L48" s="6" t="inlineStr">
        <x:is>
          <x:t>Financeiro + mídia</x:t>
        </x:is>
      </x:c>
      <x:c r="M48" s="6" t="inlineStr">
        <x:is>
          <x:t>canal, campanha</x:t>
        </x:is>
      </x:c>
      <x:c r="N48" s="6" t="inlineStr">
        <x:is>
          <x:t>Marketing</x:t>
        </x:is>
      </x:c>
      <x:c r="O48" s="6" t="inlineStr">
        <x:is>
          <x:t>Lagging</x:t>
        </x:is>
      </x:c>
      <x:c r="P48" s="6" t="inlineStr">
        <x:is>
          <x:t>ROI</x:t>
        </x:is>
      </x:c>
      <x:c r="Q48" s="6" t="inlineStr">
        <x:is>
          <x:t>usar margem, não receita bruta</x:t>
        </x:is>
      </x:c>
      <x:c r="R48" s="6" t="inlineStr">
        <x:is>
          <x:t>Quase-experimental</x:t>
        </x:is>
      </x:c>
      <x:c r="S48" s="6" t="inlineStr">
        <x:is>
          <x:t>Alta</x:t>
        </x:is>
      </x:c>
      <x:c r="T48" s="6" t="inlineStr">
        <x:is>
          <x:t>M2</x:t>
        </x:is>
      </x:c>
    </x:row>
    <x:row r="49" ht="62" customHeight="1">
      <x:c r="A49" s="7" t="inlineStr">
        <x:is>
          <x:t>MKT-07</x:t>
        </x:is>
      </x:c>
      <x:c r="B49" s="7" t="inlineStr">
        <x:is>
          <x:t>Marketing / Mídia</x:t>
        </x:is>
      </x:c>
      <x:c r="C49" s="7" t="inlineStr">
        <x:is>
          <x:t>Marketing</x:t>
        </x:is>
      </x:c>
      <x:c r="D49" s="7" t="inlineStr">
        <x:is>
          <x:t>Resultado</x:t>
        </x:is>
      </x:c>
      <x:c r="E49" s="7" t="inlineStr">
        <x:is>
          <x:t>CAC por produto</x:t>
        </x:is>
      </x:c>
      <x:c r="F49" s="7" t="inlineStr">
        <x:is>
          <x:t>Quanto custa conquistar um novo cliente?</x:t>
        </x:is>
      </x:c>
      <x:c r="G49" s="7" t="inlineStr">
        <x:is>
          <x:t>Custos de aquisição por novo cliente.</x:t>
        </x:is>
      </x:c>
      <x:c r="H49" s="7" t="inlineStr">
        <x:is>
          <x:t>custos de marketing e vendas / novos clientes</x:t>
        </x:is>
      </x:c>
      <x:c r="I49" s="7" t="inlineStr">
        <x:is>
          <x:t>R$/cliente</x:t>
        </x:is>
      </x:c>
      <x:c r="J49" s="7" t="inlineStr">
        <x:is>
          <x:t>Menor é melhor</x:t>
        </x:is>
      </x:c>
      <x:c r="K49" s="7" t="inlineStr">
        <x:is>
          <x:t>Mensal</x:t>
        </x:is>
      </x:c>
      <x:c r="L49" s="7" t="inlineStr">
        <x:is>
          <x:t>Financeiro + CRM</x:t>
        </x:is>
      </x:c>
      <x:c r="M49" s="7" t="inlineStr">
        <x:is>
          <x:t>produto, canal, segmento</x:t>
        </x:is>
      </x:c>
      <x:c r="N49" s="7" t="inlineStr">
        <x:is>
          <x:t>RevOps</x:t>
        </x:is>
      </x:c>
      <x:c r="O49" s="7" t="inlineStr">
        <x:is>
          <x:t>Lagging</x:t>
        </x:is>
      </x:c>
      <x:c r="P49" s="7" t="inlineStr">
        <x:is>
          <x:t>Unit economics</x:t>
        </x:is>
      </x:c>
      <x:c r="Q49" s="7" t="inlineStr">
        <x:is>
          <x:t>CAC real por cohort</x:t>
        </x:is>
      </x:c>
      <x:c r="R49" s="7" t="inlineStr">
        <x:is>
          <x:t>Descritivo</x:t>
        </x:is>
      </x:c>
      <x:c r="S49" s="7" t="inlineStr">
        <x:is>
          <x:t>Alta</x:t>
        </x:is>
      </x:c>
      <x:c r="T49" s="7" t="inlineStr">
        <x:is>
          <x:t>M1</x:t>
        </x:is>
      </x:c>
    </x:row>
    <x:row r="50" ht="62" customHeight="1">
      <x:c r="A50" s="6" t="inlineStr">
        <x:is>
          <x:t>MKT-08</x:t>
        </x:is>
      </x:c>
      <x:c r="B50" s="6" t="inlineStr">
        <x:is>
          <x:t>Marketing / Mídia</x:t>
        </x:is>
      </x:c>
      <x:c r="C50" s="6" t="inlineStr">
        <x:is>
          <x:t>Marketing</x:t>
        </x:is>
      </x:c>
      <x:c r="D50" s="6" t="inlineStr">
        <x:is>
          <x:t>Resultado</x:t>
        </x:is>
      </x:c>
      <x:c r="E50" s="6" t="inlineStr">
        <x:is>
          <x:t>Conteúdo → ação</x:t>
        </x:is>
      </x:c>
      <x:c r="F50" s="6" t="inlineStr">
        <x:is>
          <x:t>Que conteúdo provoca comportamento de valor?</x:t>
        </x:is>
      </x:c>
      <x:c r="G50" s="6" t="inlineStr">
        <x:is>
          <x:t>Sessões com evento-chave após exposição.</x:t>
        </x:is>
      </x:c>
      <x:c r="H50" s="6" t="inlineStr">
        <x:is>
          <x:t>usuários com evento-chave / usuários expostos</x:t>
        </x:is>
      </x:c>
      <x:c r="I50" s="6" t="inlineStr">
        <x:is>
          <x:t>%</x:t>
        </x:is>
      </x:c>
      <x:c r="J50" s="6" t="inlineStr">
        <x:is>
          <x:t>Maior é melhor</x:t>
        </x:is>
      </x:c>
      <x:c r="K50" s="6" t="inlineStr">
        <x:is>
          <x:t>Semanal</x:t>
        </x:is>
      </x:c>
      <x:c r="L50" s="6" t="inlineStr">
        <x:is>
          <x:t>Conteúdo + eventos</x:t>
        </x:is>
      </x:c>
      <x:c r="M50" s="6" t="inlineStr">
        <x:is>
          <x:t>tema, canal, persona</x:t>
        </x:is>
      </x:c>
      <x:c r="N50" s="6" t="inlineStr">
        <x:is>
          <x:t>Conteúdo</x:t>
        </x:is>
      </x:c>
      <x:c r="O50" s="6" t="inlineStr">
        <x:is>
          <x:t>Leading</x:t>
        </x:is>
      </x:c>
      <x:c r="P50" s="6" t="inlineStr">
        <x:is>
          <x:t>Conversão</x:t>
        </x:is>
      </x:c>
      <x:c r="Q50" s="6" t="inlineStr">
        <x:is>
          <x:t>uplift de evento × valor médio</x:t>
        </x:is>
      </x:c>
      <x:c r="R50" s="6" t="inlineStr">
        <x:is>
          <x:t>Correlação</x:t>
        </x:is>
      </x:c>
      <x:c r="S50" s="6" t="inlineStr">
        <x:is>
          <x:t>Média</x:t>
        </x:is>
      </x:c>
      <x:c r="T50" s="6" t="inlineStr">
        <x:is>
          <x:t>M1</x:t>
        </x:is>
      </x:c>
    </x:row>
    <x:row r="51" ht="62" customHeight="1">
      <x:c r="A51" s="7" t="inlineStr">
        <x:is>
          <x:t>PRO-01</x:t>
        </x:is>
      </x:c>
      <x:c r="B51" s="7" t="inlineStr">
        <x:is>
          <x:t>Produto / Plataforma</x:t>
        </x:is>
      </x:c>
      <x:c r="C51" s="7" t="inlineStr">
        <x:is>
          <x:t>Produto</x:t>
        </x:is>
      </x:c>
      <x:c r="D51" s="7" t="inlineStr">
        <x:is>
          <x:t>Insumo</x:t>
        </x:is>
      </x:c>
      <x:c r="E51" s="7" t="inlineStr">
        <x:is>
          <x:t>Ativação</x:t>
        </x:is>
      </x:c>
      <x:c r="F51" s="7" t="inlineStr">
        <x:is>
          <x:t>O usuário chega ao primeiro valor?</x:t>
        </x:is>
      </x:c>
      <x:c r="G51" s="7" t="inlineStr">
        <x:is>
          <x:t>Usuários que completam o evento-chave no prazo.</x:t>
        </x:is>
      </x:c>
      <x:c r="H51" s="7" t="inlineStr">
        <x:is>
          <x:t>usuários ativados / novos usuários</x:t>
        </x:is>
      </x:c>
      <x:c r="I51" s="7" t="inlineStr">
        <x:is>
          <x:t>%</x:t>
        </x:is>
      </x:c>
      <x:c r="J51" s="7" t="inlineStr">
        <x:is>
          <x:t>Maior é melhor</x:t>
        </x:is>
      </x:c>
      <x:c r="K51" s="7" t="inlineStr">
        <x:is>
          <x:t>Diária</x:t>
        </x:is>
      </x:c>
      <x:c r="L51" s="7" t="inlineStr">
        <x:is>
          <x:t>Eventos</x:t>
        </x:is>
      </x:c>
      <x:c r="M51" s="7" t="inlineStr">
        <x:is>
          <x:t>persona, origem, empresa</x:t>
        </x:is>
      </x:c>
      <x:c r="N51" s="7" t="inlineStr">
        <x:is>
          <x:t>Produto</x:t>
        </x:is>
      </x:c>
      <x:c r="O51" s="7" t="inlineStr">
        <x:is>
          <x:t>Leading</x:t>
        </x:is>
      </x:c>
      <x:c r="P51" s="7" t="inlineStr">
        <x:is>
          <x:t>Retenção / conversão</x:t>
        </x:is>
      </x:c>
      <x:c r="Q51" s="7" t="inlineStr">
        <x:is>
          <x:t>uplift de retenção × LTV</x:t>
        </x:is>
      </x:c>
      <x:c r="R51" s="7" t="inlineStr">
        <x:is>
          <x:t>Descritivo</x:t>
        </x:is>
      </x:c>
      <x:c r="S51" s="7" t="inlineStr">
        <x:is>
          <x:t>Alta</x:t>
        </x:is>
      </x:c>
      <x:c r="T51" s="7" t="inlineStr">
        <x:is>
          <x:t>M0</x:t>
        </x:is>
      </x:c>
    </x:row>
    <x:row r="52" ht="62" customHeight="1">
      <x:c r="A52" s="6" t="inlineStr">
        <x:is>
          <x:t>PRO-02</x:t>
        </x:is>
      </x:c>
      <x:c r="B52" s="6" t="inlineStr">
        <x:is>
          <x:t>Produto / Plataforma</x:t>
        </x:is>
      </x:c>
      <x:c r="C52" s="6" t="inlineStr">
        <x:is>
          <x:t>Produto</x:t>
        </x:is>
      </x:c>
      <x:c r="D52" s="6" t="inlineStr">
        <x:is>
          <x:t>Ação</x:t>
        </x:is>
      </x:c>
      <x:c r="E52" s="6" t="inlineStr">
        <x:is>
          <x:t>WAU/MAU</x:t>
        </x:is>
      </x:c>
      <x:c r="F52" s="6" t="inlineStr">
        <x:is>
          <x:t>O uso é recorrente?</x:t>
        </x:is>
      </x:c>
      <x:c r="G52" s="6" t="inlineStr">
        <x:is>
          <x:t>Usuários semanais sobre mensais.</x:t>
        </x:is>
      </x:c>
      <x:c r="H52" s="6" t="inlineStr">
        <x:is>
          <x:t>WAU / MAU</x:t>
        </x:is>
      </x:c>
      <x:c r="I52" s="6" t="inlineStr">
        <x:is>
          <x:t>%</x:t>
        </x:is>
      </x:c>
      <x:c r="J52" s="6" t="inlineStr">
        <x:is>
          <x:t>Faixa ótima</x:t>
        </x:is>
      </x:c>
      <x:c r="K52" s="6" t="inlineStr">
        <x:is>
          <x:t>Semanal</x:t>
        </x:is>
      </x:c>
      <x:c r="L52" s="6" t="inlineStr">
        <x:is>
          <x:t>Eventos</x:t>
        </x:is>
      </x:c>
      <x:c r="M52" s="6" t="inlineStr">
        <x:is>
          <x:t>persona, módulo, empresa</x:t>
        </x:is>
      </x:c>
      <x:c r="N52" s="6" t="inlineStr">
        <x:is>
          <x:t>Produto</x:t>
        </x:is>
      </x:c>
      <x:c r="O52" s="6" t="inlineStr">
        <x:is>
          <x:t>Leading</x:t>
        </x:is>
      </x:c>
      <x:c r="P52" s="6" t="inlineStr">
        <x:is>
          <x:t>Retenção</x:t>
        </x:is>
      </x:c>
      <x:c r="Q52" s="6" t="inlineStr">
        <x:is>
          <x:t>relacionar a churn antes de monetizar</x:t>
        </x:is>
      </x:c>
      <x:c r="R52" s="6" t="inlineStr">
        <x:is>
          <x:t>Descritivo</x:t>
        </x:is>
      </x:c>
      <x:c r="S52" s="6" t="inlineStr">
        <x:is>
          <x:t>Alta</x:t>
        </x:is>
      </x:c>
      <x:c r="T52" s="6" t="inlineStr">
        <x:is>
          <x:t>M0</x:t>
        </x:is>
      </x:c>
    </x:row>
    <x:row r="53" ht="62" customHeight="1">
      <x:c r="A53" s="7" t="inlineStr">
        <x:is>
          <x:t>PRO-03</x:t>
        </x:is>
      </x:c>
      <x:c r="B53" s="7" t="inlineStr">
        <x:is>
          <x:t>Produto / Plataforma</x:t>
        </x:is>
      </x:c>
      <x:c r="C53" s="7" t="inlineStr">
        <x:is>
          <x:t>Produto</x:t>
        </x:is>
      </x:c>
      <x:c r="D53" s="7" t="inlineStr">
        <x:is>
          <x:t>Ação</x:t>
        </x:is>
      </x:c>
      <x:c r="E53" s="7" t="inlineStr">
        <x:is>
          <x:t>Adoção por módulo</x:t>
        </x:is>
      </x:c>
      <x:c r="F53" s="7" t="inlineStr">
        <x:is>
          <x:t>Quais módulos geram uso real?</x:t>
        </x:is>
      </x:c>
      <x:c r="G53" s="7" t="inlineStr">
        <x:is>
          <x:t>Clientes/usuários com evento-chave do módulo.</x:t>
        </x:is>
      </x:c>
      <x:c r="H53" s="7" t="inlineStr">
        <x:is>
          <x:t>ativos no módulo / elegíveis</x:t>
        </x:is>
      </x:c>
      <x:c r="I53" s="7" t="inlineStr">
        <x:is>
          <x:t>%</x:t>
        </x:is>
      </x:c>
      <x:c r="J53" s="7" t="inlineStr">
        <x:is>
          <x:t>Maior é melhor</x:t>
        </x:is>
      </x:c>
      <x:c r="K53" s="7" t="inlineStr">
        <x:is>
          <x:t>Semanal</x:t>
        </x:is>
      </x:c>
      <x:c r="L53" s="7" t="inlineStr">
        <x:is>
          <x:t>Eventos + elegibilidade</x:t>
        </x:is>
      </x:c>
      <x:c r="M53" s="7" t="inlineStr">
        <x:is>
          <x:t>módulo, persona, plano</x:t>
        </x:is>
      </x:c>
      <x:c r="N53" s="7" t="inlineStr">
        <x:is>
          <x:t>Produto</x:t>
        </x:is>
      </x:c>
      <x:c r="O53" s="7" t="inlineStr">
        <x:is>
          <x:t>Leading</x:t>
        </x:is>
      </x:c>
      <x:c r="P53" s="7" t="inlineStr">
        <x:is>
          <x:t>Expansão / churn</x:t>
        </x:is>
      </x:c>
      <x:c r="Q53" s="7" t="inlineStr">
        <x:is>
          <x:t>expansão incremental × ARR</x:t>
        </x:is>
      </x:c>
      <x:c r="R53" s="7" t="inlineStr">
        <x:is>
          <x:t>Descritivo</x:t>
        </x:is>
      </x:c>
      <x:c r="S53" s="7" t="inlineStr">
        <x:is>
          <x:t>Alta</x:t>
        </x:is>
      </x:c>
      <x:c r="T53" s="7" t="inlineStr">
        <x:is>
          <x:t>M0</x:t>
        </x:is>
      </x:c>
    </x:row>
    <x:row r="54" ht="62" customHeight="1">
      <x:c r="A54" s="6" t="inlineStr">
        <x:is>
          <x:t>PRO-04</x:t>
        </x:is>
      </x:c>
      <x:c r="B54" s="6" t="inlineStr">
        <x:is>
          <x:t>Produto / Plataforma</x:t>
        </x:is>
      </x:c>
      <x:c r="C54" s="6" t="inlineStr">
        <x:is>
          <x:t>Produto</x:t>
        </x:is>
      </x:c>
      <x:c r="D54" s="6" t="inlineStr">
        <x:is>
          <x:t>Processo</x:t>
        </x:is>
      </x:c>
      <x:c r="E54" s="6" t="inlineStr">
        <x:is>
          <x:t>Time-to-value</x:t>
        </x:is>
      </x:c>
      <x:c r="F54" s="6" t="inlineStr">
        <x:is>
          <x:t>Quanto tempo até o primeiro resultado?</x:t>
        </x:is>
      </x:c>
      <x:c r="G54" s="6" t="inlineStr">
        <x:is>
          <x:t>Dias do onboarding ao outcome mínimo.</x:t>
        </x:is>
      </x:c>
      <x:c r="H54" s="6" t="inlineStr">
        <x:is>
          <x:t>data primeiro valor − data início</x:t>
        </x:is>
      </x:c>
      <x:c r="I54" s="6" t="inlineStr">
        <x:is>
          <x:t>dias</x:t>
        </x:is>
      </x:c>
      <x:c r="J54" s="6" t="inlineStr">
        <x:is>
          <x:t>Menor é melhor</x:t>
        </x:is>
      </x:c>
      <x:c r="K54" s="6" t="inlineStr">
        <x:is>
          <x:t>Semanal</x:t>
        </x:is>
      </x:c>
      <x:c r="L54" s="6" t="inlineStr">
        <x:is>
          <x:t>Eventos + outcome</x:t>
        </x:is>
      </x:c>
      <x:c r="M54" s="6" t="inlineStr">
        <x:is>
          <x:t>persona, produto, implantação</x:t>
        </x:is>
      </x:c>
      <x:c r="N54" s="6" t="inlineStr">
        <x:is>
          <x:t>CS / Produto</x:t>
        </x:is>
      </x:c>
      <x:c r="O54" s="6" t="inlineStr">
        <x:is>
          <x:t>Lagging</x:t>
        </x:is>
      </x:c>
      <x:c r="P54" s="6" t="inlineStr">
        <x:is>
          <x:t>Churn / custo</x:t>
        </x:is>
      </x:c>
      <x:c r="Q54" s="6" t="inlineStr">
        <x:is>
          <x:t>redução de churn × ARR + horas de CS evitadas</x:t>
        </x:is>
      </x:c>
      <x:c r="R54" s="6" t="inlineStr">
        <x:is>
          <x:t>Correlação</x:t>
        </x:is>
      </x:c>
      <x:c r="S54" s="6" t="inlineStr">
        <x:is>
          <x:t>Alta</x:t>
        </x:is>
      </x:c>
      <x:c r="T54" s="6" t="inlineStr">
        <x:is>
          <x:t>M1</x:t>
        </x:is>
      </x:c>
    </x:row>
    <x:row r="55" ht="62" customHeight="1">
      <x:c r="A55" s="7" t="inlineStr">
        <x:is>
          <x:t>PRO-05</x:t>
        </x:is>
      </x:c>
      <x:c r="B55" s="7" t="inlineStr">
        <x:is>
          <x:t>Produto / Plataforma</x:t>
        </x:is>
      </x:c>
      <x:c r="C55" s="7" t="inlineStr">
        <x:is>
          <x:t>Produto</x:t>
        </x:is>
      </x:c>
      <x:c r="D55" s="7" t="inlineStr">
        <x:is>
          <x:t>Resultado</x:t>
        </x:is>
      </x:c>
      <x:c r="E55" s="7" t="inlineStr">
        <x:is>
          <x:t>Retenção de cohort</x:t>
        </x:is>
      </x:c>
      <x:c r="F55" s="7" t="inlineStr">
        <x:is>
          <x:t>O usuário continua ativo após receber valor?</x:t>
        </x:is>
      </x:c>
      <x:c r="G55" s="7" t="inlineStr">
        <x:is>
          <x:t>Percentual ativo em D30/D90/D180.</x:t>
        </x:is>
      </x:c>
      <x:c r="H55" s="7" t="inlineStr">
        <x:is>
          <x:t>ativos no período / cohort inicial</x:t>
        </x:is>
      </x:c>
      <x:c r="I55" s="7" t="inlineStr">
        <x:is>
          <x:t>%</x:t>
        </x:is>
      </x:c>
      <x:c r="J55" s="7" t="inlineStr">
        <x:is>
          <x:t>Maior é melhor</x:t>
        </x:is>
      </x:c>
      <x:c r="K55" s="7" t="inlineStr">
        <x:is>
          <x:t>Mensal</x:t>
        </x:is>
      </x:c>
      <x:c r="L55" s="7" t="inlineStr">
        <x:is>
          <x:t>Eventos</x:t>
        </x:is>
      </x:c>
      <x:c r="M55" s="7" t="inlineStr">
        <x:is>
          <x:t>cohort, plano, módulo</x:t>
        </x:is>
      </x:c>
      <x:c r="N55" s="7" t="inlineStr">
        <x:is>
          <x:t>Produto</x:t>
        </x:is>
      </x:c>
      <x:c r="O55" s="7" t="inlineStr">
        <x:is>
          <x:t>Lagging</x:t>
        </x:is>
      </x:c>
      <x:c r="P55" s="7" t="inlineStr">
        <x:is>
          <x:t>LTV / receita</x:t>
        </x:is>
      </x:c>
      <x:c r="Q55" s="7" t="inlineStr">
        <x:is>
          <x:t>retenção incremental × receita média</x:t>
        </x:is>
      </x:c>
      <x:c r="R55" s="7" t="inlineStr">
        <x:is>
          <x:t>Descritivo</x:t>
        </x:is>
      </x:c>
      <x:c r="S55" s="7" t="inlineStr">
        <x:is>
          <x:t>Alta</x:t>
        </x:is>
      </x:c>
      <x:c r="T55" s="7" t="inlineStr">
        <x:is>
          <x:t>M1</x:t>
        </x:is>
      </x:c>
    </x:row>
    <x:row r="56" ht="62" customHeight="1">
      <x:c r="A56" s="6" t="inlineStr">
        <x:is>
          <x:t>PRO-06</x:t>
        </x:is>
      </x:c>
      <x:c r="B56" s="6" t="inlineStr">
        <x:is>
          <x:t>Produto / Plataforma</x:t>
        </x:is>
      </x:c>
      <x:c r="C56" s="6" t="inlineStr">
        <x:is>
          <x:t>Produto</x:t>
        </x:is>
      </x:c>
      <x:c r="D56" s="6" t="inlineStr">
        <x:is>
          <x:t>Resultado</x:t>
        </x:is>
      </x:c>
      <x:c r="E56" s="6" t="inlineStr">
        <x:is>
          <x:t>Churn de clientes</x:t>
        </x:is>
      </x:c>
      <x:c r="F56" s="6" t="inlineStr">
        <x:is>
          <x:t>Quais clientes cancelam e por quê?</x:t>
        </x:is>
      </x:c>
      <x:c r="G56" s="6" t="inlineStr">
        <x:is>
          <x:t>Clientes perdidos sobre base inicial.</x:t>
        </x:is>
      </x:c>
      <x:c r="H56" s="6" t="inlineStr">
        <x:is>
          <x:t>clientes cancelados / clientes no início</x:t>
        </x:is>
      </x:c>
      <x:c r="I56" s="6" t="inlineStr">
        <x:is>
          <x:t>%</x:t>
        </x:is>
      </x:c>
      <x:c r="J56" s="6" t="inlineStr">
        <x:is>
          <x:t>Menor é melhor</x:t>
        </x:is>
      </x:c>
      <x:c r="K56" s="6" t="inlineStr">
        <x:is>
          <x:t>Mensal</x:t>
        </x:is>
      </x:c>
      <x:c r="L56" s="6" t="inlineStr">
        <x:is>
          <x:t>CRM + contrato</x:t>
        </x:is>
      </x:c>
      <x:c r="M56" s="6" t="inlineStr">
        <x:is>
          <x:t>produto, segmento, uso</x:t>
        </x:is>
      </x:c>
      <x:c r="N56" s="6" t="inlineStr">
        <x:is>
          <x:t>CS</x:t>
        </x:is>
      </x:c>
      <x:c r="O56" s="6" t="inlineStr">
        <x:is>
          <x:t>Lagging</x:t>
        </x:is>
      </x:c>
      <x:c r="P56" s="6" t="inlineStr">
        <x:is>
          <x:t>Receita recorrente</x:t>
        </x:is>
      </x:c>
      <x:c r="Q56" s="6" t="inlineStr">
        <x:is>
          <x:t>ARR preservado × margem</x:t>
        </x:is>
      </x:c>
      <x:c r="R56" s="6" t="inlineStr">
        <x:is>
          <x:t>Descritivo</x:t>
        </x:is>
      </x:c>
      <x:c r="S56" s="6" t="inlineStr">
        <x:is>
          <x:t>Alta</x:t>
        </x:is>
      </x:c>
      <x:c r="T56" s="6" t="inlineStr">
        <x:is>
          <x:t>M1</x:t>
        </x:is>
      </x:c>
    </x:row>
    <x:row r="57" ht="62" customHeight="1">
      <x:c r="A57" s="7" t="inlineStr">
        <x:is>
          <x:t>PRO-07</x:t>
        </x:is>
      </x:c>
      <x:c r="B57" s="7" t="inlineStr">
        <x:is>
          <x:t>Produto / Plataforma</x:t>
        </x:is>
      </x:c>
      <x:c r="C57" s="7" t="inlineStr">
        <x:is>
          <x:t>Inteligência</x:t>
        </x:is>
      </x:c>
      <x:c r="D57" s="7" t="inlineStr">
        <x:is>
          <x:t>Resultado</x:t>
        </x:is>
      </x:c>
      <x:c r="E57" s="7" t="inlineStr">
        <x:is>
          <x:t>Precisão do match</x:t>
        </x:is>
      </x:c>
      <x:c r="F57" s="7" t="inlineStr">
        <x:is>
          <x:t>O ranking coloca opções relevantes no topo?</x:t>
        </x:is>
      </x:c>
      <x:c r="G57" s="7" t="inlineStr">
        <x:is>
          <x:t>Qualidade do ranking por decisão real.</x:t>
        </x:is>
      </x:c>
      <x:c r="H57" s="7" t="inlineStr">
        <x:is>
          <x:t>NDCG@k, precision@k ou aceitos/top k</x:t>
        </x:is>
      </x:c>
      <x:c r="I57" s="7" t="inlineStr">
        <x:is>
          <x:t>score</x:t>
        </x:is>
      </x:c>
      <x:c r="J57" s="7" t="inlineStr">
        <x:is>
          <x:t>Maior é melhor</x:t>
        </x:is>
      </x:c>
      <x:c r="K57" s="7" t="inlineStr">
        <x:is>
          <x:t>Semanal</x:t>
        </x:is>
      </x:c>
      <x:c r="L57" s="7" t="inlineStr">
        <x:is>
          <x:t>Match + decisão</x:t>
        </x:is>
      </x:c>
      <x:c r="M57" s="7" t="inlineStr">
        <x:is>
          <x:t>modelo, oportunidade, segmento</x:t>
        </x:is>
      </x:c>
      <x:c r="N57" s="7" t="inlineStr">
        <x:is>
          <x:t>Data Science</x:t>
        </x:is>
      </x:c>
      <x:c r="O57" s="7" t="inlineStr">
        <x:is>
          <x:t>Lagging</x:t>
        </x:is>
      </x:c>
      <x:c r="P57" s="7" t="inlineStr">
        <x:is>
          <x:t>Conversão / ciclo</x:t>
        </x:is>
      </x:c>
      <x:c r="Q57" s="7" t="inlineStr">
        <x:is>
          <x:t>uplift de contratos × margem ou tempo evitado</x:t>
        </x:is>
      </x:c>
      <x:c r="R57" s="7" t="inlineStr">
        <x:is>
          <x:t>Quase-experimental</x:t>
        </x:is>
      </x:c>
      <x:c r="S57" s="7" t="inlineStr">
        <x:is>
          <x:t>Alta</x:t>
        </x:is>
      </x:c>
      <x:c r="T57" s="7" t="inlineStr">
        <x:is>
          <x:t>M1</x:t>
        </x:is>
      </x:c>
    </x:row>
    <x:row r="58" ht="62" customHeight="1">
      <x:c r="A58" s="6" t="inlineStr">
        <x:is>
          <x:t>PRO-08</x:t>
        </x:is>
      </x:c>
      <x:c r="B58" s="6" t="inlineStr">
        <x:is>
          <x:t>Produto / Plataforma</x:t>
        </x:is>
      </x:c>
      <x:c r="C58" s="6" t="inlineStr">
        <x:is>
          <x:t>Inteligência</x:t>
        </x:is>
      </x:c>
      <x:c r="D58" s="6" t="inlineStr">
        <x:is>
          <x:t>Resultado</x:t>
        </x:is>
      </x:c>
      <x:c r="E58" s="6" t="inlineStr">
        <x:is>
          <x:t>Uplift da recomendação</x:t>
        </x:is>
      </x:c>
      <x:c r="F58" s="6" t="inlineStr">
        <x:is>
          <x:t>A recomendação melhora o resultado versus não recomendar?</x:t>
        </x:is>
      </x:c>
      <x:c r="G58" s="6" t="inlineStr">
        <x:is>
          <x:t>Diferença de outcome entre tratamento e comparável.</x:t>
        </x:is>
      </x:c>
      <x:c r="H58" s="6" t="inlineStr">
        <x:is>
          <x:t>outcome tratamento − outcome controle</x:t>
        </x:is>
      </x:c>
      <x:c r="I58" s="6" t="inlineStr">
        <x:is>
          <x:t>p.p.</x:t>
        </x:is>
      </x:c>
      <x:c r="J58" s="6" t="inlineStr">
        <x:is>
          <x:t>Maior é melhor</x:t>
        </x:is>
      </x:c>
      <x:c r="K58" s="6" t="inlineStr">
        <x:is>
          <x:t>Mensal</x:t>
        </x:is>
      </x:c>
      <x:c r="L58" s="6" t="inlineStr">
        <x:is>
          <x:t>Experimento / cohort</x:t>
        </x:is>
      </x:c>
      <x:c r="M58" s="6" t="inlineStr">
        <x:is>
          <x:t>modelo, ação, segmento</x:t>
        </x:is>
      </x:c>
      <x:c r="N58" s="6" t="inlineStr">
        <x:is>
          <x:t>Data Science</x:t>
        </x:is>
      </x:c>
      <x:c r="O58" s="6" t="inlineStr">
        <x:is>
          <x:t>Lagging</x:t>
        </x:is>
      </x:c>
      <x:c r="P58" s="6" t="inlineStr">
        <x:is>
          <x:t>Receita / custo</x:t>
        </x:is>
      </x:c>
      <x:c r="Q58" s="6" t="inlineStr">
        <x:is>
          <x:t>uplift × população × valor por outcome</x:t>
        </x:is>
      </x:c>
      <x:c r="R58" s="6" t="inlineStr">
        <x:is>
          <x:t>Experimental</x:t>
        </x:is>
      </x:c>
      <x:c r="S58" s="6" t="inlineStr">
        <x:is>
          <x:t>Alta</x:t>
        </x:is>
      </x:c>
      <x:c r="T58" s="6" t="inlineStr">
        <x:is>
          <x:t>M2</x:t>
        </x:is>
      </x:c>
    </x:row>
    <x:row r="59" ht="62" customHeight="1">
      <x:c r="A59" s="7" t="inlineStr">
        <x:is>
          <x:t>PRO-09</x:t>
        </x:is>
      </x:c>
      <x:c r="B59" s="7" t="inlineStr">
        <x:is>
          <x:t>Produto / Plataforma</x:t>
        </x:is>
      </x:c>
      <x:c r="C59" s="7" t="inlineStr">
        <x:is>
          <x:t>Executiva</x:t>
        </x:is>
      </x:c>
      <x:c r="D59" s="7" t="inlineStr">
        <x:is>
          <x:t>Impacto</x:t>
        </x:is>
      </x:c>
      <x:c r="E59" s="7" t="inlineStr">
        <x:is>
          <x:t>ARR</x:t>
        </x:is>
      </x:c>
      <x:c r="F59" s="7" t="inlineStr">
        <x:is>
          <x:t>Qual receita recorrente anual está contratada?</x:t>
        </x:is>
      </x:c>
      <x:c r="G59" s="7" t="inlineStr">
        <x:is>
          <x:t>Receita recorrente anualizada.</x:t>
        </x:is>
      </x:c>
      <x:c r="H59" s="7" t="inlineStr">
        <x:is>
          <x:t>MRR recorrente × 12</x:t>
        </x:is>
      </x:c>
      <x:c r="I59" s="7" t="inlineStr">
        <x:is>
          <x:t>R$</x:t>
        </x:is>
      </x:c>
      <x:c r="J59" s="7" t="inlineStr">
        <x:is>
          <x:t>Maior é melhor</x:t>
        </x:is>
      </x:c>
      <x:c r="K59" s="7" t="inlineStr">
        <x:is>
          <x:t>Mensal</x:t>
        </x:is>
      </x:c>
      <x:c r="L59" s="7" t="inlineStr">
        <x:is>
          <x:t>Contrato + financeiro</x:t>
        </x:is>
      </x:c>
      <x:c r="M59" s="7" t="inlineStr">
        <x:is>
          <x:t>produto, entidade, segmento</x:t>
        </x:is>
      </x:c>
      <x:c r="N59" s="7" t="inlineStr">
        <x:is>
          <x:t>Financeiro</x:t>
        </x:is>
      </x:c>
      <x:c r="O59" s="7" t="inlineStr">
        <x:is>
          <x:t>Lagging</x:t>
        </x:is>
      </x:c>
      <x:c r="P59" s="7" t="inlineStr">
        <x:is>
          <x:t>Receita recorrente</x:t>
        </x:is>
      </x:c>
      <x:c r="Q59" s="7" t="inlineStr">
        <x:is>
          <x:t>valor contratual anual</x:t>
        </x:is>
      </x:c>
      <x:c r="R59" s="7" t="inlineStr">
        <x:is>
          <x:t>Descritivo</x:t>
        </x:is>
      </x:c>
      <x:c r="S59" s="7" t="inlineStr">
        <x:is>
          <x:t>Alta</x:t>
        </x:is>
      </x:c>
      <x:c r="T59" s="7" t="inlineStr">
        <x:is>
          <x:t>M0</x:t>
        </x:is>
      </x:c>
    </x:row>
    <x:row r="60" ht="62" customHeight="1">
      <x:c r="A60" s="6" t="inlineStr">
        <x:is>
          <x:t>PRO-10</x:t>
        </x:is>
      </x:c>
      <x:c r="B60" s="6" t="inlineStr">
        <x:is>
          <x:t>Produto / Plataforma</x:t>
        </x:is>
      </x:c>
      <x:c r="C60" s="6" t="inlineStr">
        <x:is>
          <x:t>Executiva</x:t>
        </x:is>
      </x:c>
      <x:c r="D60" s="6" t="inlineStr">
        <x:is>
          <x:t>Impacto</x:t>
        </x:is>
      </x:c>
      <x:c r="E60" s="6" t="inlineStr">
        <x:is>
          <x:t>LTV/CAC</x:t>
        </x:is>
      </x:c>
      <x:c r="F60" s="6" t="inlineStr">
        <x:is>
          <x:t>O crescimento gera valor econômico?</x:t>
        </x:is>
      </x:c>
      <x:c r="G60" s="6" t="inlineStr">
        <x:is>
          <x:t>Valor de vida do cliente sobre custo de aquisição.</x:t>
        </x:is>
      </x:c>
      <x:c r="H60" s="6" t="inlineStr">
        <x:is>
          <x:t>((ARPA × margem bruta) / churn mensal) / CAC</x:t>
        </x:is>
      </x:c>
      <x:c r="I60" s="6" t="inlineStr">
        <x:is>
          <x:t>x</x:t>
        </x:is>
      </x:c>
      <x:c r="J60" s="6" t="inlineStr">
        <x:is>
          <x:t>Maior é melhor</x:t>
        </x:is>
      </x:c>
      <x:c r="K60" s="6" t="inlineStr">
        <x:is>
          <x:t>Mensal</x:t>
        </x:is>
      </x:c>
      <x:c r="L60" s="6" t="inlineStr">
        <x:is>
          <x:t>Financeiro + CRM</x:t>
        </x:is>
      </x:c>
      <x:c r="M60" s="6" t="inlineStr">
        <x:is>
          <x:t>produto, cohort, segmento</x:t>
        </x:is>
      </x:c>
      <x:c r="N60" s="6" t="inlineStr">
        <x:is>
          <x:t>Financeiro</x:t>
        </x:is>
      </x:c>
      <x:c r="O60" s="6" t="inlineStr">
        <x:is>
          <x:t>Lagging</x:t>
        </x:is>
      </x:c>
      <x:c r="P60" s="6" t="inlineStr">
        <x:is>
          <x:t>Unit economics</x:t>
        </x:is>
      </x:c>
      <x:c r="Q60" s="6" t="inlineStr">
        <x:is>
          <x:t>LTV / CAC</x:t>
        </x:is>
      </x:c>
      <x:c r="R60" s="6" t="inlineStr">
        <x:is>
          <x:t>Descritivo</x:t>
        </x:is>
      </x:c>
      <x:c r="S60" s="6" t="inlineStr">
        <x:is>
          <x:t>Alta</x:t>
        </x:is>
      </x:c>
      <x:c r="T60" s="6" t="inlineStr">
        <x:is>
          <x:t>M2</x:t>
        </x:is>
      </x:c>
    </x:row>
    <x:row r="61" ht="62" customHeight="1">
      <x:c r="A61" s="7" t="inlineStr">
        <x:is>
          <x:t>FIN-01</x:t>
        </x:is>
      </x:c>
      <x:c r="B61" s="7" t="inlineStr">
        <x:is>
          <x:t>Financeiro / Impacto</x:t>
        </x:is>
      </x:c>
      <x:c r="C61" s="7" t="inlineStr">
        <x:is>
          <x:t>Executiva</x:t>
        </x:is>
      </x:c>
      <x:c r="D61" s="7" t="inlineStr">
        <x:is>
          <x:t>Impacto</x:t>
        </x:is>
      </x:c>
      <x:c r="E61" s="7" t="inlineStr">
        <x:is>
          <x:t>Benefício bruto atribuído</x:t>
        </x:is>
      </x:c>
      <x:c r="F61" s="7" t="inlineStr">
        <x:is>
          <x:t>Quanto valor total foi provado antes do investimento?</x:t>
        </x:is>
      </x:c>
      <x:c r="G61" s="7" t="inlineStr">
        <x:is>
          <x:t>Soma deduplicada dos benefícios após atribuição.</x:t>
        </x:is>
      </x:c>
      <x:c r="H61" s="7" t="inlineStr">
        <x:is>
          <x:t>Σ benefícios atribuídos por alavanca</x:t>
        </x:is>
      </x:c>
      <x:c r="I61" s="7" t="inlineStr">
        <x:is>
          <x:t>R$</x:t>
        </x:is>
      </x:c>
      <x:c r="J61" s="7" t="inlineStr">
        <x:is>
          <x:t>Maior é melhor</x:t>
        </x:is>
      </x:c>
      <x:c r="K61" s="7" t="inlineStr">
        <x:is>
          <x:t>Trimestral</x:t>
        </x:is>
      </x:c>
      <x:c r="L61" s="7" t="inlineStr">
        <x:is>
          <x:t>Data mart financeiro</x:t>
        </x:is>
      </x:c>
      <x:c r="M61" s="7" t="inlineStr">
        <x:is>
          <x:t>cliente, programa, alavanca</x:t>
        </x:is>
      </x:c>
      <x:c r="N61" s="7" t="inlineStr">
        <x:is>
          <x:t>Financeiro</x:t>
        </x:is>
      </x:c>
      <x:c r="O61" s="7" t="inlineStr">
        <x:is>
          <x:t>Lagging</x:t>
        </x:is>
      </x:c>
      <x:c r="P61" s="7" t="inlineStr">
        <x:is>
          <x:t>Valor total</x:t>
        </x:is>
      </x:c>
      <x:c r="Q61" s="7" t="inlineStr">
        <x:is>
          <x:t>soma após regras de deduplicação</x:t>
        </x:is>
      </x:c>
      <x:c r="R61" s="7" t="inlineStr">
        <x:is>
          <x:t>Quase-experimental</x:t>
        </x:is>
      </x:c>
      <x:c r="S61" s="7" t="inlineStr">
        <x:is>
          <x:t>Alta</x:t>
        </x:is>
      </x:c>
      <x:c r="T61" s="7" t="inlineStr">
        <x:is>
          <x:t>M2</x:t>
        </x:is>
      </x:c>
    </x:row>
    <x:row r="62" ht="62" customHeight="1">
      <x:c r="A62" s="6" t="inlineStr">
        <x:is>
          <x:t>FIN-02</x:t>
        </x:is>
      </x:c>
      <x:c r="B62" s="6" t="inlineStr">
        <x:is>
          <x:t>Financeiro / Impacto</x:t>
        </x:is>
      </x:c>
      <x:c r="C62" s="6" t="inlineStr">
        <x:is>
          <x:t>Executiva</x:t>
        </x:is>
      </x:c>
      <x:c r="D62" s="6" t="inlineStr">
        <x:is>
          <x:t>Impacto</x:t>
        </x:is>
      </x:c>
      <x:c r="E62" s="6" t="inlineStr">
        <x:is>
          <x:t>Benefício líquido</x:t>
        </x:is>
      </x:c>
      <x:c r="F62" s="6" t="inlineStr">
        <x:is>
          <x:t>Qual valor sobra após o investimento?</x:t>
        </x:is>
      </x:c>
      <x:c r="G62" s="6" t="inlineStr">
        <x:is>
          <x:t>Benefício bruto menos investimento total.</x:t>
        </x:is>
      </x:c>
      <x:c r="H62" s="6" t="inlineStr">
        <x:is>
          <x:t>benefício bruto − investimento total</x:t>
        </x:is>
      </x:c>
      <x:c r="I62" s="6" t="inlineStr">
        <x:is>
          <x:t>R$</x:t>
        </x:is>
      </x:c>
      <x:c r="J62" s="6" t="inlineStr">
        <x:is>
          <x:t>Maior é melhor</x:t>
        </x:is>
      </x:c>
      <x:c r="K62" s="6" t="inlineStr">
        <x:is>
          <x:t>Trimestral</x:t>
        </x:is>
      </x:c>
      <x:c r="L62" s="6" t="inlineStr">
        <x:is>
          <x:t>Financeiro</x:t>
        </x:is>
      </x:c>
      <x:c r="M62" s="6" t="inlineStr">
        <x:is>
          <x:t>cliente, programa</x:t>
        </x:is>
      </x:c>
      <x:c r="N62" s="6" t="inlineStr">
        <x:is>
          <x:t>Financeiro</x:t>
        </x:is>
      </x:c>
      <x:c r="O62" s="6" t="inlineStr">
        <x:is>
          <x:t>Lagging</x:t>
        </x:is>
      </x:c>
      <x:c r="P62" s="6" t="inlineStr">
        <x:is>
          <x:t>Lucro / ROI</x:t>
        </x:is>
      </x:c>
      <x:c r="Q62" s="6" t="inlineStr">
        <x:is>
          <x:t>benefício bruto − licença − serviços − custo interno</x:t>
        </x:is>
      </x:c>
      <x:c r="R62" s="6" t="inlineStr">
        <x:is>
          <x:t>Quase-experimental</x:t>
        </x:is>
      </x:c>
      <x:c r="S62" s="6" t="inlineStr">
        <x:is>
          <x:t>Alta</x:t>
        </x:is>
      </x:c>
      <x:c r="T62" s="6" t="inlineStr">
        <x:is>
          <x:t>M2</x:t>
        </x:is>
      </x:c>
    </x:row>
    <x:row r="63" ht="62" customHeight="1">
      <x:c r="A63" s="7" t="inlineStr">
        <x:is>
          <x:t>FIN-03</x:t>
        </x:is>
      </x:c>
      <x:c r="B63" s="7" t="inlineStr">
        <x:is>
          <x:t>Financeiro / Impacto</x:t>
        </x:is>
      </x:c>
      <x:c r="C63" s="7" t="inlineStr">
        <x:is>
          <x:t>Executiva</x:t>
        </x:is>
      </x:c>
      <x:c r="D63" s="7" t="inlineStr">
        <x:is>
          <x:t>Impacto</x:t>
        </x:is>
      </x:c>
      <x:c r="E63" s="7" t="inlineStr">
        <x:is>
          <x:t>ROI do cliente</x:t>
        </x:is>
      </x:c>
      <x:c r="F63" s="7" t="inlineStr">
        <x:is>
          <x:t>O investimento na HUB retorna valor?</x:t>
        </x:is>
      </x:c>
      <x:c r="G63" s="7" t="inlineStr">
        <x:is>
          <x:t>Retorno líquido sobre o investimento.</x:t>
        </x:is>
      </x:c>
      <x:c r="H63" s="7" t="inlineStr">
        <x:is>
          <x:t>(benefício bruto − investimento) / investimento</x:t>
        </x:is>
      </x:c>
      <x:c r="I63" s="7" t="inlineStr">
        <x:is>
          <x:t>%</x:t>
        </x:is>
      </x:c>
      <x:c r="J63" s="7" t="inlineStr">
        <x:is>
          <x:t>Maior é melhor</x:t>
        </x:is>
      </x:c>
      <x:c r="K63" s="7" t="inlineStr">
        <x:is>
          <x:t>Trimestral</x:t>
        </x:is>
      </x:c>
      <x:c r="L63" s="7" t="inlineStr">
        <x:is>
          <x:t>Financeiro</x:t>
        </x:is>
      </x:c>
      <x:c r="M63" s="7" t="inlineStr">
        <x:is>
          <x:t>cliente, programa, cenário</x:t>
        </x:is>
      </x:c>
      <x:c r="N63" s="7" t="inlineStr">
        <x:is>
          <x:t>Financeiro</x:t>
        </x:is>
      </x:c>
      <x:c r="O63" s="7" t="inlineStr">
        <x:is>
          <x:t>Lagging</x:t>
        </x:is>
      </x:c>
      <x:c r="P63" s="7" t="inlineStr">
        <x:is>
          <x:t>ROI</x:t>
        </x:is>
      </x:c>
      <x:c r="Q63" s="7" t="inlineStr">
        <x:is>
          <x:t>benefício líquido / investimento</x:t>
        </x:is>
      </x:c>
      <x:c r="R63" s="7" t="inlineStr">
        <x:is>
          <x:t>Quase-experimental</x:t>
        </x:is>
      </x:c>
      <x:c r="S63" s="7" t="inlineStr">
        <x:is>
          <x:t>Alta</x:t>
        </x:is>
      </x:c>
      <x:c r="T63" s="7" t="inlineStr">
        <x:is>
          <x:t>M2</x:t>
        </x:is>
      </x:c>
    </x:row>
    <x:row r="64" ht="62" customHeight="1">
      <x:c r="A64" s="6" t="inlineStr">
        <x:is>
          <x:t>FIN-04</x:t>
        </x:is>
      </x:c>
      <x:c r="B64" s="6" t="inlineStr">
        <x:is>
          <x:t>Financeiro / Impacto</x:t>
        </x:is>
      </x:c>
      <x:c r="C64" s="6" t="inlineStr">
        <x:is>
          <x:t>Executiva</x:t>
        </x:is>
      </x:c>
      <x:c r="D64" s="6" t="inlineStr">
        <x:is>
          <x:t>Impacto</x:t>
        </x:is>
      </x:c>
      <x:c r="E64" s="6" t="inlineStr">
        <x:is>
          <x:t>Payback</x:t>
        </x:is>
      </x:c>
      <x:c r="F64" s="6" t="inlineStr">
        <x:is>
          <x:t>Quando o investimento se paga?</x:t>
        </x:is>
      </x:c>
      <x:c r="G64" s="6" t="inlineStr">
        <x:is>
          <x:t>Meses para benefício acumulado cobrir investimento.</x:t>
        </x:is>
      </x:c>
      <x:c r="H64" s="6" t="inlineStr">
        <x:is>
          <x:t>investimento / (benefício anual / 12)</x:t>
        </x:is>
      </x:c>
      <x:c r="I64" s="6" t="inlineStr">
        <x:is>
          <x:t>meses</x:t>
        </x:is>
      </x:c>
      <x:c r="J64" s="6" t="inlineStr">
        <x:is>
          <x:t>Menor é melhor</x:t>
        </x:is>
      </x:c>
      <x:c r="K64" s="6" t="inlineStr">
        <x:is>
          <x:t>Trimestral</x:t>
        </x:is>
      </x:c>
      <x:c r="L64" s="6" t="inlineStr">
        <x:is>
          <x:t>Financeiro</x:t>
        </x:is>
      </x:c>
      <x:c r="M64" s="6" t="inlineStr">
        <x:is>
          <x:t>cliente, programa</x:t>
        </x:is>
      </x:c>
      <x:c r="N64" s="6" t="inlineStr">
        <x:is>
          <x:t>Financeiro</x:t>
        </x:is>
      </x:c>
      <x:c r="O64" s="6" t="inlineStr">
        <x:is>
          <x:t>Lagging</x:t>
        </x:is>
      </x:c>
      <x:c r="P64" s="6" t="inlineStr">
        <x:is>
          <x:t>Caixa</x:t>
        </x:is>
      </x:c>
      <x:c r="Q64" s="6" t="inlineStr">
        <x:is>
          <x:t>investimento / benefício mensal</x:t>
        </x:is>
      </x:c>
      <x:c r="R64" s="6" t="inlineStr">
        <x:is>
          <x:t>Quase-experimental</x:t>
        </x:is>
      </x:c>
      <x:c r="S64" s="6" t="inlineStr">
        <x:is>
          <x:t>Alta</x:t>
        </x:is>
      </x:c>
      <x:c r="T64" s="6" t="inlineStr">
        <x:is>
          <x:t>M2</x:t>
        </x:is>
      </x:c>
    </x:row>
    <x:row r="65" ht="62" customHeight="1">
      <x:c r="A65" s="7" t="inlineStr">
        <x:is>
          <x:t>FIN-05</x:t>
        </x:is>
      </x:c>
      <x:c r="B65" s="7" t="inlineStr">
        <x:is>
          <x:t>Financeiro / Impacto</x:t>
        </x:is>
      </x:c>
      <x:c r="C65" s="7" t="inlineStr">
        <x:is>
          <x:t>Executiva</x:t>
        </x:is>
      </x:c>
      <x:c r="D65" s="7" t="inlineStr">
        <x:is>
          <x:t>Impacto</x:t>
        </x:is>
      </x:c>
      <x:c r="E65" s="7" t="inlineStr">
        <x:is>
          <x:t>Margem incremental</x:t>
        </x:is>
      </x:c>
      <x:c r="F65" s="7" t="inlineStr">
        <x:is>
          <x:t>Quanto do resultado adicional vira margem?</x:t>
        </x:is>
      </x:c>
      <x:c r="G65" s="7" t="inlineStr">
        <x:is>
          <x:t>Receita incremental multiplicada pela margem de contribuição.</x:t>
        </x:is>
      </x:c>
      <x:c r="H65" s="7" t="inlineStr">
        <x:is>
          <x:t>receita incremental × margem × atribuição</x:t>
        </x:is>
      </x:c>
      <x:c r="I65" s="7" t="inlineStr">
        <x:is>
          <x:t>R$</x:t>
        </x:is>
      </x:c>
      <x:c r="J65" s="7" t="inlineStr">
        <x:is>
          <x:t>Maior é melhor</x:t>
        </x:is>
      </x:c>
      <x:c r="K65" s="7" t="inlineStr">
        <x:is>
          <x:t>Mensal</x:t>
        </x:is>
      </x:c>
      <x:c r="L65" s="7" t="inlineStr">
        <x:is>
          <x:t>CRM + financeiro</x:t>
        </x:is>
      </x:c>
      <x:c r="M65" s="7" t="inlineStr">
        <x:is>
          <x:t>cliente, produto, origem</x:t>
        </x:is>
      </x:c>
      <x:c r="N65" s="7" t="inlineStr">
        <x:is>
          <x:t>Financeiro</x:t>
        </x:is>
      </x:c>
      <x:c r="O65" s="7" t="inlineStr">
        <x:is>
          <x:t>Lagging</x:t>
        </x:is>
      </x:c>
      <x:c r="P65" s="7" t="inlineStr">
        <x:is>
          <x:t>Lucro</x:t>
        </x:is>
      </x:c>
      <x:c r="Q65" s="7" t="inlineStr">
        <x:is>
          <x:t>não somar receita bruta e margem como benefícios distintos</x:t>
        </x:is>
      </x:c>
      <x:c r="R65" s="7" t="inlineStr">
        <x:is>
          <x:t>Quase-experimental</x:t>
        </x:is>
      </x:c>
      <x:c r="S65" s="7" t="inlineStr">
        <x:is>
          <x:t>Alta</x:t>
        </x:is>
      </x:c>
      <x:c r="T65" s="7" t="inlineStr">
        <x:is>
          <x:t>M2</x:t>
        </x:is>
      </x:c>
    </x:row>
    <x:row r="66" ht="62" customHeight="1">
      <x:c r="A66" s="6" t="inlineStr">
        <x:is>
          <x:t>FIN-06</x:t>
        </x:is>
      </x:c>
      <x:c r="B66" s="6" t="inlineStr">
        <x:is>
          <x:t>Financeiro / Impacto</x:t>
        </x:is>
      </x:c>
      <x:c r="C66" s="6" t="inlineStr">
        <x:is>
          <x:t>Executiva</x:t>
        </x:is>
      </x:c>
      <x:c r="D66" s="6" t="inlineStr">
        <x:is>
          <x:t>Impacto</x:t>
        </x:is>
      </x:c>
      <x:c r="E66" s="6" t="inlineStr">
        <x:is>
          <x:t>Custo evitado</x:t>
        </x:is>
      </x:c>
      <x:c r="F66" s="6" t="inlineStr">
        <x:is>
          <x:t>Qual despesa deixou de ocorrer?</x:t>
        </x:is>
      </x:c>
      <x:c r="G66" s="6" t="inlineStr">
        <x:is>
          <x:t>Diferença ajustada de custo mantendo escopo e qualidade.</x:t>
        </x:is>
      </x:c>
      <x:c r="H66" s="6" t="inlineStr">
        <x:is>
          <x:t>custo baseline − custo realizado − custos de mudança</x:t>
        </x:is>
      </x:c>
      <x:c r="I66" s="6" t="inlineStr">
        <x:is>
          <x:t>R$</x:t>
        </x:is>
      </x:c>
      <x:c r="J66" s="6" t="inlineStr">
        <x:is>
          <x:t>Maior é melhor</x:t>
        </x:is>
      </x:c>
      <x:c r="K66" s="6" t="inlineStr">
        <x:is>
          <x:t>Mensal</x:t>
        </x:is>
      </x:c>
      <x:c r="L66" s="6" t="inlineStr">
        <x:is>
          <x:t>Financeiro + operação</x:t>
        </x:is>
      </x:c>
      <x:c r="M66" s="6" t="inlineStr">
        <x:is>
          <x:t>centro de custo, alavanca</x:t>
        </x:is>
      </x:c>
      <x:c r="N66" s="6" t="inlineStr">
        <x:is>
          <x:t>Controladoria</x:t>
        </x:is>
      </x:c>
      <x:c r="O66" s="6" t="inlineStr">
        <x:is>
          <x:t>Lagging</x:t>
        </x:is>
      </x:c>
      <x:c r="P66" s="6" t="inlineStr">
        <x:is>
          <x:t>Custo / margem</x:t>
        </x:is>
      </x:c>
      <x:c r="Q66" s="6" t="inlineStr">
        <x:is>
          <x:t>delta validado pela controladoria</x:t>
        </x:is>
      </x:c>
      <x:c r="R66" s="6" t="inlineStr">
        <x:is>
          <x:t>Quase-experimental</x:t>
        </x:is>
      </x:c>
      <x:c r="S66" s="6" t="inlineStr">
        <x:is>
          <x:t>Alta</x:t>
        </x:is>
      </x:c>
      <x:c r="T66" s="6" t="inlineStr">
        <x:is>
          <x:t>M2</x:t>
        </x:is>
      </x:c>
    </x:row>
    <x:row r="67" ht="62" customHeight="1">
      <x:c r="A67" s="7" t="inlineStr">
        <x:is>
          <x:t>FIN-07</x:t>
        </x:is>
      </x:c>
      <x:c r="B67" s="7" t="inlineStr">
        <x:is>
          <x:t>Financeiro / Impacto</x:t>
        </x:is>
      </x:c>
      <x:c r="C67" s="7" t="inlineStr">
        <x:is>
          <x:t>Executiva</x:t>
        </x:is>
      </x:c>
      <x:c r="D67" s="7" t="inlineStr">
        <x:is>
          <x:t>Impacto</x:t>
        </x:is>
      </x:c>
      <x:c r="E67" s="7" t="inlineStr">
        <x:is>
          <x:t>Risco evitado</x:t>
        </x:is>
      </x:c>
      <x:c r="F67" s="7" t="inlineStr">
        <x:is>
          <x:t>Qual perda esperada foi reduzida?</x:t>
        </x:is>
      </x:c>
      <x:c r="G67" s="7" t="inlineStr">
        <x:is>
          <x:t>Variação de perda esperada atribuída.</x:t>
        </x:is>
      </x:c>
      <x:c r="H67" s="7" t="inlineStr">
        <x:is>
          <x:t>(probabilidade × impacto) baseline − residual</x:t>
        </x:is>
      </x:c>
      <x:c r="I67" s="7" t="inlineStr">
        <x:is>
          <x:t>R$</x:t>
        </x:is>
      </x:c>
      <x:c r="J67" s="7" t="inlineStr">
        <x:is>
          <x:t>Maior é melhor</x:t>
        </x:is>
      </x:c>
      <x:c r="K67" s="7" t="inlineStr">
        <x:is>
          <x:t>Trimestral</x:t>
        </x:is>
      </x:c>
      <x:c r="L67" s="7" t="inlineStr">
        <x:is>
          <x:t>GRC + financeiro</x:t>
        </x:is>
      </x:c>
      <x:c r="M67" s="7" t="inlineStr">
        <x:is>
          <x:t>risco, controle, cliente</x:t>
        </x:is>
      </x:c>
      <x:c r="N67" s="7" t="inlineStr">
        <x:is>
          <x:t>Riscos</x:t>
        </x:is>
      </x:c>
      <x:c r="O67" s="7" t="inlineStr">
        <x:is>
          <x:t>Lagging</x:t>
        </x:is>
      </x:c>
      <x:c r="P67" s="7" t="inlineStr">
        <x:is>
          <x:t>Risco</x:t>
        </x:is>
      </x:c>
      <x:c r="Q67" s="7" t="inlineStr">
        <x:is>
          <x:t>perda esperada × redução × atribuição</x:t>
        </x:is>
      </x:c>
      <x:c r="R67" s="7" t="inlineStr">
        <x:is>
          <x:t>Quase-experimental</x:t>
        </x:is>
      </x:c>
      <x:c r="S67" s="7" t="inlineStr">
        <x:is>
          <x:t>Alta</x:t>
        </x:is>
      </x:c>
      <x:c r="T67" s="7" t="inlineStr">
        <x:is>
          <x:t>M2</x:t>
        </x:is>
      </x:c>
    </x:row>
    <x:row r="68" ht="62" customHeight="1">
      <x:c r="A68" s="6" t="inlineStr">
        <x:is>
          <x:t>FIN-08</x:t>
        </x:is>
      </x:c>
      <x:c r="B68" s="6" t="inlineStr">
        <x:is>
          <x:t>Financeiro / Impacto</x:t>
        </x:is>
      </x:c>
      <x:c r="C68" s="6" t="inlineStr">
        <x:is>
          <x:t>HUB</x:t>
        </x:is>
      </x:c>
      <x:c r="D68" s="6" t="inlineStr">
        <x:is>
          <x:t>Impacto</x:t>
        </x:is>
      </x:c>
      <x:c r="E68" s="6" t="inlineStr">
        <x:is>
          <x:t>Receita HUB por vertente</x:t>
        </x:is>
      </x:c>
      <x:c r="F68" s="6" t="inlineStr">
        <x:is>
          <x:t>Quais frentes monetizam e com que qualidade?</x:t>
        </x:is>
      </x:c>
      <x:c r="G68" s="6" t="inlineStr">
        <x:is>
          <x:t>Receita reconhecida por licenciamento, serviços e marketplace.</x:t>
        </x:is>
      </x:c>
      <x:c r="H68" s="6" t="inlineStr">
        <x:is>
          <x:t>Σ receita reconhecida por vertente</x:t>
        </x:is>
      </x:c>
      <x:c r="I68" s="6" t="inlineStr">
        <x:is>
          <x:t>R$</x:t>
        </x:is>
      </x:c>
      <x:c r="J68" s="6" t="inlineStr">
        <x:is>
          <x:t>Maior é melhor</x:t>
        </x:is>
      </x:c>
      <x:c r="K68" s="6" t="inlineStr">
        <x:is>
          <x:t>Mensal</x:t>
        </x:is>
      </x:c>
      <x:c r="L68" s="6" t="inlineStr">
        <x:is>
          <x:t>ERP + contrato</x:t>
        </x:is>
      </x:c>
      <x:c r="M68" s="6" t="inlineStr">
        <x:is>
          <x:t>vertente, produto, cliente</x:t>
        </x:is>
      </x:c>
      <x:c r="N68" s="6" t="inlineStr">
        <x:is>
          <x:t>Financeiro HUB</x:t>
        </x:is>
      </x:c>
      <x:c r="O68" s="6" t="inlineStr">
        <x:is>
          <x:t>Lagging</x:t>
        </x:is>
      </x:c>
      <x:c r="P68" s="6" t="inlineStr">
        <x:is>
          <x:t>Receita</x:t>
        </x:is>
      </x:c>
      <x:c r="Q68" s="6" t="inlineStr">
        <x:is>
          <x:t>receita reconhecida</x:t>
        </x:is>
      </x:c>
      <x:c r="R68" s="6" t="inlineStr">
        <x:is>
          <x:t>Descritivo</x:t>
        </x:is>
      </x:c>
      <x:c r="S68" s="6" t="inlineStr">
        <x:is>
          <x:t>Alta</x:t>
        </x:is>
      </x:c>
      <x:c r="T68" s="6" t="inlineStr">
        <x:is>
          <x:t>M0</x:t>
        </x:is>
      </x:c>
    </x:row>
    <x:row r="69" ht="62" customHeight="1">
      <x:c r="A69" s="7" t="inlineStr">
        <x:is>
          <x:t>FIN-09</x:t>
        </x:is>
      </x:c>
      <x:c r="B69" s="7" t="inlineStr">
        <x:is>
          <x:t>Financeiro / Impacto</x:t>
        </x:is>
      </x:c>
      <x:c r="C69" s="7" t="inlineStr">
        <x:is>
          <x:t>HUB</x:t>
        </x:is>
      </x:c>
      <x:c r="D69" s="7" t="inlineStr">
        <x:is>
          <x:t>Impacto</x:t>
        </x:is>
      </x:c>
      <x:c r="E69" s="7" t="inlineStr">
        <x:is>
          <x:t>Margem de contribuição HUB</x:t>
        </x:is>
      </x:c>
      <x:c r="F69" s="7" t="inlineStr">
        <x:is>
          <x:t>Qual receita paga custos variáveis e financia escala?</x:t>
        </x:is>
      </x:c>
      <x:c r="G69" s="7" t="inlineStr">
        <x:is>
          <x:t>Receita menos custos variáveis diretos.</x:t>
        </x:is>
      </x:c>
      <x:c r="H69" s="7" t="inlineStr">
        <x:is>
          <x:t>(receita − custos variáveis) / receita</x:t>
        </x:is>
      </x:c>
      <x:c r="I69" s="7" t="inlineStr">
        <x:is>
          <x:t>%</x:t>
        </x:is>
      </x:c>
      <x:c r="J69" s="7" t="inlineStr">
        <x:is>
          <x:t>Maior é melhor</x:t>
        </x:is>
      </x:c>
      <x:c r="K69" s="7" t="inlineStr">
        <x:is>
          <x:t>Mensal</x:t>
        </x:is>
      </x:c>
      <x:c r="L69" s="7" t="inlineStr">
        <x:is>
          <x:t>ERP</x:t>
        </x:is>
      </x:c>
      <x:c r="M69" s="7" t="inlineStr">
        <x:is>
          <x:t>produto, cliente, projeto</x:t>
        </x:is>
      </x:c>
      <x:c r="N69" s="7" t="inlineStr">
        <x:is>
          <x:t>Financeiro HUB</x:t>
        </x:is>
      </x:c>
      <x:c r="O69" s="7" t="inlineStr">
        <x:is>
          <x:t>Lagging</x:t>
        </x:is>
      </x:c>
      <x:c r="P69" s="7" t="inlineStr">
        <x:is>
          <x:t>Margem</x:t>
        </x:is>
      </x:c>
      <x:c r="Q69" s="7" t="inlineStr">
        <x:is>
          <x:t>receita − custo variável</x:t>
        </x:is>
      </x:c>
      <x:c r="R69" s="7" t="inlineStr">
        <x:is>
          <x:t>Descritivo</x:t>
        </x:is>
      </x:c>
      <x:c r="S69" s="7" t="inlineStr">
        <x:is>
          <x:t>Alta</x:t>
        </x:is>
      </x:c>
      <x:c r="T69" s="7" t="inlineStr">
        <x:is>
          <x:t>M1</x:t>
        </x:is>
      </x:c>
    </x:row>
    <x:row r="70" ht="62" customHeight="1">
      <x:c r="A70" s="6" t="inlineStr">
        <x:is>
          <x:t>FIN-10</x:t>
        </x:is>
      </x:c>
      <x:c r="B70" s="6" t="inlineStr">
        <x:is>
          <x:t>Financeiro / Impacto</x:t>
        </x:is>
      </x:c>
      <x:c r="C70" s="6" t="inlineStr">
        <x:is>
          <x:t>HUB</x:t>
        </x:is>
      </x:c>
      <x:c r="D70" s="6" t="inlineStr">
        <x:is>
          <x:t>Impacto</x:t>
        </x:is>
      </x:c>
      <x:c r="E70" s="6" t="inlineStr">
        <x:is>
          <x:t>Receita recorrente líquida</x:t>
        </x:is>
      </x:c>
      <x:c r="F70" s="6" t="inlineStr">
        <x:is>
          <x:t>A base cresce após expansão e churn?</x:t>
        </x:is>
      </x:c>
      <x:c r="G70" s="6" t="inlineStr">
        <x:is>
          <x:t>Variação líquida da receita recorrente.</x:t>
        </x:is>
      </x:c>
      <x:c r="H70" s="6" t="inlineStr">
        <x:is>
          <x:t>MRR inicial + expansão − contração − churn</x:t>
        </x:is>
      </x:c>
      <x:c r="I70" s="6" t="inlineStr">
        <x:is>
          <x:t>R$/mês</x:t>
        </x:is>
      </x:c>
      <x:c r="J70" s="6" t="inlineStr">
        <x:is>
          <x:t>Maior é melhor</x:t>
        </x:is>
      </x:c>
      <x:c r="K70" s="6" t="inlineStr">
        <x:is>
          <x:t>Mensal</x:t>
        </x:is>
      </x:c>
      <x:c r="L70" s="6" t="inlineStr">
        <x:is>
          <x:t>Billing + CRM</x:t>
        </x:is>
      </x:c>
      <x:c r="M70" s="6" t="inlineStr">
        <x:is>
          <x:t>produto, cohort, segmento</x:t>
        </x:is>
      </x:c>
      <x:c r="N70" s="6" t="inlineStr">
        <x:is>
          <x:t>Financeiro HUB</x:t>
        </x:is>
      </x:c>
      <x:c r="O70" s="6" t="inlineStr">
        <x:is>
          <x:t>Lagging</x:t>
        </x:is>
      </x:c>
      <x:c r="P70" s="6" t="inlineStr">
        <x:is>
          <x:t>Receita recorrente</x:t>
        </x:is>
      </x:c>
      <x:c r="Q70" s="6" t="inlineStr">
        <x:is>
          <x:t>NRR = MRR final / MRR inicial</x:t>
        </x:is>
      </x:c>
      <x:c r="R70" s="6" t="inlineStr">
        <x:is>
          <x:t>Descritivo</x:t>
        </x:is>
      </x:c>
      <x:c r="S70" s="6" t="inlineStr">
        <x:is>
          <x:t>Alta</x:t>
        </x:is>
      </x:c>
      <x:c r="T70" s="6" t="inlineStr">
        <x:is>
          <x:t>M1</x:t>
        </x:is>
      </x:c>
    </x:row>
    <x:row r="71" ht="62" customHeight="1">
      <x:c r="A71" s="7" t="inlineStr">
        <x:is>
          <x:t>DAT-01</x:t>
        </x:is>
      </x:c>
      <x:c r="B71" s="7" t="inlineStr">
        <x:is>
          <x:t>Inteligência / Dados</x:t>
        </x:is>
      </x:c>
      <x:c r="C71" s="7" t="inlineStr">
        <x:is>
          <x:t>Dados</x:t>
        </x:is>
      </x:c>
      <x:c r="D71" s="7" t="inlineStr">
        <x:is>
          <x:t>Qualidade</x:t>
        </x:is>
      </x:c>
      <x:c r="E71" s="7" t="inlineStr">
        <x:is>
          <x:t>Completude de dados críticos</x:t>
        </x:is>
      </x:c>
      <x:c r="F71" s="7" t="inlineStr">
        <x:is>
          <x:t>Os campos essenciais existem?</x:t>
        </x:is>
      </x:c>
      <x:c r="G71" s="7" t="inlineStr">
        <x:is>
          <x:t>Percentual de valores válidos em campos críticos.</x:t>
        </x:is>
      </x:c>
      <x:c r="H71" s="7" t="inlineStr">
        <x:is>
          <x:t>valores válidos / valores esperados</x:t>
        </x:is>
      </x:c>
      <x:c r="I71" s="7" t="inlineStr">
        <x:is>
          <x:t>%</x:t>
        </x:is>
      </x:c>
      <x:c r="J71" s="7" t="inlineStr">
        <x:is>
          <x:t>Maior é melhor</x:t>
        </x:is>
      </x:c>
      <x:c r="K71" s="7" t="inlineStr">
        <x:is>
          <x:t>Diária</x:t>
        </x:is>
      </x:c>
      <x:c r="L71" s="7" t="inlineStr">
        <x:is>
          <x:t>Observabilidade</x:t>
        </x:is>
      </x:c>
      <x:c r="M71" s="7" t="inlineStr">
        <x:is>
          <x:t>fonte, campo, domínio</x:t>
        </x:is>
      </x:c>
      <x:c r="N71" s="7" t="inlineStr">
        <x:is>
          <x:t>Data Governance</x:t>
        </x:is>
      </x:c>
      <x:c r="O71" s="7" t="inlineStr">
        <x:is>
          <x:t>Leading</x:t>
        </x:is>
      </x:c>
      <x:c r="P71" s="7" t="inlineStr">
        <x:is>
          <x:t>Confiabilidade</x:t>
        </x:is>
      </x:c>
      <x:c r="Q71" s="7" t="inlineStr">
        <x:is>
          <x:t>não monetizar isoladamente</x:t>
        </x:is>
      </x:c>
      <x:c r="R71" s="7" t="inlineStr">
        <x:is>
          <x:t>Descritivo</x:t>
        </x:is>
      </x:c>
      <x:c r="S71" s="7" t="inlineStr">
        <x:is>
          <x:t>Alta</x:t>
        </x:is>
      </x:c>
      <x:c r="T71" s="7" t="inlineStr">
        <x:is>
          <x:t>M0</x:t>
        </x:is>
      </x:c>
    </x:row>
    <x:row r="72" ht="62" customHeight="1">
      <x:c r="A72" s="6" t="inlineStr">
        <x:is>
          <x:t>DAT-02</x:t>
        </x:is>
      </x:c>
      <x:c r="B72" s="6" t="inlineStr">
        <x:is>
          <x:t>Inteligência / Dados</x:t>
        </x:is>
      </x:c>
      <x:c r="C72" s="6" t="inlineStr">
        <x:is>
          <x:t>Dados</x:t>
        </x:is>
      </x:c>
      <x:c r="D72" s="6" t="inlineStr">
        <x:is>
          <x:t>Qualidade</x:t>
        </x:is>
      </x:c>
      <x:c r="E72" s="6" t="inlineStr">
        <x:is>
          <x:t>Atualidade dos dados</x:t>
        </x:is>
      </x:c>
      <x:c r="F72" s="6" t="inlineStr">
        <x:is>
          <x:t>Os dados chegam a tempo da decisão?</x:t>
        </x:is>
      </x:c>
      <x:c r="G72" s="6" t="inlineStr">
        <x:is>
          <x:t>Registros dentro do SLA de atualização.</x:t>
        </x:is>
      </x:c>
      <x:c r="H72" s="6" t="inlineStr">
        <x:is>
          <x:t>registros no SLA / registros esperados</x:t>
        </x:is>
      </x:c>
      <x:c r="I72" s="6" t="inlineStr">
        <x:is>
          <x:t>%</x:t>
        </x:is>
      </x:c>
      <x:c r="J72" s="6" t="inlineStr">
        <x:is>
          <x:t>Maior é melhor</x:t>
        </x:is>
      </x:c>
      <x:c r="K72" s="6" t="inlineStr">
        <x:is>
          <x:t>Diária</x:t>
        </x:is>
      </x:c>
      <x:c r="L72" s="6" t="inlineStr">
        <x:is>
          <x:t>Pipelines</x:t>
        </x:is>
      </x:c>
      <x:c r="M72" s="6" t="inlineStr">
        <x:is>
          <x:t>fonte, domínio</x:t>
        </x:is>
      </x:c>
      <x:c r="N72" s="6" t="inlineStr">
        <x:is>
          <x:t>Data Engineering</x:t>
        </x:is>
      </x:c>
      <x:c r="O72" s="6" t="inlineStr">
        <x:is>
          <x:t>Leading</x:t>
        </x:is>
      </x:c>
      <x:c r="P72" s="6" t="inlineStr">
        <x:is>
          <x:t>Risco / decisão</x:t>
        </x:is>
      </x:c>
      <x:c r="Q72" s="6" t="inlineStr">
        <x:is>
          <x:t>incidentes evitados × custo médio</x:t>
        </x:is>
      </x:c>
      <x:c r="R72" s="6" t="inlineStr">
        <x:is>
          <x:t>Descritivo</x:t>
        </x:is>
      </x:c>
      <x:c r="S72" s="6" t="inlineStr">
        <x:is>
          <x:t>Alta</x:t>
        </x:is>
      </x:c>
      <x:c r="T72" s="6" t="inlineStr">
        <x:is>
          <x:t>M0</x:t>
        </x:is>
      </x:c>
    </x:row>
    <x:row r="73" ht="62" customHeight="1">
      <x:c r="A73" s="7" t="inlineStr">
        <x:is>
          <x:t>DAT-03</x:t>
        </x:is>
      </x:c>
      <x:c r="B73" s="7" t="inlineStr">
        <x:is>
          <x:t>Inteligência / Dados</x:t>
        </x:is>
      </x:c>
      <x:c r="C73" s="7" t="inlineStr">
        <x:is>
          <x:t>Dados</x:t>
        </x:is>
      </x:c>
      <x:c r="D73" s="7" t="inlineStr">
        <x:is>
          <x:t>Qualidade</x:t>
        </x:is>
      </x:c>
      <x:c r="E73" s="7" t="inlineStr">
        <x:is>
          <x:t>Taxa de identidade resolvida</x:t>
        </x:is>
      </x:c>
      <x:c r="F73" s="7" t="inlineStr">
        <x:is>
          <x:t>Conseguimos conectar a mesma entidade entre fontes?</x:t>
        </x:is>
      </x:c>
      <x:c r="G73" s="7" t="inlineStr">
        <x:is>
          <x:t>Registros conciliados com chave confiável.</x:t>
        </x:is>
      </x:c>
      <x:c r="H73" s="7" t="inlineStr">
        <x:is>
          <x:t>identidades resolvidas / registros elegíveis</x:t>
        </x:is>
      </x:c>
      <x:c r="I73" s="7" t="inlineStr">
        <x:is>
          <x:t>%</x:t>
        </x:is>
      </x:c>
      <x:c r="J73" s="7" t="inlineStr">
        <x:is>
          <x:t>Maior é melhor</x:t>
        </x:is>
      </x:c>
      <x:c r="K73" s="7" t="inlineStr">
        <x:is>
          <x:t>Diária</x:t>
        </x:is>
      </x:c>
      <x:c r="L73" s="7" t="inlineStr">
        <x:is>
          <x:t>MDM</x:t>
        </x:is>
      </x:c>
      <x:c r="M73" s="7" t="inlineStr">
        <x:is>
          <x:t>fonte, entidade</x:t>
        </x:is>
      </x:c>
      <x:c r="N73" s="7" t="inlineStr">
        <x:is>
          <x:t>Data Engineering</x:t>
        </x:is>
      </x:c>
      <x:c r="O73" s="7" t="inlineStr">
        <x:is>
          <x:t>Leading</x:t>
        </x:is>
      </x:c>
      <x:c r="P73" s="7" t="inlineStr">
        <x:is>
          <x:t>Atribuição / qualidade</x:t>
        </x:is>
      </x:c>
      <x:c r="Q73" s="7" t="inlineStr">
        <x:is>
          <x:t>redução de retrabalho e dupla contagem</x:t>
        </x:is>
      </x:c>
      <x:c r="R73" s="7" t="inlineStr">
        <x:is>
          <x:t>Descritivo</x:t>
        </x:is>
      </x:c>
      <x:c r="S73" s="7" t="inlineStr">
        <x:is>
          <x:t>Alta</x:t>
        </x:is>
      </x:c>
      <x:c r="T73" s="7" t="inlineStr">
        <x:is>
          <x:t>M0</x:t>
        </x:is>
      </x:c>
    </x:row>
    <x:row r="74" ht="62" customHeight="1">
      <x:c r="A74" s="6" t="inlineStr">
        <x:is>
          <x:t>DAT-04</x:t>
        </x:is>
      </x:c>
      <x:c r="B74" s="6" t="inlineStr">
        <x:is>
          <x:t>Inteligência / Dados</x:t>
        </x:is>
      </x:c>
      <x:c r="C74" s="6" t="inlineStr">
        <x:is>
          <x:t>Inteligência</x:t>
        </x:is>
      </x:c>
      <x:c r="D74" s="6" t="inlineStr">
        <x:is>
          <x:t>Modelo</x:t>
        </x:is>
      </x:c>
      <x:c r="E74" s="6" t="inlineStr">
        <x:is>
          <x:t>Cobertura de score</x:t>
        </x:is>
      </x:c>
      <x:c r="F74" s="6" t="inlineStr">
        <x:is>
          <x:t>Para quantos casos o modelo produz score válido?</x:t>
        </x:is>
      </x:c>
      <x:c r="G74" s="6" t="inlineStr">
        <x:is>
          <x:t>Casos elegíveis com score dentro do SLA.</x:t>
        </x:is>
      </x:c>
      <x:c r="H74" s="6" t="inlineStr">
        <x:is>
          <x:t>casos com score / casos elegíveis</x:t>
        </x:is>
      </x:c>
      <x:c r="I74" s="6" t="inlineStr">
        <x:is>
          <x:t>%</x:t>
        </x:is>
      </x:c>
      <x:c r="J74" s="6" t="inlineStr">
        <x:is>
          <x:t>Maior é melhor</x:t>
        </x:is>
      </x:c>
      <x:c r="K74" s="6" t="inlineStr">
        <x:is>
          <x:t>Diária</x:t>
        </x:is>
      </x:c>
      <x:c r="L74" s="6" t="inlineStr">
        <x:is>
          <x:t>MLOps</x:t>
        </x:is>
      </x:c>
      <x:c r="M74" s="6" t="inlineStr">
        <x:is>
          <x:t>modelo, segmento</x:t>
        </x:is>
      </x:c>
      <x:c r="N74" s="6" t="inlineStr">
        <x:is>
          <x:t>Data Science</x:t>
        </x:is>
      </x:c>
      <x:c r="O74" s="6" t="inlineStr">
        <x:is>
          <x:t>Leading</x:t>
        </x:is>
      </x:c>
      <x:c r="P74" s="6" t="inlineStr">
        <x:is>
          <x:t>Escala</x:t>
        </x:is>
      </x:c>
      <x:c r="Q74" s="6" t="inlineStr">
        <x:is>
          <x:t>não monetizar isoladamente</x:t>
        </x:is>
      </x:c>
      <x:c r="R74" s="6" t="inlineStr">
        <x:is>
          <x:t>Descritivo</x:t>
        </x:is>
      </x:c>
      <x:c r="S74" s="6" t="inlineStr">
        <x:is>
          <x:t>Média</x:t>
        </x:is>
      </x:c>
      <x:c r="T74" s="6" t="inlineStr">
        <x:is>
          <x:t>M1</x:t>
        </x:is>
      </x:c>
    </x:row>
    <x:row r="75" ht="62" customHeight="1">
      <x:c r="A75" s="7" t="inlineStr">
        <x:is>
          <x:t>DAT-05</x:t>
        </x:is>
      </x:c>
      <x:c r="B75" s="7" t="inlineStr">
        <x:is>
          <x:t>Inteligência / Dados</x:t>
        </x:is>
      </x:c>
      <x:c r="C75" s="7" t="inlineStr">
        <x:is>
          <x:t>Inteligência</x:t>
        </x:is>
      </x:c>
      <x:c r="D75" s="7" t="inlineStr">
        <x:is>
          <x:t>Modelo</x:t>
        </x:is>
      </x:c>
      <x:c r="E75" s="7" t="inlineStr">
        <x:is>
          <x:t>Acurácia / calibração</x:t>
        </x:is>
      </x:c>
      <x:c r="F75" s="7" t="inlineStr">
        <x:is>
          <x:t>O score corresponde à probabilidade real?</x:t>
        </x:is>
      </x:c>
      <x:c r="G75" s="7" t="inlineStr">
        <x:is>
          <x:t>Performance preditiva e calibração por cohort.</x:t>
        </x:is>
      </x:c>
      <x:c r="H75" s="7" t="inlineStr">
        <x:is>
          <x:t>métrica adequada ao modelo: AUC, MAE, Brier</x:t>
        </x:is>
      </x:c>
      <x:c r="I75" s="7" t="inlineStr">
        <x:is>
          <x:t>score</x:t>
        </x:is>
      </x:c>
      <x:c r="J75" s="7" t="inlineStr">
        <x:is>
          <x:t>Maior é melhor</x:t>
        </x:is>
      </x:c>
      <x:c r="K75" s="7" t="inlineStr">
        <x:is>
          <x:t>Mensal</x:t>
        </x:is>
      </x:c>
      <x:c r="L75" s="7" t="inlineStr">
        <x:is>
          <x:t>Predição + outcome</x:t>
        </x:is>
      </x:c>
      <x:c r="M75" s="7" t="inlineStr">
        <x:is>
          <x:t>modelo, cohort, segmento</x:t>
        </x:is>
      </x:c>
      <x:c r="N75" s="7" t="inlineStr">
        <x:is>
          <x:t>Data Science</x:t>
        </x:is>
      </x:c>
      <x:c r="O75" s="7" t="inlineStr">
        <x:is>
          <x:t>Lagging</x:t>
        </x:is>
      </x:c>
      <x:c r="P75" s="7" t="inlineStr">
        <x:is>
          <x:t>Conversão / risco</x:t>
        </x:is>
      </x:c>
      <x:c r="Q75" s="7" t="inlineStr">
        <x:is>
          <x:t>uplift de decisão × valor por outcome</x:t>
        </x:is>
      </x:c>
      <x:c r="R75" s="7" t="inlineStr">
        <x:is>
          <x:t>Quase-experimental</x:t>
        </x:is>
      </x:c>
      <x:c r="S75" s="7" t="inlineStr">
        <x:is>
          <x:t>Alta</x:t>
        </x:is>
      </x:c>
      <x:c r="T75" s="7" t="inlineStr">
        <x:is>
          <x:t>M1</x:t>
        </x:is>
      </x:c>
    </x:row>
    <x:row r="76" ht="62" customHeight="1">
      <x:c r="A76" s="6" t="inlineStr">
        <x:is>
          <x:t>DAT-06</x:t>
        </x:is>
      </x:c>
      <x:c r="B76" s="6" t="inlineStr">
        <x:is>
          <x:t>Inteligência / Dados</x:t>
        </x:is>
      </x:c>
      <x:c r="C76" s="6" t="inlineStr">
        <x:is>
          <x:t>Inteligência</x:t>
        </x:is>
      </x:c>
      <x:c r="D76" s="6" t="inlineStr">
        <x:is>
          <x:t>Modelo</x:t>
        </x:is>
      </x:c>
      <x:c r="E76" s="6" t="inlineStr">
        <x:is>
          <x:t>Fairness do modelo</x:t>
        </x:is>
      </x:c>
      <x:c r="F76" s="6" t="inlineStr">
        <x:is>
          <x:t>O desempenho varia de forma injustificada entre grupos?</x:t>
        </x:is>
      </x:c>
      <x:c r="G76" s="6" t="inlineStr">
        <x:is>
          <x:t>Diferença de erro, seleção ou calibração entre cohorts protegidos.</x:t>
        </x:is>
      </x:c>
      <x:c r="H76" s="6" t="inlineStr">
        <x:is>
          <x:t>máx diferença entre grupos em métrica definida</x:t>
        </x:is>
      </x:c>
      <x:c r="I76" s="6" t="inlineStr">
        <x:is>
          <x:t>p.p.</x:t>
        </x:is>
      </x:c>
      <x:c r="J76" s="6" t="inlineStr">
        <x:is>
          <x:t>Menor é melhor</x:t>
        </x:is>
      </x:c>
      <x:c r="K76" s="6" t="inlineStr">
        <x:is>
          <x:t>Mensal</x:t>
        </x:is>
      </x:c>
      <x:c r="L76" s="6" t="inlineStr">
        <x:is>
          <x:t>Predição + outcome + cohort</x:t>
        </x:is>
      </x:c>
      <x:c r="M76" s="6" t="inlineStr">
        <x:is>
          <x:t>grupo, modelo, decisão</x:t>
        </x:is>
      </x:c>
      <x:c r="N76" s="6" t="inlineStr">
        <x:is>
          <x:t>AI Governance</x:t>
        </x:is>
      </x:c>
      <x:c r="O76" s="6" t="inlineStr">
        <x:is>
          <x:t>Lagging</x:t>
        </x:is>
      </x:c>
      <x:c r="P76" s="6" t="inlineStr">
        <x:is>
          <x:t>Risco / confiança</x:t>
        </x:is>
      </x:c>
      <x:c r="Q76" s="6" t="inlineStr">
        <x:is>
          <x:t>risco esperado de decisão inadequada</x:t>
        </x:is>
      </x:c>
      <x:c r="R76" s="6" t="inlineStr">
        <x:is>
          <x:t>Quase-experimental</x:t>
        </x:is>
      </x:c>
      <x:c r="S76" s="6" t="inlineStr">
        <x:is>
          <x:t>Alta</x:t>
        </x:is>
      </x:c>
      <x:c r="T76" s="6" t="inlineStr">
        <x:is>
          <x:t>M1</x:t>
        </x:is>
      </x:c>
    </x:row>
    <x:row r="77" ht="62" customHeight="1">
      <x:c r="A77" s="7" t="inlineStr">
        <x:is>
          <x:t>DAT-07</x:t>
        </x:is>
      </x:c>
      <x:c r="B77" s="7" t="inlineStr">
        <x:is>
          <x:t>Inteligência / Dados</x:t>
        </x:is>
      </x:c>
      <x:c r="C77" s="7" t="inlineStr">
        <x:is>
          <x:t>Inteligência</x:t>
        </x:is>
      </x:c>
      <x:c r="D77" s="7" t="inlineStr">
        <x:is>
          <x:t>Modelo</x:t>
        </x:is>
      </x:c>
      <x:c r="E77" s="7" t="inlineStr">
        <x:is>
          <x:t>Drift de dados / modelo</x:t>
        </x:is>
      </x:c>
      <x:c r="F77" s="7" t="inlineStr">
        <x:is>
          <x:t>A população ou relação mudou?</x:t>
        </x:is>
      </x:c>
      <x:c r="G77" s="7" t="inlineStr">
        <x:is>
          <x:t>Divergência de distribuição e queda de performance.</x:t>
        </x:is>
      </x:c>
      <x:c r="H77" s="7" t="inlineStr">
        <x:is>
          <x:t>PSI / divergência / delta de performance</x:t>
        </x:is>
      </x:c>
      <x:c r="I77" s="7" t="inlineStr">
        <x:is>
          <x:t>índice</x:t>
        </x:is>
      </x:c>
      <x:c r="J77" s="7" t="inlineStr">
        <x:is>
          <x:t>Menor é melhor</x:t>
        </x:is>
      </x:c>
      <x:c r="K77" s="7" t="inlineStr">
        <x:is>
          <x:t>Semanal</x:t>
        </x:is>
      </x:c>
      <x:c r="L77" s="7" t="inlineStr">
        <x:is>
          <x:t>MLOps</x:t>
        </x:is>
      </x:c>
      <x:c r="M77" s="7" t="inlineStr">
        <x:is>
          <x:t>feature, modelo, segmento</x:t>
        </x:is>
      </x:c>
      <x:c r="N77" s="7" t="inlineStr">
        <x:is>
          <x:t>Data Science</x:t>
        </x:is>
      </x:c>
      <x:c r="O77" s="7" t="inlineStr">
        <x:is>
          <x:t>Leading</x:t>
        </x:is>
      </x:c>
      <x:c r="P77" s="7" t="inlineStr">
        <x:is>
          <x:t>Risco / performance</x:t>
        </x:is>
      </x:c>
      <x:c r="Q77" s="7" t="inlineStr">
        <x:is>
          <x:t>perda esperada durante drift × tempo de resposta</x:t>
        </x:is>
      </x:c>
      <x:c r="R77" s="7" t="inlineStr">
        <x:is>
          <x:t>Descritivo</x:t>
        </x:is>
      </x:c>
      <x:c r="S77" s="7" t="inlineStr">
        <x:is>
          <x:t>Média</x:t>
        </x:is>
      </x:c>
      <x:c r="T77" s="7" t="inlineStr">
        <x:is>
          <x:t>M1</x:t>
        </x:is>
      </x:c>
    </x:row>
    <x:row r="78" ht="62" customHeight="1">
      <x:c r="A78" s="6" t="inlineStr">
        <x:is>
          <x:t>DAT-08</x:t>
        </x:is>
      </x:c>
      <x:c r="B78" s="6" t="inlineStr">
        <x:is>
          <x:t>Inteligência / Dados</x:t>
        </x:is>
      </x:c>
      <x:c r="C78" s="6" t="inlineStr">
        <x:is>
          <x:t>Executiva</x:t>
        </x:is>
      </x:c>
      <x:c r="D78" s="6" t="inlineStr">
        <x:is>
          <x:t>Evidência</x:t>
        </x:is>
      </x:c>
      <x:c r="E78" s="6" t="inlineStr">
        <x:is>
          <x:t>Índice de confiança do impacto</x:t>
        </x:is>
      </x:c>
      <x:c r="F78" s="6" t="inlineStr">
        <x:is>
          <x:t>Quão sólida é a prova apresentada?</x:t>
        </x:is>
      </x:c>
      <x:c r="G78" s="6" t="inlineStr">
        <x:is>
          <x:t>Score de qualidade de baseline, comparação, amostra e atribuição.</x:t>
        </x:is>
      </x:c>
      <x:c r="H78" s="6" t="inlineStr">
        <x:is>
          <x:t>média ponderada(baseline, controle, amostra, rastreabilidade)</x:t>
        </x:is>
      </x:c>
      <x:c r="I78" s="6" t="inlineStr">
        <x:is>
          <x:t>score 0–100</x:t>
        </x:is>
      </x:c>
      <x:c r="J78" s="6" t="inlineStr">
        <x:is>
          <x:t>Maior é melhor</x:t>
        </x:is>
      </x:c>
      <x:c r="K78" s="6" t="inlineStr">
        <x:is>
          <x:t>Trimestral</x:t>
        </x:is>
      </x:c>
      <x:c r="L78" s="6" t="inlineStr">
        <x:is>
          <x:t>Metadados de análise</x:t>
        </x:is>
      </x:c>
      <x:c r="M78" s="6" t="inlineStr">
        <x:is>
          <x:t>indicador, cliente, programa</x:t>
        </x:is>
      </x:c>
      <x:c r="N78" s="6" t="inlineStr">
        <x:is>
          <x:t>Inteligência / Financeiro</x:t>
        </x:is>
      </x:c>
      <x:c r="O78" s="6" t="inlineStr">
        <x:is>
          <x:t>Lagging</x:t>
        </x:is>
      </x:c>
      <x:c r="P78" s="6" t="inlineStr">
        <x:is>
          <x:t>Confiança</x:t>
        </x:is>
      </x:c>
      <x:c r="Q78" s="6" t="inlineStr">
        <x:is>
          <x:t>aplicar haircut financeiro conforme nível de evidência</x:t>
        </x:is>
      </x:c>
      <x:c r="R78" s="6" t="inlineStr">
        <x:is>
          <x:t>Quase-experimental</x:t>
        </x:is>
      </x:c>
      <x:c r="S78" s="6" t="inlineStr">
        <x:is>
          <x:t>Alta</x:t>
        </x:is>
      </x:c>
      <x:c r="T78" s="6" t="inlineStr">
        <x:is>
          <x:t>M2</x:t>
        </x:is>
      </x:c>
    </x:row>
  </x:sheetData>
  <x:autoFilter ref="A5:T78"/>
  <x:mergeCells count="2">
    <x:mergeCell ref="A1:T2"/>
    <x:mergeCell ref="A3:T3"/>
  </x:mergeCells>
  <x:conditionalFormatting sqref="S6:S78">
    <x:cfRule type="expression" dxfId="0" priority="1">
      <x:formula>$S6="Alta"</x:formula>
    </x:cfRule>
    <x:cfRule type="expression" dxfId="1" priority="2">
      <x:formula>$S6="Média"</x:formula>
    </x:cfRule>
  </x:conditionalFormatting>
  <x:conditionalFormatting sqref="T6:T78">
    <x:cfRule type="expression" dxfId="2" priority="3">
      <x:formula>$T6="M0"</x:formula>
    </x:cfRule>
  </x:conditionalFormatting>
  <x:dataValidations count="3">
    <x:dataValidation type="list" allowBlank="1" showDropDown="0" showInputMessage="0" showErrorMessage="0" sqref="J6:J78">
      <x:formula1>"Maior é melhor,Menor é melhor,Faixa ótima,Contextual"</x:formula1>
    </x:dataValidation>
    <x:dataValidation type="list" allowBlank="1" showDropDown="0" showInputMessage="0" showErrorMessage="0" sqref="R6:R78">
      <x:formula1>"Descritivo,Correlação,Quase-experimental,Experimental"</x:formula1>
    </x:dataValidation>
    <x:dataValidation type="list" allowBlank="1" showDropDown="0" showInputMessage="0" showErrorMessage="0" sqref="S6:S78">
      <x:formula1>"Alta,Média,Baixa"</x:formula1>
    </x:dataValidation>
  </x:dataValidation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6.xml><?xml version="1.0" encoding="utf-8"?>
<x:worksheet xmlns:x="http://schemas.openxmlformats.org/spreadsheetml/2006/main">
  <x:sheetPr>
    <x:tabColor rgb="00F2B84B"/>
    <x:outlinePr summaryBelow="1" summaryRight="1"/>
    <x:pageSetUpPr fitToPage="1"/>
  </x:sheetPr>
  <x:dimension ref="A1:J17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24" customWidth="1"/>
    <x:col min="2" max="2" width="40" customWidth="1"/>
    <x:col min="3" max="3" width="34" customWidth="1"/>
    <x:col min="4" max="4" width="28" customWidth="1"/>
    <x:col min="5" max="5" width="44" customWidth="1"/>
    <x:col min="6" max="6" width="38" customWidth="1"/>
    <x:col min="7" max="7" width="34" customWidth="1"/>
    <x:col min="8" max="8" width="42" customWidth="1"/>
    <x:col min="9" max="9" width="20" customWidth="1"/>
    <x:col min="10" max="10" width="34" customWidth="1"/>
  </x:cols>
  <x:sheetData>
    <x:row r="1" ht="26" customHeight="1">
      <x:c r="A1" s="1" t="inlineStr">
        <x:is>
          <x:t>Árvore de valor financeiro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 ht="24" customHeight="1">
      <x:c r="A3" s="3" t="inlineStr">
        <x:is>
          <x:t>Cadeias causais que conectam uma ação da HUB a resultado monetizável.</x:t>
        </x:is>
      </x:c>
    </x:row>
    <x:row r="5" ht="34" customHeight="1">
      <x:c r="A5" s="44" t="inlineStr">
        <x:is>
          <x:t>Alavanca</x:t>
        </x:is>
      </x:c>
      <x:c r="B5" s="44" t="inlineStr">
        <x:is>
          <x:t>Cadeia causal</x:t>
        </x:is>
      </x:c>
      <x:c r="C5" s="44" t="inlineStr">
        <x:is>
          <x:t>Indicadores leading</x:t>
        </x:is>
      </x:c>
      <x:c r="D5" s="44" t="inlineStr">
        <x:is>
          <x:t>Outcome de negócio</x:t>
        </x:is>
      </x:c>
      <x:c r="E5" s="44" t="inlineStr">
        <x:is>
          <x:t>Fórmula financeira</x:t>
        </x:is>
      </x:c>
      <x:c r="F5" s="44" t="inlineStr">
        <x:is>
          <x:t>Dados obrigatórios</x:t>
        </x:is>
      </x:c>
      <x:c r="G5" s="44" t="inlineStr">
        <x:is>
          <x:t>Método mínimo de atribuição</x:t>
        </x:is>
      </x:c>
      <x:c r="H5" s="44" t="inlineStr">
        <x:is>
          <x:t>Proteção contra dupla contagem</x:t>
        </x:is>
      </x:c>
      <x:c r="I5" s="44" t="inlineStr">
        <x:is>
          <x:t>Visão</x:t>
        </x:is>
      </x:c>
      <x:c r="J5" s="44" t="inlineStr">
        <x:is>
          <x:t>Decisão habilitada</x:t>
        </x:is>
      </x:c>
    </x:row>
    <x:row r="6" ht="68" customHeight="1">
      <x:c r="A6" s="6" t="inlineStr">
        <x:is>
          <x:t>Produtividade</x:t>
        </x:is>
      </x:c>
      <x:c r="B6" s="6" t="inlineStr">
        <x:is>
          <x:t>capacidade → jornada → performance → output</x:t>
        </x:is>
      </x:c>
      <x:c r="C6" s="6" t="inlineStr">
        <x:is>
          <x:t>prontidão, gap, conclusão</x:t>
        </x:is>
      </x:c>
      <x:c r="D6" s="6" t="inlineStr">
        <x:is>
          <x:t>ganho de produtividade</x:t>
        </x:is>
      </x:c>
      <x:c r="E6" s="6" t="inlineStr">
        <x:is>
          <x:t>pessoas × custo anual carregado × % ganho × atribuição</x:t>
        </x:is>
      </x:c>
      <x:c r="F6" s="6" t="inlineStr">
        <x:is>
          <x:t>custo, população, baseline, cohort</x:t>
        </x:is>
      </x:c>
      <x:c r="G6" s="6" t="inlineStr">
        <x:is>
          <x:t>pré/pós com comparável</x:t>
        </x:is>
      </x:c>
      <x:c r="H6" s="6" t="inlineStr">
        <x:is>
          <x:t>não somar horas e produtividade se representam o mesmo efeito</x:t>
        </x:is>
      </x:c>
      <x:c r="I6" s="6" t="inlineStr">
        <x:is>
          <x:t>RH / CFO</x:t>
        </x:is>
      </x:c>
      <x:c r="J6" s="6" t="inlineStr">
        <x:is>
          <x:t>escalar jornadas com efeito</x:t>
        </x:is>
      </x:c>
    </x:row>
    <x:row r="7" ht="68" customHeight="1">
      <x:c r="A7" s="7" t="inlineStr">
        <x:is>
          <x:t>Time-to-productivity</x:t>
        </x:is>
      </x:c>
      <x:c r="B7" s="7" t="inlineStr">
        <x:is>
          <x:t>match → contratação → onboarding → marco</x:t>
        </x:is>
      </x:c>
      <x:c r="C7" s="7" t="inlineStr">
        <x:is>
          <x:t>fit, aceitação, conclusão</x:t>
        </x:is>
      </x:c>
      <x:c r="D7" s="7" t="inlineStr">
        <x:is>
          <x:t>dias até produtividade</x:t>
        </x:is>
      </x:c>
      <x:c r="E7" s="7" t="inlineStr">
        <x:is>
          <x:t>dias reduzidos × custo diário × pessoas × atribuição</x:t>
        </x:is>
      </x:c>
      <x:c r="F7" s="7" t="inlineStr">
        <x:is>
          <x:t>data admissão, marco, custo diário</x:t>
        </x:is>
      </x:c>
      <x:c r="G7" s="7" t="inlineStr">
        <x:is>
          <x:t>cohort histórico ajustado</x:t>
        </x:is>
      </x:c>
      <x:c r="H7" s="7" t="inlineStr">
        <x:is>
          <x:t>não somar ao ganho anual no período sobreposto</x:t>
        </x:is>
      </x:c>
      <x:c r="I7" s="7" t="inlineStr">
        <x:is>
          <x:t>RH / Operação</x:t>
        </x:is>
      </x:c>
      <x:c r="J7" s="7" t="inlineStr">
        <x:is>
          <x:t>melhorar onboarding e matching</x:t>
        </x:is>
      </x:c>
    </x:row>
    <x:row r="8" ht="68" customHeight="1">
      <x:c r="A8" s="6" t="inlineStr">
        <x:is>
          <x:t>Retenção</x:t>
        </x:is>
      </x:c>
      <x:c r="B8" s="6" t="inlineStr">
        <x:is>
          <x:t>experiência → capacidade → pertencimento → permanência</x:t>
        </x:is>
      </x:c>
      <x:c r="C8" s="6" t="inlineStr">
        <x:is>
          <x:t>adoção, NPS, evolução</x:t>
        </x:is>
      </x:c>
      <x:c r="D8" s="6" t="inlineStr">
        <x:is>
          <x:t>turnover evitado</x:t>
        </x:is>
      </x:c>
      <x:c r="E8" s="6" t="inlineStr">
        <x:is>
          <x:t>pessoas × redução turnover × custo reposição × atribuição</x:t>
        </x:is>
      </x:c>
      <x:c r="F8" s="6" t="inlineStr">
        <x:is>
          <x:t>turnover, custo reposição, exposição</x:t>
        </x:is>
      </x:c>
      <x:c r="G8" s="6" t="inlineStr">
        <x:is>
          <x:t>diferença-em-diferenças</x:t>
        </x:is>
      </x:c>
      <x:c r="H8" s="6" t="inlineStr">
        <x:is>
          <x:t>não somar vaga evitada e reposição da mesma pessoa</x:t>
        </x:is>
      </x:c>
      <x:c r="I8" s="6" t="inlineStr">
        <x:is>
          <x:t>RH / CFO</x:t>
        </x:is>
      </x:c>
      <x:c r="J8" s="6" t="inlineStr">
        <x:is>
          <x:t>priorizar cohorts de risco</x:t>
        </x:is>
      </x:c>
    </x:row>
    <x:row r="9" ht="68" customHeight="1">
      <x:c r="A9" s="7" t="inlineStr">
        <x:is>
          <x:t>Recrutamento</x:t>
        </x:is>
      </x:c>
      <x:c r="B9" s="7" t="inlineStr">
        <x:is>
          <x:t>dados → matching → shortlist → contratação</x:t>
        </x:is>
      </x:c>
      <x:c r="C9" s="7" t="inlineStr">
        <x:is>
          <x:t>precisão do match, fit</x:t>
        </x:is>
      </x:c>
      <x:c r="D9" s="7" t="inlineStr">
        <x:is>
          <x:t>time-to-fill e custo por contratação</x:t>
        </x:is>
      </x:c>
      <x:c r="E9" s="7" t="inlineStr">
        <x:is>
          <x:t>dias evitados × custo de vacância + custo operacional evitado</x:t>
        </x:is>
      </x:c>
      <x:c r="F9" s="7" t="inlineStr">
        <x:is>
          <x:t>ATS, custo, datas, origem</x:t>
        </x:is>
      </x:c>
      <x:c r="G9" s="7" t="inlineStr">
        <x:is>
          <x:t>cohort de vagas comparáveis</x:t>
        </x:is>
      </x:c>
      <x:c r="H9" s="7" t="inlineStr">
        <x:is>
          <x:t>separar custo operacional de vacância</x:t>
        </x:is>
      </x:c>
      <x:c r="I9" s="7" t="inlineStr">
        <x:is>
          <x:t>Talent Acquisition</x:t>
        </x:is>
      </x:c>
      <x:c r="J9" s="7" t="inlineStr">
        <x:is>
          <x:t>otimizar canais e regras</x:t>
        </x:is>
      </x:c>
    </x:row>
    <x:row r="10" ht="68" customHeight="1">
      <x:c r="A10" s="6" t="inlineStr">
        <x:is>
          <x:t>Compras</x:t>
        </x:is>
      </x:c>
      <x:c r="B10" s="6" t="inlineStr">
        <x:is>
          <x:t>demanda → match → homologação → contrato</x:t>
        </x:is>
      </x:c>
      <x:c r="C10" s="6" t="inlineStr">
        <x:is>
          <x:t>cobertura, elegibilidade</x:t>
        </x:is>
      </x:c>
      <x:c r="D10" s="6" t="inlineStr">
        <x:is>
          <x:t>ciclo e saving</x:t>
        </x:is>
      </x:c>
      <x:c r="E10" s="6" t="inlineStr">
        <x:is>
          <x:t>saving validado + custo de ciclo evitado</x:t>
        </x:is>
      </x:c>
      <x:c r="F10" s="6" t="inlineStr">
        <x:is>
          <x:t>preço referência, realizado, volume, horas</x:t>
        </x:is>
      </x:c>
      <x:c r="G10" s="6" t="inlineStr">
        <x:is>
          <x:t>comparação por categoria</x:t>
        </x:is>
      </x:c>
      <x:c r="H10" s="6" t="inlineStr">
        <x:is>
          <x:t>não somar desconto e margem se mesmo efeito</x:t>
        </x:is>
      </x:c>
      <x:c r="I10" s="6" t="inlineStr">
        <x:is>
          <x:t>Compras / CFO</x:t>
        </x:is>
      </x:c>
      <x:c r="J10" s="6" t="inlineStr">
        <x:is>
          <x:t>escalar categorias com prova</x:t>
        </x:is>
      </x:c>
    </x:row>
    <x:row r="11" ht="68" customHeight="1">
      <x:c r="A11" s="7" t="inlineStr">
        <x:is>
          <x:t>Risco</x:t>
        </x:is>
      </x:c>
      <x:c r="B11" s="7" t="inlineStr">
        <x:is>
          <x:t>diagnóstico → alerta → controle → risco residual</x:t>
        </x:is>
      </x:c>
      <x:c r="C11" s="7" t="inlineStr">
        <x:is>
          <x:t>cobertura, severidade</x:t>
        </x:is>
      </x:c>
      <x:c r="D11" s="7" t="inlineStr">
        <x:is>
          <x:t>perda esperada reduzida</x:t>
        </x:is>
      </x:c>
      <x:c r="E11" s="7" t="inlineStr">
        <x:is>
          <x:t>probabilidade × impacto × delta de risco × atribuição</x:t>
        </x:is>
      </x:c>
      <x:c r="F11" s="7" t="inlineStr">
        <x:is>
          <x:t>matriz de risco, incidentes, controles</x:t>
        </x:is>
      </x:c>
      <x:c r="G11" s="7" t="inlineStr">
        <x:is>
          <x:t>baseline e revisão de especialista</x:t>
        </x:is>
      </x:c>
      <x:c r="H11" s="7" t="inlineStr">
        <x:is>
          <x:t>não somar custo real e risco esperado do mesmo evento</x:t>
        </x:is>
      </x:c>
      <x:c r="I11" s="7" t="inlineStr">
        <x:is>
          <x:t>Riscos / Jurídico</x:t>
        </x:is>
      </x:c>
      <x:c r="J11" s="7" t="inlineStr">
        <x:is>
          <x:t>priorizar mitigação</x:t>
        </x:is>
      </x:c>
    </x:row>
    <x:row r="12" ht="68" customHeight="1">
      <x:c r="A12" s="6" t="inlineStr">
        <x:is>
          <x:t>Receita incremental</x:t>
        </x:is>
      </x:c>
      <x:c r="B12" s="6" t="inlineStr">
        <x:is>
          <x:t>sinal → oportunidade → ação → contrato</x:t>
        </x:is>
      </x:c>
      <x:c r="C12" s="6" t="inlineStr">
        <x:is>
          <x:t>propensão, pipeline</x:t>
        </x:is>
      </x:c>
      <x:c r="D12" s="6" t="inlineStr">
        <x:is>
          <x:t>negócio incremental</x:t>
        </x:is>
      </x:c>
      <x:c r="E12" s="6" t="inlineStr">
        <x:is>
          <x:t>receita incremental × margem de contribuição × atribuição</x:t>
        </x:is>
      </x:c>
      <x:c r="F12" s="6" t="inlineStr">
        <x:is>
          <x:t>touchpoints, contrato, margem, baseline</x:t>
        </x:is>
      </x:c>
      <x:c r="G12" s="6" t="inlineStr">
        <x:is>
          <x:t>holdout, geo ou cohort</x:t>
        </x:is>
      </x:c>
      <x:c r="H12" s="6" t="inlineStr">
        <x:is>
          <x:t>monetizar margem; receita é informativa</x:t>
        </x:is>
      </x:c>
      <x:c r="I12" s="6" t="inlineStr">
        <x:is>
          <x:t>Comercial / CFO</x:t>
        </x:is>
      </x:c>
      <x:c r="J12" s="6" t="inlineStr">
        <x:is>
          <x:t>investir em canais e ofertas</x:t>
        </x:is>
      </x:c>
    </x:row>
    <x:row r="13" ht="68" customHeight="1">
      <x:c r="A13" s="7" t="inlineStr">
        <x:is>
          <x:t>Receita recorrente HUB</x:t>
        </x:is>
      </x:c>
      <x:c r="B13" s="7" t="inlineStr">
        <x:is>
          <x:t>ativação → valor → renovação → expansão</x:t>
        </x:is>
      </x:c>
      <x:c r="C13" s="7" t="inlineStr">
        <x:is>
          <x:t>time-to-value, uso</x:t>
        </x:is>
      </x:c>
      <x:c r="D13" s="7" t="inlineStr">
        <x:is>
          <x:t>MRR, NRR, churn</x:t>
        </x:is>
      </x:c>
      <x:c r="E13" s="7" t="inlineStr">
        <x:is>
          <x:t>MRR inicial + expansão − contração − churn</x:t>
        </x:is>
      </x:c>
      <x:c r="F13" s="7" t="inlineStr">
        <x:is>
          <x:t>billing, CRM, uso, plano</x:t>
        </x:is>
      </x:c>
      <x:c r="G13" s="7" t="inlineStr">
        <x:is>
          <x:t>cohort de clientes</x:t>
        </x:is>
      </x:c>
      <x:c r="H13" s="7" t="inlineStr">
        <x:is>
          <x:t>não somar ARR e MRR anualizado</x:t>
        </x:is>
      </x:c>
      <x:c r="I13" s="7" t="inlineStr">
        <x:is>
          <x:t>CEO HUB</x:t>
        </x:is>
      </x:c>
      <x:c r="J13" s="7" t="inlineStr">
        <x:is>
          <x:t>produto, preço e CS</x:t>
        </x:is>
      </x:c>
    </x:row>
    <x:row r="14" ht="68" customHeight="1">
      <x:c r="A14" s="6" t="inlineStr">
        <x:is>
          <x:t>Marketplace</x:t>
        </x:is>
      </x:c>
      <x:c r="B14" s="6" t="inlineStr">
        <x:is>
          <x:t>oferta → match → contrato → transação</x:t>
        </x:is>
      </x:c>
      <x:c r="C14" s="6" t="inlineStr">
        <x:is>
          <x:t>cobertura, conversão</x:t>
        </x:is>
      </x:c>
      <x:c r="D14" s="6" t="inlineStr">
        <x:is>
          <x:t>GMV e take rate</x:t>
        </x:is>
      </x:c>
      <x:c r="E14" s="6" t="inlineStr">
        <x:is>
          <x:t>GMV elegível × take rate − custos variáveis</x:t>
        </x:is>
      </x:c>
      <x:c r="F14" s="6" t="inlineStr">
        <x:is>
          <x:t>contrato, transação, origem</x:t>
        </x:is>
      </x:c>
      <x:c r="G14" s="6" t="inlineStr">
        <x:is>
          <x:t>rastreabilidade do match</x:t>
        </x:is>
      </x:c>
      <x:c r="H14" s="6" t="inlineStr">
        <x:is>
          <x:t>separar GMV de receita HUB</x:t>
        </x:is>
      </x:c>
      <x:c r="I14" s="6" t="inlineStr">
        <x:is>
          <x:t>Marketplace</x:t>
        </x:is>
      </x:c>
      <x:c r="J14" s="6" t="inlineStr">
        <x:is>
          <x:t>liquidez e monetização</x:t>
        </x:is>
      </x:c>
    </x:row>
    <x:row r="15" ht="68" customHeight="1">
      <x:c r="A15" s="7" t="inlineStr">
        <x:is>
          <x:t>Entidade</x:t>
        </x:is>
      </x:c>
      <x:c r="B15" s="7" t="inlineStr">
        <x:is>
          <x:t>dados → benchmark → serviço → renovação</x:t>
        </x:is>
      </x:c>
      <x:c r="C15" s="7" t="inlineStr">
        <x:is>
          <x:t>cobertura, ativação</x:t>
        </x:is>
      </x:c>
      <x:c r="D15" s="7" t="inlineStr">
        <x:is>
          <x:t>valor por associado e renovação</x:t>
        </x:is>
      </x:c>
      <x:c r="E15" s="7" t="inlineStr">
        <x:is>
          <x:t>renovações incrementais × ARR médio × margem</x:t>
        </x:is>
      </x:c>
      <x:c r="F15" s="7" t="inlineStr">
        <x:is>
          <x:t>associados, uso, contrato, benefício</x:t>
        </x:is>
      </x:c>
      <x:c r="G15" s="7" t="inlineStr">
        <x:is>
          <x:t>cohort por tier</x:t>
        </x:is>
      </x:c>
      <x:c r="H15" s="7" t="inlineStr">
        <x:is>
          <x:t>não somar benefício do associado à receita da entidade</x:t>
        </x:is>
      </x:c>
      <x:c r="I15" s="7" t="inlineStr">
        <x:is>
          <x:t>Firjan / entidades</x:t>
        </x:is>
      </x:c>
      <x:c r="J15" s="7" t="inlineStr">
        <x:is>
          <x:t>portfólio de serviços</x:t>
        </x:is>
      </x:c>
    </x:row>
    <x:row r="16" ht="68" customHeight="1">
      <x:c r="A16" s="6" t="inlineStr">
        <x:is>
          <x:t>Marketing</x:t>
        </x:is>
      </x:c>
      <x:c r="B16" s="6" t="inlineStr">
        <x:is>
          <x:t>alcance → lead → oportunidade → contrato</x:t>
        </x:is>
      </x:c>
      <x:c r="C16" s="6" t="inlineStr">
        <x:is>
          <x:t>alcance qualificado, CPL</x:t>
        </x:is>
      </x:c>
      <x:c r="D16" s="6" t="inlineStr">
        <x:is>
          <x:t>pipeline e margem incremental</x:t>
        </x:is>
      </x:c>
      <x:c r="E16" s="6" t="inlineStr">
        <x:is>
          <x:t>delta conversão × volume × ticket × margem × atribuição</x:t>
        </x:is>
      </x:c>
      <x:c r="F16" s="6" t="inlineStr">
        <x:is>
          <x:t>UTM, CRM, custo, margem</x:t>
        </x:is>
      </x:c>
      <x:c r="G16" s="6" t="inlineStr">
        <x:is>
          <x:t>holdout/campanha comparável</x:t>
        </x:is>
      </x:c>
      <x:c r="H16" s="6" t="inlineStr">
        <x:is>
          <x:t>não somar pipeline e receita fechada</x:t>
        </x:is>
      </x:c>
      <x:c r="I16" s="6" t="inlineStr">
        <x:is>
          <x:t>Marketing / RevOps</x:t>
        </x:is>
      </x:c>
      <x:c r="J16" s="6" t="inlineStr">
        <x:is>
          <x:t>mix de mídia</x:t>
        </x:is>
      </x:c>
    </x:row>
    <x:row r="17" ht="68" customHeight="1">
      <x:c r="A17" s="7" t="inlineStr">
        <x:is>
          <x:t>Inovação / novos mercados</x:t>
        </x:is>
      </x:c>
      <x:c r="B17" s="7" t="inlineStr">
        <x:is>
          <x:t>rede → conexão → piloto → receita</x:t>
        </x:is>
      </x:c>
      <x:c r="C17" s="7" t="inlineStr">
        <x:is>
          <x:t>densidade, matches</x:t>
        </x:is>
      </x:c>
      <x:c r="D17" s="7" t="inlineStr">
        <x:is>
          <x:t>novos produtos/mercados</x:t>
        </x:is>
      </x:c>
      <x:c r="E17" s="7" t="inlineStr">
        <x:is>
          <x:t>margem incremental dos negócios com origem rastreada</x:t>
        </x:is>
      </x:c>
      <x:c r="F17" s="7" t="inlineStr">
        <x:is>
          <x:t>origem, projeto, contrato, margem</x:t>
        </x:is>
      </x:c>
      <x:c r="G17" s="7" t="inlineStr">
        <x:is>
          <x:t>contrafactual documentado</x:t>
        </x:is>
      </x:c>
      <x:c r="H17" s="7" t="inlineStr">
        <x:is>
          <x:t>separar receita existente de expansão</x:t>
        </x:is>
      </x:c>
      <x:c r="I17" s="7" t="inlineStr">
        <x:is>
          <x:t>Estratégia</x:t>
        </x:is>
      </x:c>
      <x:c r="J17" s="7" t="inlineStr">
        <x:is>
          <x:t>replicar casos</x:t>
        </x:is>
      </x:c>
    </x:row>
  </x:sheetData>
  <x:autoFilter ref="A5:J17"/>
  <x:mergeCells count="2">
    <x:mergeCell ref="A1:J2"/>
    <x:mergeCell ref="A3:J3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7.xml><?xml version="1.0" encoding="utf-8"?>
<x:worksheet xmlns:x="http://schemas.openxmlformats.org/spreadsheetml/2006/main">
  <x:sheetPr>
    <x:tabColor rgb="00B7D51F"/>
    <x:outlinePr summaryBelow="1" summaryRight="1"/>
    <x:pageSetUpPr fitToPage="1"/>
  </x:sheetPr>
  <x:dimension ref="A1:L43"/>
  <x:sheetViews>
    <x:sheetView showGridLines="0" workbookViewId="0">
      <x:pane ySplit="6" topLeftCell="A7" activePane="bottomLeft" state="frozen"/>
      <x:selection pane="bottomLeft" activeCell="A1" sqref="A1"/>
    </x:sheetView>
  </x:sheetViews>
  <x:sheetFormatPr baseColWidth="8" defaultRowHeight="15"/>
  <x:cols>
    <x:col min="1" max="1" width="18" customWidth="1"/>
    <x:col min="2" max="2" width="35" customWidth="1"/>
    <x:col min="3" max="3" width="18" customWidth="1"/>
    <x:col min="4" max="4" width="15" customWidth="1"/>
    <x:col min="5" max="5" width="36" customWidth="1"/>
    <x:col min="6" max="6" width="3" customWidth="1"/>
    <x:col min="7" max="7" width="28" customWidth="1"/>
    <x:col min="8" max="8" width="22" customWidth="1"/>
    <x:col min="9" max="9" width="25" customWidth="1"/>
    <x:col min="10" max="10" width="22" customWidth="1"/>
    <x:col min="11" max="11" width="20" customWidth="1"/>
    <x:col min="12" max="12" width="28" customWidth="1"/>
  </x:cols>
  <x:sheetData>
    <x:row r="1" ht="26" customHeight="1">
      <x:c r="A1" s="1" t="inlineStr">
        <x:is>
          <x:t>Simulador financeiro | cliente e HUB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 ht="24" customHeight="1">
      <x:c r="A3" s="3" t="inlineStr">
        <x:is>
          <x:t>Células amarelas são premissas editáveis. Valores atuais são exemplos ilustrativos.</x:t>
        </x:is>
      </x:c>
    </x:row>
    <x:row r="5" ht="24" customHeight="1">
      <x:c r="A5" s="5" t="inlineStr">
        <x:is>
          <x:t>A. Premissas do cliente</x:t>
        </x:is>
      </x:c>
      <x:c r="G5" s="8" t="inlineStr">
        <x:is>
          <x:t>B. Valor financeiro atribuído</x:t>
        </x:is>
      </x:c>
    </x:row>
    <x:row r="7">
      <x:c r="A7" s="44" t="inlineStr">
        <x:is>
          <x:t>Chave</x:t>
        </x:is>
      </x:c>
      <x:c r="B7" s="44" t="inlineStr">
        <x:is>
          <x:t>Premissa</x:t>
        </x:is>
      </x:c>
      <x:c r="C7" s="44" t="inlineStr">
        <x:is>
          <x:t>Valor</x:t>
        </x:is>
      </x:c>
      <x:c r="D7" s="44" t="inlineStr">
        <x:is>
          <x:t>Unidade</x:t>
        </x:is>
      </x:c>
      <x:c r="E7" s="44" t="inlineStr">
        <x:is>
          <x:t>Observação</x:t>
        </x:is>
      </x:c>
      <x:c r="G7" s="44" t="inlineStr">
        <x:is>
          <x:t>Alavanca</x:t>
        </x:is>
      </x:c>
      <x:c r="H7" s="44" t="inlineStr">
        <x:is>
          <x:t>Benefício anual</x:t>
        </x:is>
      </x:c>
      <x:c r="I7" s="44" t="inlineStr">
        <x:is>
          <x:t>Regra</x:t>
        </x:is>
      </x:c>
    </x:row>
    <x:row r="8" ht="28" customHeight="1">
      <x:c r="A8" s="7" t="inlineStr">
        <x:is>
          <x:t>invest_licenca</x:t>
        </x:is>
      </x:c>
      <x:c r="B8" s="7" t="str">
        <x:v>Licença anual HUB (caixa)</x:v>
      </x:c>
      <x:c r="C8" s="45" t="n">
        <x:v>600000</x:v>
      </x:c>
      <x:c r="D8" s="7" t="inlineStr">
        <x:is>
          <x:t>R$</x:t>
        </x:is>
      </x:c>
      <x:c r="E8" s="7" t="inlineStr">
        <x:is>
          <x:t>Investimento pago à HUB</x:t>
        </x:is>
      </x:c>
      <x:c r="G8" s="7" t="inlineStr">
        <x:is>
          <x:t>Produtividade</x:t>
        </x:is>
      </x:c>
      <x:c r="H8" s="46">
        <x:f>C11*C12*C13*C14</x:f>
        <x:v>360000</x:v>
      </x:c>
      <x:c r="I8" s="7" t="inlineStr">
        <x:is>
          <x:t>Após fator de atribuição</x:t>
        </x:is>
      </x:c>
    </x:row>
    <x:row r="9" ht="28" customHeight="1">
      <x:c r="A9" s="6" t="inlineStr">
        <x:is>
          <x:t>invest_servicos</x:t>
        </x:is>
      </x:c>
      <x:c r="B9" s="6" t="str">
        <x:v>Serviços / implementação (caixa)</x:v>
      </x:c>
      <x:c r="C9" s="45" t="n">
        <x:v>250000</x:v>
      </x:c>
      <x:c r="D9" s="6" t="inlineStr">
        <x:is>
          <x:t>R$</x:t>
        </x:is>
      </x:c>
      <x:c r="E9" s="6" t="inlineStr">
        <x:is>
          <x:t>Projetos e implantação</x:t>
        </x:is>
      </x:c>
      <x:c r="G9" s="6" t="inlineStr">
        <x:is>
          <x:t>Ciclo de contratação</x:t>
        </x:is>
      </x:c>
      <x:c r="H9" s="47">
        <x:f>C15*C16*C17*C18</x:f>
        <x:v>160000</x:v>
      </x:c>
      <x:c r="I9" s="6" t="inlineStr">
        <x:is>
          <x:t>Após fator de atribuição</x:t>
        </x:is>
      </x:c>
    </x:row>
    <x:row r="10" ht="28" customHeight="1">
      <x:c r="A10" s="7" t="inlineStr">
        <x:is>
          <x:t>invest_interno</x:t>
        </x:is>
      </x:c>
      <x:c r="B10" s="7" t="str">
        <x:v>Esforço interno do cliente</x:v>
      </x:c>
      <x:c r="C10" s="45" t="n">
        <x:v>100000</x:v>
      </x:c>
      <x:c r="D10" s="7" t="inlineStr">
        <x:is>
          <x:t>R$</x:t>
        </x:is>
      </x:c>
      <x:c r="E10" s="7" t="inlineStr">
        <x:is>
          <x:t>Horas, integração e mudança</x:t>
        </x:is>
      </x:c>
      <x:c r="G10" s="7" t="inlineStr">
        <x:is>
          <x:t>Retenção</x:t>
        </x:is>
      </x:c>
      <x:c r="H10" s="46">
        <x:f>C11*MAX(0,C19-C20)*C21*C22</x:f>
        <x:v>360000</x:v>
      </x:c>
      <x:c r="I10" s="7" t="inlineStr">
        <x:is>
          <x:t>Após fator de atribuição</x:t>
        </x:is>
      </x:c>
    </x:row>
    <x:row r="11" ht="28" customHeight="1">
      <x:c r="A11" s="6" t="inlineStr">
        <x:is>
          <x:t>pessoas</x:t>
        </x:is>
      </x:c>
      <x:c r="B11" s="6" t="inlineStr">
        <x:is>
          <x:t>Pessoas impactadas</x:t>
        </x:is>
      </x:c>
      <x:c r="C11" s="48" t="n">
        <x:v>500</x:v>
      </x:c>
      <x:c r="D11" s="6" t="inlineStr">
        <x:is>
          <x:t>pessoas</x:t>
        </x:is>
      </x:c>
      <x:c r="E11" s="6" t="inlineStr">
        <x:is>
          <x:t>População elegível</x:t>
        </x:is>
      </x:c>
      <x:c r="G11" s="6" t="inlineStr">
        <x:is>
          <x:t>Compras</x:t>
        </x:is>
      </x:c>
      <x:c r="H11" s="47">
        <x:f>C23*C24*C25</x:f>
        <x:v>125000</x:v>
      </x:c>
      <x:c r="I11" s="6" t="inlineStr">
        <x:is>
          <x:t>Após fator de atribuição</x:t>
        </x:is>
      </x:c>
    </x:row>
    <x:row r="12" ht="28" customHeight="1">
      <x:c r="A12" s="7" t="inlineStr">
        <x:is>
          <x:t>custo_anual</x:t>
        </x:is>
      </x:c>
      <x:c r="B12" s="7" t="inlineStr">
        <x:is>
          <x:t>Custo anual carregado por pessoa</x:t>
        </x:is>
      </x:c>
      <x:c r="C12" s="45" t="n">
        <x:v>120000</x:v>
      </x:c>
      <x:c r="D12" s="7" t="inlineStr">
        <x:is>
          <x:t>R$/ano</x:t>
        </x:is>
      </x:c>
      <x:c r="E12" s="7" t="inlineStr">
        <x:is>
          <x:t>Salário + encargos + estrutura</x:t>
        </x:is>
      </x:c>
      <x:c r="G12" s="7" t="inlineStr">
        <x:is>
          <x:t>Risco evitado</x:t>
        </x:is>
      </x:c>
      <x:c r="H12" s="46">
        <x:f>C26*C27*C28</x:f>
        <x:v>40000</x:v>
      </x:c>
      <x:c r="I12" s="7" t="inlineStr">
        <x:is>
          <x:t>Após fator de atribuição</x:t>
        </x:is>
      </x:c>
    </x:row>
    <x:row r="13" ht="28" customHeight="1">
      <x:c r="A13" s="6" t="inlineStr">
        <x:is>
          <x:t>ganho_prod</x:t>
        </x:is>
      </x:c>
      <x:c r="B13" s="6" t="inlineStr">
        <x:is>
          <x:t>Ganho de produtividade</x:t>
        </x:is>
      </x:c>
      <x:c r="C13" s="49" t="n">
        <x:v>0.02</x:v>
      </x:c>
      <x:c r="D13" s="6" t="inlineStr">
        <x:is>
          <x:t>%</x:t>
        </x:is>
      </x:c>
      <x:c r="E13" s="6" t="inlineStr">
        <x:is>
          <x:t>Efeito anual estimado</x:t>
        </x:is>
      </x:c>
      <x:c r="G13" s="6" t="inlineStr">
        <x:is>
          <x:t>Margem incremental</x:t>
        </x:is>
      </x:c>
      <x:c r="H13" s="47">
        <x:f>C29*C30*C31</x:f>
        <x:v>175000</x:v>
      </x:c>
      <x:c r="I13" s="6" t="inlineStr">
        <x:is>
          <x:t>Após fator de atribuição</x:t>
        </x:is>
      </x:c>
    </x:row>
    <x:row r="14" ht="27" customHeight="1">
      <x:c r="A14" s="7" t="inlineStr">
        <x:is>
          <x:t>attr_prod</x:t>
        </x:is>
      </x:c>
      <x:c r="B14" s="7" t="inlineStr">
        <x:is>
          <x:t>Atribuição HUB — produtividade</x:t>
        </x:is>
      </x:c>
      <x:c r="C14" s="49" t="n">
        <x:v>0.3</x:v>
      </x:c>
      <x:c r="D14" s="7" t="inlineStr">
        <x:is>
          <x:t>%</x:t>
        </x:is>
      </x:c>
      <x:c r="E14" s="7" t="inlineStr">
        <x:is>
          <x:t>Parcela sustentada pela evidência</x:t>
        </x:is>
      </x:c>
    </x:row>
    <x:row r="15" ht="27" customHeight="1">
      <x:c r="A15" s="6" t="inlineStr">
        <x:is>
          <x:t>contratacoes</x:t>
        </x:is>
      </x:c>
      <x:c r="B15" s="6" t="inlineStr">
        <x:is>
          <x:t>Contratações anuais</x:t>
        </x:is>
      </x:c>
      <x:c r="C15" s="48" t="n">
        <x:v>100</x:v>
      </x:c>
      <x:c r="D15" s="6" t="inlineStr">
        <x:is>
          <x:t>contratações</x:t>
        </x:is>
      </x:c>
      <x:c r="E15" s="6" t="inlineStr">
        <x:is>
          <x:t>Vagas comparáveis</x:t>
        </x:is>
      </x:c>
    </x:row>
    <x:row r="16" ht="27" customHeight="1">
      <x:c r="A16" s="7" t="inlineStr">
        <x:is>
          <x:t>dias_vaga</x:t>
        </x:is>
      </x:c>
      <x:c r="B16" s="7" t="inlineStr">
        <x:is>
          <x:t>Dias de vacância reduzidos</x:t>
        </x:is>
      </x:c>
      <x:c r="C16" s="48" t="n">
        <x:v>8</x:v>
      </x:c>
      <x:c r="D16" s="7" t="inlineStr">
        <x:is>
          <x:t>dias</x:t>
        </x:is>
      </x:c>
      <x:c r="E16" s="7" t="inlineStr">
        <x:is>
          <x:t>Delta vs. baseline</x:t>
        </x:is>
      </x:c>
      <x:c r="G16" s="50" t="inlineStr">
        <x:is>
          <x:t>Benefício bruto anual</x:t>
        </x:is>
      </x:c>
      <x:c r="H16" s="51">
        <x:f>SUM(H8:H13)</x:f>
        <x:v>1220000</x:v>
      </x:c>
    </x:row>
    <x:row r="17" ht="27" customHeight="1">
      <x:c r="A17" s="6" t="inlineStr">
        <x:is>
          <x:t>custo_vaga_dia</x:t>
        </x:is>
      </x:c>
      <x:c r="B17" s="6" t="str">
        <x:v>Custo diário da vacância</x:v>
      </x:c>
      <x:c r="C17" s="45" t="n">
        <x:v>500</x:v>
      </x:c>
      <x:c r="D17" s="6" t="inlineStr">
        <x:is>
          <x:t>R$/dia</x:t>
        </x:is>
      </x:c>
      <x:c r="E17" s="6" t="inlineStr">
        <x:is>
          <x:t>Perda/overload por dia</x:t>
        </x:is>
      </x:c>
      <x:c r="G17" s="50" t="inlineStr">
        <x:is>
          <x:t>Investimento total</x:t>
        </x:is>
      </x:c>
      <x:c r="H17" s="51">
        <x:f>C8+C9+C10</x:f>
        <x:v>950000</x:v>
      </x:c>
    </x:row>
    <x:row r="18" ht="27" customHeight="1">
      <x:c r="A18" s="7" t="inlineStr">
        <x:is>
          <x:t>attr_vaga</x:t>
        </x:is>
      </x:c>
      <x:c r="B18" s="7" t="inlineStr">
        <x:is>
          <x:t>Atribuição HUB — contratação</x:t>
        </x:is>
      </x:c>
      <x:c r="C18" s="49" t="n">
        <x:v>0.4</x:v>
      </x:c>
      <x:c r="D18" s="7" t="inlineStr">
        <x:is>
          <x:t>%</x:t>
        </x:is>
      </x:c>
      <x:c r="E18" s="7" t="inlineStr">
        <x:is>
          <x:t>Parcela sustentada pela evidência</x:t>
        </x:is>
      </x:c>
      <x:c r="G18" s="50" t="inlineStr">
        <x:is>
          <x:t>Benefício líquido</x:t>
        </x:is>
      </x:c>
      <x:c r="H18" s="52">
        <x:f>H16-H17</x:f>
        <x:v>270000</x:v>
      </x:c>
    </x:row>
    <x:row r="19" ht="27" customHeight="1">
      <x:c r="A19" s="6" t="inlineStr">
        <x:is>
          <x:t>turnover_base</x:t>
        </x:is>
      </x:c>
      <x:c r="B19" s="6" t="str">
        <x:v>Rotatividade — baseline</x:v>
      </x:c>
      <x:c r="C19" s="49" t="n">
        <x:v>0.18</x:v>
      </x:c>
      <x:c r="D19" s="6" t="inlineStr">
        <x:is>
          <x:t>%</x:t>
        </x:is>
      </x:c>
      <x:c r="E19" s="6" t="inlineStr">
        <x:is>
          <x:t>Janela anual</x:t>
        </x:is>
      </x:c>
      <x:c r="G19" s="50" t="inlineStr">
        <x:is>
          <x:t>ROI</x:t>
        </x:is>
      </x:c>
      <x:c r="H19" s="53">
        <x:f>IFERROR(H18/H17,0)</x:f>
        <x:v>0.28421052631579</x:v>
      </x:c>
    </x:row>
    <x:row r="20" ht="27" customHeight="1">
      <x:c r="A20" s="7" t="inlineStr">
        <x:is>
          <x:t>turnover_pos</x:t>
        </x:is>
      </x:c>
      <x:c r="B20" s="7" t="str">
        <x:v>Rotatividade — após intervenção</x:v>
      </x:c>
      <x:c r="C20" s="49" t="n">
        <x:v>0.15</x:v>
      </x:c>
      <x:c r="D20" s="7" t="inlineStr">
        <x:is>
          <x:t>%</x:t>
        </x:is>
      </x:c>
      <x:c r="E20" s="7" t="inlineStr">
        <x:is>
          <x:t>Mesmo cohort / janela</x:t>
        </x:is>
      </x:c>
      <x:c r="G20" s="50" t="inlineStr">
        <x:is>
          <x:t>Payback</x:t>
        </x:is>
      </x:c>
      <x:c r="H20" s="54">
        <x:f>IFERROR(H17/(H16/12),0)</x:f>
        <x:v>9.34426229508197</x:v>
      </x:c>
    </x:row>
    <x:row r="21" ht="27" customHeight="1">
      <x:c r="A21" s="6" t="inlineStr">
        <x:is>
          <x:t>custo_reposicao</x:t>
        </x:is>
      </x:c>
      <x:c r="B21" s="6" t="inlineStr">
        <x:is>
          <x:t>Custo de reposição</x:t>
        </x:is>
      </x:c>
      <x:c r="C21" s="45" t="n">
        <x:v>60000</x:v>
      </x:c>
      <x:c r="D21" s="6" t="inlineStr">
        <x:is>
          <x:t>R$/saída</x:t>
        </x:is>
      </x:c>
      <x:c r="E21" s="6" t="inlineStr">
        <x:is>
          <x:t>Recrutamento + ramp-up</x:t>
        </x:is>
      </x:c>
    </x:row>
    <x:row r="22" ht="27" customHeight="1">
      <x:c r="A22" s="7" t="inlineStr">
        <x:is>
          <x:t>attr_retencao</x:t>
        </x:is>
      </x:c>
      <x:c r="B22" s="7" t="inlineStr">
        <x:is>
          <x:t>Atribuição HUB — retenção</x:t>
        </x:is>
      </x:c>
      <x:c r="C22" s="49" t="n">
        <x:v>0.4</x:v>
      </x:c>
      <x:c r="D22" s="7" t="inlineStr">
        <x:is>
          <x:t>%</x:t>
        </x:is>
      </x:c>
      <x:c r="E22" s="7" t="inlineStr">
        <x:is>
          <x:t>Parcela sustentada pela evidência</x:t>
        </x:is>
      </x:c>
    </x:row>
    <x:row r="23" ht="24" customHeight="1">
      <x:c r="A23" s="6" t="inlineStr">
        <x:is>
          <x:t>spend</x:t>
        </x:is>
      </x:c>
      <x:c r="B23" s="6" t="inlineStr">
        <x:is>
          <x:t>Spend endereçado</x:t>
        </x:is>
      </x:c>
      <x:c r="C23" s="45" t="n">
        <x:v>10000000</x:v>
      </x:c>
      <x:c r="D23" s="6" t="inlineStr">
        <x:is>
          <x:t>R$</x:t>
        </x:is>
      </x:c>
      <x:c r="E23" s="6" t="inlineStr">
        <x:is>
          <x:t>Compras dentro do escopo</x:t>
        </x:is>
      </x:c>
      <x:c r="G23" s="15" t="inlineStr">
        <x:is>
          <x:t>C. Cenários de sensibilidade</x:t>
        </x:is>
      </x:c>
    </x:row>
    <x:row r="24" ht="27" customHeight="1">
      <x:c r="A24" s="7" t="inlineStr">
        <x:is>
          <x:t>saving_rate</x:t>
        </x:is>
      </x:c>
      <x:c r="B24" s="7" t="str">
        <x:v>Saving estimado (premissa)</x:v>
      </x:c>
      <x:c r="C24" s="49" t="n">
        <x:v>0.025</x:v>
      </x:c>
      <x:c r="D24" s="7" t="inlineStr">
        <x:is>
          <x:t>%</x:t>
        </x:is>
      </x:c>
      <x:c r="E24" s="7" t="inlineStr">
        <x:is>
          <x:t>Vs. referência validada</x:t>
        </x:is>
      </x:c>
    </x:row>
    <x:row r="25" ht="27" customHeight="1">
      <x:c r="A25" s="6" t="inlineStr">
        <x:is>
          <x:t>attr_compras</x:t>
        </x:is>
      </x:c>
      <x:c r="B25" s="6" t="inlineStr">
        <x:is>
          <x:t>Atribuição HUB — compras</x:t>
        </x:is>
      </x:c>
      <x:c r="C25" s="49" t="n">
        <x:v>0.5</x:v>
      </x:c>
      <x:c r="D25" s="6" t="inlineStr">
        <x:is>
          <x:t>%</x:t>
        </x:is>
      </x:c>
      <x:c r="E25" s="6" t="inlineStr">
        <x:is>
          <x:t>Parcela sustentada pela evidência</x:t>
        </x:is>
      </x:c>
      <x:c r="G25" s="44" t="inlineStr">
        <x:is>
          <x:t>Cenário</x:t>
        </x:is>
      </x:c>
      <x:c r="H25" s="44" t="inlineStr">
        <x:is>
          <x:t>Multiplicador dos benefícios</x:t>
        </x:is>
      </x:c>
      <x:c r="I25" s="44" t="inlineStr">
        <x:is>
          <x:t>Benefício bruto</x:t>
        </x:is>
      </x:c>
      <x:c r="J25" s="44" t="inlineStr">
        <x:is>
          <x:t>Investimento</x:t>
        </x:is>
      </x:c>
      <x:c r="K25" s="44" t="inlineStr">
        <x:is>
          <x:t>ROI</x:t>
        </x:is>
      </x:c>
      <x:c r="L25" s="44" t="inlineStr">
        <x:is>
          <x:t>Payback</x:t>
        </x:is>
      </x:c>
    </x:row>
    <x:row r="26" ht="27" customHeight="1">
      <x:c r="A26" s="7" t="inlineStr">
        <x:is>
          <x:t>perda_esperada</x:t>
        </x:is>
      </x:c>
      <x:c r="B26" s="7" t="inlineStr">
        <x:is>
          <x:t>Perda esperada baseline</x:t>
        </x:is>
      </x:c>
      <x:c r="C26" s="45" t="n">
        <x:v>400000</x:v>
      </x:c>
      <x:c r="D26" s="7" t="inlineStr">
        <x:is>
          <x:t>R$</x:t>
        </x:is>
      </x:c>
      <x:c r="E26" s="7" t="inlineStr">
        <x:is>
          <x:t>Probabilidade × impacto</x:t>
        </x:is>
      </x:c>
      <x:c r="G26" s="7" t="inlineStr">
        <x:is>
          <x:t>Conservador</x:t>
        </x:is>
      </x:c>
      <x:c r="H26" s="55" t="n">
        <x:v>0.7</x:v>
      </x:c>
      <x:c r="I26" s="56">
        <x:f>$H$16*H26</x:f>
        <x:v>854000</x:v>
      </x:c>
      <x:c r="J26" s="56">
        <x:f>$H$17</x:f>
        <x:v>950000</x:v>
      </x:c>
      <x:c r="K26" s="57">
        <x:f>IFERROR((I26-J26)/J26,0)</x:f>
        <x:v>-0.101052631578947</x:v>
      </x:c>
      <x:c r="L26" s="58">
        <x:f>IFERROR(J26/(I26/12),0)</x:f>
        <x:v>13.3489461358314</x:v>
      </x:c>
    </x:row>
    <x:row r="27" ht="27" customHeight="1">
      <x:c r="A27" s="6" t="inlineStr">
        <x:is>
          <x:t>reducao_risco</x:t>
        </x:is>
      </x:c>
      <x:c r="B27" s="6" t="inlineStr">
        <x:is>
          <x:t>Redução do risco</x:t>
        </x:is>
      </x:c>
      <x:c r="C27" s="49" t="n">
        <x:v>0.2</x:v>
      </x:c>
      <x:c r="D27" s="6" t="inlineStr">
        <x:is>
          <x:t>%</x:t>
        </x:is>
      </x:c>
      <x:c r="E27" s="6" t="inlineStr">
        <x:is>
          <x:t>Delta de perda esperada</x:t>
        </x:is>
      </x:c>
      <x:c r="G27" s="6" t="inlineStr">
        <x:is>
          <x:t>Base</x:t>
        </x:is>
      </x:c>
      <x:c r="H27" s="59" t="n">
        <x:v>1</x:v>
      </x:c>
      <x:c r="I27" s="60">
        <x:f>$H$16*H27</x:f>
        <x:v>1220000</x:v>
      </x:c>
      <x:c r="J27" s="60">
        <x:f>$H$17</x:f>
        <x:v>950000</x:v>
      </x:c>
      <x:c r="K27" s="61">
        <x:f>IFERROR((I27-J27)/J27,0)</x:f>
        <x:v>0.28421052631579</x:v>
      </x:c>
      <x:c r="L27" s="62">
        <x:f>IFERROR(J27/(I27/12),0)</x:f>
        <x:v>9.34426229508197</x:v>
      </x:c>
    </x:row>
    <x:row r="28" ht="27" customHeight="1">
      <x:c r="A28" s="7" t="inlineStr">
        <x:is>
          <x:t>attr_risco</x:t>
        </x:is>
      </x:c>
      <x:c r="B28" s="7" t="inlineStr">
        <x:is>
          <x:t>Atribuição HUB — risco</x:t>
        </x:is>
      </x:c>
      <x:c r="C28" s="49" t="n">
        <x:v>0.5</x:v>
      </x:c>
      <x:c r="D28" s="7" t="inlineStr">
        <x:is>
          <x:t>%</x:t>
        </x:is>
      </x:c>
      <x:c r="E28" s="7" t="inlineStr">
        <x:is>
          <x:t>Parcela sustentada pela evidência</x:t>
        </x:is>
      </x:c>
      <x:c r="G28" s="7" t="inlineStr">
        <x:is>
          <x:t>Ambicioso</x:t>
        </x:is>
      </x:c>
      <x:c r="H28" s="55" t="n">
        <x:v>1.3</x:v>
      </x:c>
      <x:c r="I28" s="56">
        <x:f>$H$16*H28</x:f>
        <x:v>1586000</x:v>
      </x:c>
      <x:c r="J28" s="56">
        <x:f>$H$17</x:f>
        <x:v>950000</x:v>
      </x:c>
      <x:c r="K28" s="57">
        <x:f>IFERROR((I28-J28)/J28,0)</x:f>
        <x:v>0.669473684210526</x:v>
      </x:c>
      <x:c r="L28" s="58">
        <x:f>IFERROR(J28/(I28/12),0)</x:f>
        <x:v>7.18789407313998</x:v>
      </x:c>
    </x:row>
    <x:row r="29" ht="27" customHeight="1">
      <x:c r="A29" s="6" t="inlineStr">
        <x:is>
          <x:t>pipeline</x:t>
        </x:is>
      </x:c>
      <x:c r="B29" s="6" t="inlineStr">
        <x:is>
          <x:t>Receita incremental elegível</x:t>
        </x:is>
      </x:c>
      <x:c r="C29" s="45" t="n">
        <x:v>2000000</x:v>
      </x:c>
      <x:c r="D29" s="6" t="inlineStr">
        <x:is>
          <x:t>R$</x:t>
        </x:is>
      </x:c>
      <x:c r="E29" s="6" t="inlineStr">
        <x:is>
          <x:t>Somente delta incremental</x:t>
        </x:is>
      </x:c>
    </x:row>
    <x:row r="30" ht="27" customHeight="1">
      <x:c r="A30" s="7" t="inlineStr">
        <x:is>
          <x:t>margem_cliente</x:t>
        </x:is>
      </x:c>
      <x:c r="B30" s="7" t="inlineStr">
        <x:is>
          <x:t>Margem de contribuição do cliente</x:t>
        </x:is>
      </x:c>
      <x:c r="C30" s="49" t="n">
        <x:v>0.35</x:v>
      </x:c>
      <x:c r="D30" s="7" t="inlineStr">
        <x:is>
          <x:t>%</x:t>
        </x:is>
      </x:c>
      <x:c r="E30" s="7" t="inlineStr">
        <x:is>
          <x:t>Margem aplicada à receita</x:t>
        </x:is>
      </x:c>
    </x:row>
    <x:row r="31" ht="27" customHeight="1">
      <x:c r="A31" s="6" t="inlineStr">
        <x:is>
          <x:t>attr_receita</x:t>
        </x:is>
      </x:c>
      <x:c r="B31" s="6" t="inlineStr">
        <x:is>
          <x:t>Atribuição HUB — receita</x:t>
        </x:is>
      </x:c>
      <x:c r="C31" s="49" t="n">
        <x:v>0.25</x:v>
      </x:c>
      <x:c r="D31" s="6" t="inlineStr">
        <x:is>
          <x:t>%</x:t>
        </x:is>
      </x:c>
      <x:c r="E31" s="6" t="inlineStr">
        <x:is>
          <x:t>Parcela sustentada pela evidência</x:t>
        </x:is>
      </x:c>
    </x:row>
    <x:row r="33" ht="24" customHeight="1">
      <x:c r="G33" s="63" t="inlineStr">
        <x:is>
          <x:t>D. Unit economics da HUB</x:t>
        </x:is>
      </x:c>
    </x:row>
    <x:row r="35">
      <x:c r="G35" s="44" t="inlineStr">
        <x:is>
          <x:t>Premissa</x:t>
        </x:is>
      </x:c>
      <x:c r="H35" s="44" t="inlineStr">
        <x:is>
          <x:t>Valor</x:t>
        </x:is>
      </x:c>
      <x:c r="I35" s="44" t="inlineStr">
        <x:is>
          <x:t>Unidade</x:t>
        </x:is>
      </x:c>
      <x:c r="J35" s="44" t="inlineStr">
        <x:is>
          <x:t>Indicador calculado</x:t>
        </x:is>
      </x:c>
      <x:c r="K35" s="44" t="inlineStr">
        <x:is>
          <x:t>Resultado</x:t>
        </x:is>
      </x:c>
      <x:c r="L35" s="44" t="inlineStr">
        <x:is>
          <x:t>Fórmula</x:t>
        </x:is>
      </x:c>
    </x:row>
    <x:row r="36">
      <x:c r="G36" s="7" t="inlineStr">
        <x:is>
          <x:t>Clientes ativos</x:t>
        </x:is>
      </x:c>
      <x:c r="H36" s="64" t="n">
        <x:v>15</x:v>
      </x:c>
      <x:c r="I36" s="7" t="inlineStr">
        <x:is>
          <x:t>clientes</x:t>
        </x:is>
      </x:c>
      <x:c r="J36" s="7" t="inlineStr">
        <x:is>
          <x:t>ARPA mensal</x:t>
        </x:is>
      </x:c>
      <x:c r="K36" s="65">
        <x:f>IFERROR(H37/H36,0)</x:f>
        <x:v>5333.33333333333</x:v>
      </x:c>
      <x:c r="L36" s="7" t="inlineStr">
        <x:is>
          <x:t>MRR / clientes</x:t>
        </x:is>
      </x:c>
    </x:row>
    <x:row r="37">
      <x:c r="G37" s="6" t="inlineStr">
        <x:is>
          <x:t>MRR</x:t>
        </x:is>
      </x:c>
      <x:c r="H37" s="66" t="n">
        <x:v>80000</x:v>
      </x:c>
      <x:c r="I37" s="6" t="inlineStr">
        <x:is>
          <x:t>R$/mês</x:t>
        </x:is>
      </x:c>
      <x:c r="J37" s="6" t="inlineStr">
        <x:is>
          <x:t>Receita marketplace</x:t>
        </x:is>
      </x:c>
      <x:c r="K37" s="65">
        <x:f>H39*H40</x:f>
        <x:v>16000</x:v>
      </x:c>
      <x:c r="L37" s="6" t="inlineStr">
        <x:is>
          <x:t>GMV × take rate</x:t>
        </x:is>
      </x:c>
    </x:row>
    <x:row r="38">
      <x:c r="G38" s="7" t="inlineStr">
        <x:is>
          <x:t>Receita mensal de serviços</x:t>
        </x:is>
      </x:c>
      <x:c r="H38" s="66" t="n">
        <x:v>20000</x:v>
      </x:c>
      <x:c r="I38" s="7" t="inlineStr">
        <x:is>
          <x:t>R$/mês</x:t>
        </x:is>
      </x:c>
      <x:c r="J38" s="7" t="inlineStr">
        <x:is>
          <x:t>Receita mensal total</x:t>
        </x:is>
      </x:c>
      <x:c r="K38" s="65">
        <x:f>H37+H38+K37</x:f>
        <x:v>116000</x:v>
      </x:c>
      <x:c r="L38" s="7" t="inlineStr">
        <x:is>
          <x:t>MRR + serviços + marketplace</x:t>
        </x:is>
      </x:c>
    </x:row>
    <x:row r="39">
      <x:c r="G39" s="6" t="inlineStr">
        <x:is>
          <x:t>GMV mensal</x:t>
        </x:is>
      </x:c>
      <x:c r="H39" s="66" t="n">
        <x:v>200000</x:v>
      </x:c>
      <x:c r="I39" s="6" t="inlineStr">
        <x:is>
          <x:t>R$/mês</x:t>
        </x:is>
      </x:c>
      <x:c r="J39" s="6" t="inlineStr">
        <x:is>
          <x:t>LTV</x:t>
        </x:is>
      </x:c>
      <x:c r="K39" s="65">
        <x:f>IFERROR((K36*H41)/H43,0)</x:f>
        <x:v>186666.666666667</x:v>
      </x:c>
      <x:c r="L39" s="6" t="inlineStr">
        <x:is>
          <x:t>ARPA × margem / churn</x:t>
        </x:is>
      </x:c>
    </x:row>
    <x:row r="40">
      <x:c r="G40" s="7" t="inlineStr">
        <x:is>
          <x:t>Take rate</x:t>
        </x:is>
      </x:c>
      <x:c r="H40" s="67" t="n">
        <x:v>0.08</x:v>
      </x:c>
      <x:c r="I40" s="7" t="inlineStr">
        <x:is>
          <x:t>%</x:t>
        </x:is>
      </x:c>
      <x:c r="J40" s="7" t="inlineStr">
        <x:is>
          <x:t>LTV/CAC</x:t>
        </x:is>
      </x:c>
      <x:c r="K40" s="68">
        <x:f>IFERROR(K39/H42,0)</x:f>
        <x:v>5.33333333333333</x:v>
      </x:c>
      <x:c r="L40" s="7" t="inlineStr">
        <x:is>
          <x:t>LTV / CAC</x:t>
        </x:is>
      </x:c>
    </x:row>
    <x:row r="41">
      <x:c r="G41" s="6" t="inlineStr">
        <x:is>
          <x:t>Margem bruta</x:t>
        </x:is>
      </x:c>
      <x:c r="H41" s="67" t="n">
        <x:v>0.7</x:v>
      </x:c>
      <x:c r="I41" s="6" t="inlineStr">
        <x:is>
          <x:t>%</x:t>
        </x:is>
      </x:c>
      <x:c r="J41" s="6" t="inlineStr">
        <x:is>
          <x:t>Payback CAC</x:t>
        </x:is>
      </x:c>
      <x:c r="K41" s="69">
        <x:f>IFERROR(H42/(K36*H41),0)</x:f>
        <x:v>9.375</x:v>
      </x:c>
      <x:c r="L41" s="6" t="inlineStr">
        <x:is>
          <x:t>CAC / margem mensal por cliente</x:t>
        </x:is>
      </x:c>
    </x:row>
    <x:row r="42">
      <x:c r="G42" s="7" t="inlineStr">
        <x:is>
          <x:t>CAC</x:t>
        </x:is>
      </x:c>
      <x:c r="H42" s="66" t="n">
        <x:v>35000</x:v>
      </x:c>
      <x:c r="I42" s="7" t="inlineStr">
        <x:is>
          <x:t>R$/cliente</x:t>
        </x:is>
      </x:c>
      <x:c r="J42" s="7" t="n"/>
      <x:c r="K42" s="7" t="n"/>
      <x:c r="L42" s="7" t="n"/>
    </x:row>
    <x:row r="43">
      <x:c r="G43" s="6" t="inlineStr">
        <x:is>
          <x:t>Churn mensal</x:t>
        </x:is>
      </x:c>
      <x:c r="H43" s="67" t="n">
        <x:v>0.02</x:v>
      </x:c>
      <x:c r="I43" s="6" t="inlineStr">
        <x:is>
          <x:t>%</x:t>
        </x:is>
      </x:c>
      <x:c r="J43" s="6" t="n"/>
      <x:c r="K43" s="6" t="n"/>
      <x:c r="L43" s="6" t="n"/>
    </x:row>
  </x:sheetData>
  <x:mergeCells count="6">
    <x:mergeCell ref="G33:L33"/>
    <x:mergeCell ref="G5:L5"/>
    <x:mergeCell ref="A1:L2"/>
    <x:mergeCell ref="G23:L23"/>
    <x:mergeCell ref="A5:E5"/>
    <x:mergeCell ref="A3:L3"/>
  </x:mergeCells>
  <x:conditionalFormatting sqref="H19">
    <x:cfRule type="cellIs" dxfId="0" priority="1" operator="lessThan">
      <x:formula>0</x:formula>
    </x:cfRule>
  </x:conditionalFormatting>
  <x:conditionalFormatting sqref="K40">
    <x:cfRule type="cellIs" dxfId="0" priority="2" operator="lessThan">
      <x:formula>3</x:formula>
    </x:cfRule>
  </x:conditionalFormatting>
  <x:pageMargins left="0.25" right="0.25" top="0.45" bottom="0.45" header="0.5" footer="0.5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drawing xmlns:r="http://schemas.openxmlformats.org/officeDocument/2006/relationships" r:id="rId1"/>
  <x:tableParts count="1">
    <x:tablePart xmlns:r="http://schemas.openxmlformats.org/officeDocument/2006/relationships" r:id="rId2"/>
  </x:tableParts>
</x:worksheet>
</file>

<file path=xl/worksheets/sheet8.xml><?xml version="1.0" encoding="utf-8"?>
<x:worksheet xmlns:x="http://schemas.openxmlformats.org/spreadsheetml/2006/main">
  <x:sheetPr>
    <x:tabColor rgb="00FF4B35"/>
    <x:outlinePr summaryBelow="1" summaryRight="1"/>
    <x:pageSetUpPr fitToPage="1"/>
  </x:sheetPr>
  <x:dimension ref="A1:J15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22" customWidth="1"/>
    <x:col min="2" max="2" width="22" customWidth="1"/>
    <x:col min="3" max="3" width="42" customWidth="1"/>
    <x:col min="4" max="4" width="42" customWidth="1"/>
    <x:col min="5" max="5" width="40" customWidth="1"/>
    <x:col min="6" max="6" width="32" customWidth="1"/>
    <x:col min="7" max="7" width="36" customWidth="1"/>
    <x:col min="8" max="8" width="42" customWidth="1"/>
    <x:col min="9" max="9" width="14" customWidth="1"/>
    <x:col min="10" max="10" width="28" customWidth="1"/>
  </x:cols>
  <x:sheetData>
    <x:row r="1" ht="26" customHeight="1">
      <x:c r="A1" s="1" t="inlineStr">
        <x:is>
          <x:t>Visões e dashboards da plataforma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 ht="24" customHeight="1">
      <x:c r="A3" s="3" t="inlineStr">
        <x:is>
          <x:t>Cada visão começa por uma decisão; o KPI só entra se mudar uma ação.</x:t>
        </x:is>
      </x:c>
    </x:row>
    <x:row r="5" ht="34" customHeight="1">
      <x:c r="A5" s="44" t="inlineStr">
        <x:is>
          <x:t>Visão</x:t>
        </x:is>
      </x:c>
      <x:c r="B5" s="44" t="inlineStr">
        <x:is>
          <x:t>Usuário</x:t>
        </x:is>
      </x:c>
      <x:c r="C5" s="44" t="inlineStr">
        <x:is>
          <x:t>Pergunta central</x:t>
        </x:is>
      </x:c>
      <x:c r="D5" s="44" t="inlineStr">
        <x:is>
          <x:t>KPIs primários</x:t>
        </x:is>
      </x:c>
      <x:c r="E5" s="44" t="inlineStr">
        <x:is>
          <x:t>KPIs de diagnóstico</x:t>
        </x:is>
      </x:c>
      <x:c r="F5" s="44" t="inlineStr">
        <x:is>
          <x:t>Filtros padrão</x:t>
        </x:is>
      </x:c>
      <x:c r="G5" s="44" t="inlineStr">
        <x:is>
          <x:t>Alertas</x:t>
        </x:is>
      </x:c>
      <x:c r="H5" s="44" t="inlineStr">
        <x:is>
          <x:t>Ações possíveis</x:t>
        </x:is>
      </x:c>
      <x:c r="I5" s="44" t="inlineStr">
        <x:is>
          <x:t>Cadência</x:t>
        </x:is>
      </x:c>
      <x:c r="J5" s="44" t="inlineStr">
        <x:is>
          <x:t>Permissão</x:t>
        </x:is>
      </x:c>
    </x:row>
    <x:row r="6" ht="66" customHeight="1">
      <x:c r="A6" s="6" t="inlineStr">
        <x:is>
          <x:t>Executiva HUB</x:t>
        </x:is>
      </x:c>
      <x:c r="B6" s="6" t="inlineStr">
        <x:is>
          <x:t>CEO / Conselho</x:t>
        </x:is>
      </x:c>
      <x:c r="C6" s="6" t="inlineStr">
        <x:is>
          <x:t>Onde a HUB cria valor, margem e escala?</x:t>
        </x:is>
      </x:c>
      <x:c r="D6" s="6" t="inlineStr">
        <x:is>
          <x:t>ARR, MRR, NRR, margem, ROI cliente, LTV/CAC</x:t>
        </x:is>
      </x:c>
      <x:c r="E6" s="6" t="inlineStr">
        <x:is>
          <x:t>adoção, time-to-value, pipeline, churn</x:t>
        </x:is>
      </x:c>
      <x:c r="F6" s="6" t="inlineStr">
        <x:is>
          <x:t>vertente, produto, cliente, cohort</x:t>
        </x:is>
      </x:c>
      <x:c r="G6" s="6" t="inlineStr">
        <x:is>
          <x:t>ROI negativo; churn; margem abaixo do piso</x:t>
        </x:is>
      </x:c>
      <x:c r="H6" s="6" t="inlineStr">
        <x:is>
          <x:t>priorizar produto, preço, carteira e investimento</x:t>
        </x:is>
      </x:c>
      <x:c r="I6" s="6" t="inlineStr">
        <x:is>
          <x:t>Mensal</x:t>
        </x:is>
      </x:c>
      <x:c r="J6" s="6" t="inlineStr">
        <x:is>
          <x:t>Agregado financeiro</x:t>
        </x:is>
      </x:c>
    </x:row>
    <x:row r="7" ht="66" customHeight="1">
      <x:c r="A7" s="7" t="inlineStr">
        <x:is>
          <x:t>Executiva cliente</x:t>
        </x:is>
      </x:c>
      <x:c r="B7" s="7" t="inlineStr">
        <x:is>
          <x:t>CFO / patrocinador</x:t>
        </x:is>
      </x:c>
      <x:c r="C7" s="7" t="inlineStr">
        <x:is>
          <x:t>Qual valor financeiro foi provado?</x:t>
        </x:is>
      </x:c>
      <x:c r="D7" s="7" t="inlineStr">
        <x:is>
          <x:t>benefício bruto/líquido, ROI, payback, margem, saving, risco</x:t>
        </x:is>
      </x:c>
      <x:c r="E7" s="7" t="inlineStr">
        <x:is>
          <x:t>cobertura, evidência, atribuição</x:t>
        </x:is>
      </x:c>
      <x:c r="F7" s="7" t="inlineStr">
        <x:is>
          <x:t>programa, unidade, período, cenário</x:t>
        </x:is>
      </x:c>
      <x:c r="G7" s="7" t="inlineStr">
        <x:is>
          <x:t>benefício abaixo do business case</x:t>
        </x:is>
      </x:c>
      <x:c r="H7" s="7" t="inlineStr">
        <x:is>
          <x:t>escalar, corrigir ou interromper</x:t>
        </x:is>
      </x:c>
      <x:c r="I7" s="7" t="inlineStr">
        <x:is>
          <x:t>Trimestral</x:t>
        </x:is>
      </x:c>
      <x:c r="J7" s="7" t="inlineStr">
        <x:is>
          <x:t>Dados do próprio cliente</x:t>
        </x:is>
      </x:c>
    </x:row>
    <x:row r="8" ht="66" customHeight="1">
      <x:c r="A8" s="6" t="inlineStr">
        <x:is>
          <x:t>Pessoas / RH</x:t>
        </x:is>
      </x:c>
      <x:c r="B8" s="6" t="inlineStr">
        <x:is>
          <x:t>CHRO / People Analytics</x:t>
        </x:is>
      </x:c>
      <x:c r="C8" s="6" t="inlineStr">
        <x:is>
          <x:t>Que decisão sobre pessoas melhora resultado?</x:t>
        </x:is>
      </x:c>
      <x:c r="D8" s="6" t="inlineStr">
        <x:is>
          <x:t>produtividade, retenção, time-to-fill, qualidade da contratação</x:t>
        </x:is>
      </x:c>
      <x:c r="E8" s="6" t="inlineStr">
        <x:is>
          <x:t>prontidão, gap, jornada, cohort</x:t>
        </x:is>
      </x:c>
      <x:c r="F8" s="6" t="inlineStr">
        <x:is>
          <x:t>função, gestor, unidade, local</x:t>
        </x:is>
      </x:c>
      <x:c r="G8" s="6" t="inlineStr">
        <x:is>
          <x:t>gap crítico; risco de saída; baixa eficácia</x:t>
        </x:is>
      </x:c>
      <x:c r="H8" s="6" t="inlineStr">
        <x:is>
          <x:t>recomendar jornada, mobilidade ou contratação</x:t>
        </x:is>
      </x:c>
      <x:c r="I8" s="6" t="inlineStr">
        <x:is>
          <x:t>Mensal</x:t>
        </x:is>
      </x:c>
      <x:c r="J8" s="6" t="inlineStr">
        <x:is>
          <x:t>Dados pessoais pseudonimizados</x:t>
        </x:is>
      </x:c>
    </x:row>
    <x:row r="9" ht="66" customHeight="1">
      <x:c r="A9" s="7" t="inlineStr">
        <x:is>
          <x:t>Compras</x:t>
        </x:is>
      </x:c>
      <x:c r="B9" s="7" t="inlineStr">
        <x:is>
          <x:t>CPO / procurement</x:t>
        </x:is>
      </x:c>
      <x:c r="C9" s="7" t="inlineStr">
        <x:is>
          <x:t>Como ampliar oferta e reduzir custo/risco?</x:t>
        </x:is>
      </x:c>
      <x:c r="D9" s="7" t="inlineStr">
        <x:is>
          <x:t>saving, ciclo, conversão, desempenho, risco</x:t>
        </x:is>
      </x:c>
      <x:c r="E9" s="7" t="inlineStr">
        <x:is>
          <x:t>cobertura, elegibilidade, homologação</x:t>
        </x:is>
      </x:c>
      <x:c r="F9" s="7" t="inlineStr">
        <x:is>
          <x:t>categoria, região, contrato, fornecedor</x:t>
        </x:is>
      </x:c>
      <x:c r="G9" s="7" t="inlineStr">
        <x:is>
          <x:t>categoria sem oferta; SLA; risco alto</x:t>
        </x:is>
      </x:c>
      <x:c r="H9" s="7" t="inlineStr">
        <x:is>
          <x:t>abrir conexão, desenvolver ou substituir oferta</x:t>
        </x:is>
      </x:c>
      <x:c r="I9" s="7" t="inlineStr">
        <x:is>
          <x:t>Mensal</x:t>
        </x:is>
      </x:c>
      <x:c r="J9" s="7" t="inlineStr">
        <x:is>
          <x:t>Compras e contratos</x:t>
        </x:is>
      </x:c>
    </x:row>
    <x:row r="10" ht="66" customHeight="1">
      <x:c r="A10" s="6" t="inlineStr">
        <x:is>
          <x:t>Marketing / RevOps</x:t>
        </x:is>
      </x:c>
      <x:c r="B10" s="6" t="inlineStr">
        <x:is>
          <x:t>CMO / vendas</x:t>
        </x:is>
      </x:c>
      <x:c r="C10" s="6" t="inlineStr">
        <x:is>
          <x:t>Qual mídia e conteúdo criam margem?</x:t>
        </x:is>
      </x:c>
      <x:c r="D10" s="6" t="inlineStr">
        <x:is>
          <x:t>margem incremental, pipeline, CAC, ROAS</x:t>
        </x:is>
      </x:c>
      <x:c r="E10" s="6" t="inlineStr">
        <x:is>
          <x:t>alcance qualificado, CPL, conteúdo→ação</x:t>
        </x:is>
      </x:c>
      <x:c r="F10" s="6" t="inlineStr">
        <x:is>
          <x:t>canal, campanha, produto, segmento</x:t>
        </x:is>
      </x:c>
      <x:c r="G10" s="6" t="inlineStr">
        <x:is>
          <x:t>CAC alto; queda de conversão</x:t>
        </x:is>
      </x:c>
      <x:c r="H10" s="6" t="inlineStr">
        <x:is>
          <x:t>redistribuir verba, mudar oferta ou mensagem</x:t>
        </x:is>
      </x:c>
      <x:c r="I10" s="6" t="inlineStr">
        <x:is>
          <x:t>Semanal</x:t>
        </x:is>
      </x:c>
      <x:c r="J10" s="6" t="inlineStr">
        <x:is>
          <x:t>CRM e mídia</x:t>
        </x:is>
      </x:c>
    </x:row>
    <x:row r="11" ht="66" customHeight="1">
      <x:c r="A11" s="7" t="inlineStr">
        <x:is>
          <x:t>Entidade / Firjan</x:t>
        </x:is>
      </x:c>
      <x:c r="B11" s="7" t="inlineStr">
        <x:is>
          <x:t>Direção da entidade</x:t>
        </x:is>
      </x:c>
      <x:c r="C11" s="7" t="inlineStr">
        <x:is>
          <x:t>Que valor o ecossistema entrega aos associados?</x:t>
        </x:is>
      </x:c>
      <x:c r="D11" s="7" t="inlineStr">
        <x:is>
          <x:t>ativação, renovação, valor por associado, impacto econômico</x:t>
        </x:is>
      </x:c>
      <x:c r="E11" s="7" t="inlineStr">
        <x:is>
          <x:t>cobertura, densidade, benchmark</x:t>
        </x:is>
      </x:c>
      <x:c r="F11" s="7" t="inlineStr">
        <x:is>
          <x:t>setor, região, porte, serviço</x:t>
        </x:is>
      </x:c>
      <x:c r="G11" s="7" t="inlineStr">
        <x:is>
          <x:t>segmento com baixa ativação/renovação</x:t>
        </x:is>
      </x:c>
      <x:c r="H11" s="7" t="inlineStr">
        <x:is>
          <x:t>criar programa, conexão ou serviço</x:t>
        </x:is>
      </x:c>
      <x:c r="I11" s="7" t="inlineStr">
        <x:is>
          <x:t>Mensal</x:t>
        </x:is>
      </x:c>
      <x:c r="J11" s="7" t="inlineStr">
        <x:is>
          <x:t>Agregado e anonimizado</x:t>
        </x:is>
      </x:c>
    </x:row>
    <x:row r="12" ht="66" customHeight="1">
      <x:c r="A12" s="6" t="inlineStr">
        <x:is>
          <x:t>Operação de programas</x:t>
        </x:is>
      </x:c>
      <x:c r="B12" s="6" t="inlineStr">
        <x:is>
          <x:t>PMO / consultoria</x:t>
        </x:is>
      </x:c>
      <x:c r="C12" s="6" t="inlineStr">
        <x:is>
          <x:t>A ação está no ritmo e produz outcome?</x:t>
        </x:is>
      </x:c>
      <x:c r="D12" s="6" t="inlineStr">
        <x:is>
          <x:t>conclusão, evolução, custo por outcome, satisfação</x:t>
        </x:is>
      </x:c>
      <x:c r="E12" s="6" t="inlineStr">
        <x:is>
          <x:t>convite, presença, dose, SLA</x:t>
        </x:is>
      </x:c>
      <x:c r="F12" s="6" t="inlineStr">
        <x:is>
          <x:t>programa, etapa, cohort, owner</x:t>
        </x:is>
      </x:c>
      <x:c r="G12" s="6" t="inlineStr">
        <x:is>
          <x:t>desvio de meta ou prazo</x:t>
        </x:is>
      </x:c>
      <x:c r="H12" s="6" t="inlineStr">
        <x:is>
          <x:t>corrigir desenho e acompanhamento</x:t>
        </x:is>
      </x:c>
      <x:c r="I12" s="6" t="inlineStr">
        <x:is>
          <x:t>Semanal</x:t>
        </x:is>
      </x:c>
      <x:c r="J12" s="6" t="inlineStr">
        <x:is>
          <x:t>Programa específico</x:t>
        </x:is>
      </x:c>
    </x:row>
    <x:row r="13" ht="66" customHeight="1">
      <x:c r="A13" s="7" t="inlineStr">
        <x:is>
          <x:t>Pessoa</x:t>
        </x:is>
      </x:c>
      <x:c r="B13" s="7" t="inlineStr">
        <x:is>
          <x:t>Participante</x:t>
        </x:is>
      </x:c>
      <x:c r="C13" s="7" t="inlineStr">
        <x:is>
          <x:t>Qual próximo passo aumenta minha capacidade e oportunidades?</x:t>
        </x:is>
      </x:c>
      <x:c r="D13" s="7" t="inlineStr">
        <x:is>
          <x:t>prontidão, progresso, matches, outcomes</x:t>
        </x:is>
      </x:c>
      <x:c r="E13" s="7" t="inlineStr">
        <x:is>
          <x:t>evidências, lacunas, ações</x:t>
        </x:is>
      </x:c>
      <x:c r="F13" s="7" t="inlineStr">
        <x:is>
          <x:t>objetivo, competência, prazo</x:t>
        </x:is>
      </x:c>
      <x:c r="G13" s="7" t="inlineStr">
        <x:is>
          <x:t>evidência vencendo; ação pendente</x:t>
        </x:is>
      </x:c>
      <x:c r="H13" s="7" t="inlineStr">
        <x:is>
          <x:t>aceitar recomendação e registrar evidência</x:t>
        </x:is>
      </x:c>
      <x:c r="I13" s="7" t="inlineStr">
        <x:is>
          <x:t>Tempo real</x:t>
        </x:is>
      </x:c>
      <x:c r="J13" s="7" t="inlineStr">
        <x:is>
          <x:t>Somente dados do titular</x:t>
        </x:is>
      </x:c>
    </x:row>
    <x:row r="14" ht="66" customHeight="1">
      <x:c r="A14" s="6" t="inlineStr">
        <x:is>
          <x:t>Fornecedor / solução</x:t>
        </x:is>
      </x:c>
      <x:c r="B14" s="6" t="inlineStr">
        <x:is>
          <x:t>Parceiro</x:t>
        </x:is>
      </x:c>
      <x:c r="C14" s="6" t="inlineStr">
        <x:is>
          <x:t>Onde existe demanda compatível e como melhorar meu fit?</x:t>
        </x:is>
      </x:c>
      <x:c r="D14" s="6" t="inlineStr">
        <x:is>
          <x:t>matches, conversão, contratos, desempenho</x:t>
        </x:is>
      </x:c>
      <x:c r="E14" s="6" t="inlineStr">
        <x:is>
          <x:t>cobertura, requisitos, homologação</x:t>
        </x:is>
      </x:c>
      <x:c r="F14" s="6" t="inlineStr">
        <x:is>
          <x:t>categoria, região, estágio</x:t>
        </x:is>
      </x:c>
      <x:c r="G14" s="6" t="inlineStr">
        <x:is>
          <x:t>documento vencido; oportunidade crítica</x:t>
        </x:is>
      </x:c>
      <x:c r="H14" s="6" t="inlineStr">
        <x:is>
          <x:t>atualizar capacidade, responder ou desenvolver</x:t>
        </x:is>
      </x:c>
      <x:c r="I14" s="6" t="inlineStr">
        <x:is>
          <x:t>Tempo real</x:t>
        </x:is>
      </x:c>
      <x:c r="J14" s="6" t="inlineStr">
        <x:is>
          <x:t>Somente dados próprios</x:t>
        </x:is>
      </x:c>
    </x:row>
    <x:row r="15" ht="66" customHeight="1">
      <x:c r="A15" s="7" t="inlineStr">
        <x:is>
          <x:t>Governança / IA</x:t>
        </x:is>
      </x:c>
      <x:c r="B15" s="7" t="inlineStr">
        <x:is>
          <x:t>DPO / Data / Auditoria</x:t>
        </x:is>
      </x:c>
      <x:c r="C15" s="7" t="inlineStr">
        <x:is>
          <x:t>Os dados e modelos são confiáveis, legais e justos?</x:t>
        </x:is>
      </x:c>
      <x:c r="D15" s="7" t="inlineStr">
        <x:is>
          <x:t>qualidade, consentimento, fairness, drift, confiança</x:t>
        </x:is>
      </x:c>
      <x:c r="E15" s="7" t="inlineStr">
        <x:is>
          <x:t>SLA, linhagem, incidentes</x:t>
        </x:is>
      </x:c>
      <x:c r="F15" s="7" t="inlineStr">
        <x:is>
          <x:t>domínio, fonte, modelo, grupo</x:t>
        </x:is>
      </x:c>
      <x:c r="G15" s="7" t="inlineStr">
        <x:is>
          <x:t>violação de SLA, viés, consentimento</x:t>
        </x:is>
      </x:c>
      <x:c r="H15" s="7" t="inlineStr">
        <x:is>
          <x:t>bloquear, corrigir, reprocessar, auditar</x:t>
        </x:is>
      </x:c>
      <x:c r="I15" s="7" t="inlineStr">
        <x:is>
          <x:t>Diária</x:t>
        </x:is>
      </x:c>
      <x:c r="J15" s="7" t="inlineStr">
        <x:is>
          <x:t>Acesso restrito</x:t>
        </x:is>
      </x:c>
    </x:row>
  </x:sheetData>
  <x:autoFilter ref="A5:J15"/>
  <x:mergeCells count="2">
    <x:mergeCell ref="A1:J2"/>
    <x:mergeCell ref="A3:J3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9.xml><?xml version="1.0" encoding="utf-8"?>
<x:worksheet xmlns:x="http://schemas.openxmlformats.org/spreadsheetml/2006/main">
  <x:sheetPr>
    <x:tabColor rgb="006F3FA0"/>
    <x:outlinePr summaryBelow="1" summaryRight="1"/>
    <x:pageSetUpPr fitToPage="1"/>
  </x:sheetPr>
  <x:dimension ref="A1:L46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25" customWidth="1"/>
    <x:col min="2" max="2" width="26" customWidth="1"/>
    <x:col min="3" max="3" width="14" customWidth="1"/>
    <x:col min="4" max="4" width="42" customWidth="1"/>
    <x:col min="5" max="5" width="14" customWidth="1"/>
    <x:col min="6" max="6" width="14" customWidth="1"/>
    <x:col min="7" max="7" width="22" customWidth="1"/>
    <x:col min="8" max="8" width="16" customWidth="1"/>
    <x:col min="9" max="9" width="36" customWidth="1"/>
    <x:col min="10" max="10" width="23" customWidth="1"/>
    <x:col min="11" max="11" width="14" customWidth="1"/>
    <x:col min="12" max="12" width="38" customWidth="1"/>
  </x:cols>
  <x:sheetData>
    <x:row r="1" ht="26" customHeight="1">
      <x:c r="A1" s="1" t="inlineStr">
        <x:is>
          <x:t>Dicionário de dados mínimo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 ht="24" customHeight="1">
      <x:c r="A3" s="3" t="inlineStr">
        <x:is>
          <x:t>Campos necessários para instrumentar o mapa neural e os indicadores prioritários.</x:t>
        </x:is>
      </x:c>
    </x:row>
    <x:row r="5" ht="34" customHeight="1">
      <x:c r="A5" s="44" t="inlineStr">
        <x:is>
          <x:t>Tabela</x:t>
        </x:is>
      </x:c>
      <x:c r="B5" s="44" t="inlineStr">
        <x:is>
          <x:t>Campo</x:t>
        </x:is>
      </x:c>
      <x:c r="C5" s="44" t="inlineStr">
        <x:is>
          <x:t>Tipo</x:t>
        </x:is>
      </x:c>
      <x:c r="D5" s="44" t="inlineStr">
        <x:is>
          <x:t>Definição</x:t>
        </x:is>
      </x:c>
      <x:c r="E5" s="44" t="inlineStr">
        <x:is>
          <x:t>Chave</x:t>
        </x:is>
      </x:c>
      <x:c r="F5" s="44" t="inlineStr">
        <x:is>
          <x:t>Obrigatório</x:t>
        </x:is>
      </x:c>
      <x:c r="G5" s="44" t="inlineStr">
        <x:is>
          <x:t>Exemplo</x:t>
        </x:is>
      </x:c>
      <x:c r="H5" s="44" t="inlineStr">
        <x:is>
          <x:t>Sensibilidade</x:t>
        </x:is>
      </x:c>
      <x:c r="I5" s="44" t="inlineStr">
        <x:is>
          <x:t>Base legal / finalidade</x:t>
        </x:is>
      </x:c>
      <x:c r="J5" s="44" t="inlineStr">
        <x:is>
          <x:t>Origem</x:t>
        </x:is>
      </x:c>
      <x:c r="K5" s="44" t="inlineStr">
        <x:is>
          <x:t>Frequência</x:t>
        </x:is>
      </x:c>
      <x:c r="L5" s="44" t="inlineStr">
        <x:is>
          <x:t>Regra de qualidade</x:t>
        </x:is>
      </x:c>
    </x:row>
    <x:row r="6" ht="52" customHeight="1">
      <x:c r="A6" s="6" t="inlineStr">
        <x:is>
          <x:t>dim_person</x:t>
        </x:is>
      </x:c>
      <x:c r="B6" s="6" t="inlineStr">
        <x:is>
          <x:t>person_id</x:t>
        </x:is>
      </x:c>
      <x:c r="C6" s="6" t="inlineStr">
        <x:is>
          <x:t>UUID</x:t>
        </x:is>
      </x:c>
      <x:c r="D6" s="6" t="inlineStr">
        <x:is>
          <x:t>Identificador pseudônimo da pessoa.</x:t>
        </x:is>
      </x:c>
      <x:c r="E6" s="6" t="inlineStr">
        <x:is>
          <x:t>PK</x:t>
        </x:is>
      </x:c>
      <x:c r="F6" s="6" t="inlineStr">
        <x:is>
          <x:t>Sim</x:t>
        </x:is>
      </x:c>
      <x:c r="G6" s="6" t="inlineStr">
        <x:is>
          <x:t>p_01...</x:t>
        </x:is>
      </x:c>
      <x:c r="H6" s="6" t="inlineStr">
        <x:is>
          <x:t>Alta</x:t>
        </x:is>
      </x:c>
      <x:c r="I6" s="6" t="inlineStr">
        <x:is>
          <x:t>Execução de contrato / consentimento conforme uso</x:t>
        </x:is>
      </x:c>
      <x:c r="J6" s="6" t="inlineStr">
        <x:is>
          <x:t>Cadastro / HRIS</x:t>
        </x:is>
      </x:c>
      <x:c r="K6" s="6" t="inlineStr">
        <x:is>
          <x:t>Tempo real</x:t>
        </x:is>
      </x:c>
      <x:c r="L6" s="6" t="inlineStr">
        <x:is>
          <x:t>único, não nulo e não reutilizado</x:t>
        </x:is>
      </x:c>
    </x:row>
    <x:row r="7" ht="52" customHeight="1">
      <x:c r="A7" s="7" t="inlineStr">
        <x:is>
          <x:t>dim_person</x:t>
        </x:is>
      </x:c>
      <x:c r="B7" s="7" t="inlineStr">
        <x:is>
          <x:t>company_id</x:t>
        </x:is>
      </x:c>
      <x:c r="C7" s="7" t="inlineStr">
        <x:is>
          <x:t>UUID</x:t>
        </x:is>
      </x:c>
      <x:c r="D7" s="7" t="inlineStr">
        <x:is>
          <x:t>Empresa do vínculo vigente.</x:t>
        </x:is>
      </x:c>
      <x:c r="E7" s="7" t="inlineStr">
        <x:is>
          <x:t>FK</x:t>
        </x:is>
      </x:c>
      <x:c r="F7" s="7" t="inlineStr">
        <x:is>
          <x:t>Não</x:t>
        </x:is>
      </x:c>
      <x:c r="G7" s="7" t="inlineStr">
        <x:is>
          <x:t>c_01...</x:t>
        </x:is>
      </x:c>
      <x:c r="H7" s="7" t="inlineStr">
        <x:is>
          <x:t>Alta</x:t>
        </x:is>
      </x:c>
      <x:c r="I7" s="7" t="inlineStr">
        <x:is>
          <x:t>Execução do serviço</x:t>
        </x:is>
      </x:c>
      <x:c r="J7" s="7" t="inlineStr">
        <x:is>
          <x:t>HRIS / CRM</x:t>
        </x:is>
      </x:c>
      <x:c r="K7" s="7" t="inlineStr">
        <x:is>
          <x:t>Diária</x:t>
        </x:is>
      </x:c>
      <x:c r="L7" s="7" t="inlineStr">
        <x:is>
          <x:t>existir em dim_company</x:t>
        </x:is>
      </x:c>
    </x:row>
    <x:row r="8" ht="52" customHeight="1">
      <x:c r="A8" s="6" t="inlineStr">
        <x:is>
          <x:t>dim_person</x:t>
        </x:is>
      </x:c>
      <x:c r="B8" s="6" t="inlineStr">
        <x:is>
          <x:t>consent_status</x:t>
        </x:is>
      </x:c>
      <x:c r="C8" s="6" t="inlineStr">
        <x:is>
          <x:t>enum</x:t>
        </x:is>
      </x:c>
      <x:c r="D8" s="6" t="inlineStr">
        <x:is>
          <x:t>Status por finalidade de tratamento.</x:t>
        </x:is>
      </x:c>
      <x:c r="E8" s="6" t="inlineStr"/>
      <x:c r="F8" s="6" t="inlineStr">
        <x:is>
          <x:t>Sim</x:t>
        </x:is>
      </x:c>
      <x:c r="G8" s="6" t="inlineStr">
        <x:is>
          <x:t>granted</x:t>
        </x:is>
      </x:c>
      <x:c r="H8" s="6" t="inlineStr">
        <x:is>
          <x:t>Crítica</x:t>
        </x:is>
      </x:c>
      <x:c r="I8" s="6" t="inlineStr">
        <x:is>
          <x:t>Consentimento / obrigação legal</x:t>
        </x:is>
      </x:c>
      <x:c r="J8" s="6" t="inlineStr">
        <x:is>
          <x:t>CMP</x:t>
        </x:is>
      </x:c>
      <x:c r="K8" s="6" t="inlineStr">
        <x:is>
          <x:t>Tempo real</x:t>
        </x:is>
      </x:c>
      <x:c r="L8" s="6" t="inlineStr">
        <x:is>
          <x:t>vigência e versão válidas</x:t>
        </x:is>
      </x:c>
    </x:row>
    <x:row r="9" ht="52" customHeight="1">
      <x:c r="A9" s="7" t="inlineStr">
        <x:is>
          <x:t>dim_person</x:t>
        </x:is>
      </x:c>
      <x:c r="B9" s="7" t="inlineStr">
        <x:is>
          <x:t>profile_segment</x:t>
        </x:is>
      </x:c>
      <x:c r="C9" s="7" t="inlineStr">
        <x:is>
          <x:t>string</x:t>
        </x:is>
      </x:c>
      <x:c r="D9" s="7" t="inlineStr">
        <x:is>
          <x:t>Segmento operacional não sensível.</x:t>
        </x:is>
      </x:c>
      <x:c r="E9" s="7" t="inlineStr"/>
      <x:c r="F9" s="7" t="inlineStr">
        <x:is>
          <x:t>Não</x:t>
        </x:is>
      </x:c>
      <x:c r="G9" s="7" t="inlineStr">
        <x:is>
          <x:t>gestor</x:t>
        </x:is>
      </x:c>
      <x:c r="H9" s="7" t="inlineStr">
        <x:is>
          <x:t>Média</x:t>
        </x:is>
      </x:c>
      <x:c r="I9" s="7" t="inlineStr">
        <x:is>
          <x:t>Personalização</x:t>
        </x:is>
      </x:c>
      <x:c r="J9" s="7" t="inlineStr">
        <x:is>
          <x:t>Cadastro</x:t>
        </x:is>
      </x:c>
      <x:c r="K9" s="7" t="inlineStr">
        <x:is>
          <x:t>Diária</x:t>
        </x:is>
      </x:c>
      <x:c r="L9" s="7" t="inlineStr">
        <x:is>
          <x:t>vocabulário controlado</x:t>
        </x:is>
      </x:c>
    </x:row>
    <x:row r="10" ht="52" customHeight="1">
      <x:c r="A10" s="6" t="inlineStr">
        <x:is>
          <x:t>dim_company</x:t>
        </x:is>
      </x:c>
      <x:c r="B10" s="6" t="inlineStr">
        <x:is>
          <x:t>company_id</x:t>
        </x:is>
      </x:c>
      <x:c r="C10" s="6" t="inlineStr">
        <x:is>
          <x:t>UUID</x:t>
        </x:is>
      </x:c>
      <x:c r="D10" s="6" t="inlineStr">
        <x:is>
          <x:t>Identificador da organização.</x:t>
        </x:is>
      </x:c>
      <x:c r="E10" s="6" t="inlineStr">
        <x:is>
          <x:t>PK</x:t>
        </x:is>
      </x:c>
      <x:c r="F10" s="6" t="inlineStr">
        <x:is>
          <x:t>Sim</x:t>
        </x:is>
      </x:c>
      <x:c r="G10" s="6" t="inlineStr">
        <x:is>
          <x:t>c_01...</x:t>
        </x:is>
      </x:c>
      <x:c r="H10" s="6" t="inlineStr">
        <x:is>
          <x:t>Média</x:t>
        </x:is>
      </x:c>
      <x:c r="I10" s="6" t="inlineStr">
        <x:is>
          <x:t>Execução do contrato</x:t>
        </x:is>
      </x:c>
      <x:c r="J10" s="6" t="inlineStr">
        <x:is>
          <x:t>CRM</x:t>
        </x:is>
      </x:c>
      <x:c r="K10" s="6" t="inlineStr">
        <x:is>
          <x:t>Diária</x:t>
        </x:is>
      </x:c>
      <x:c r="L10" s="6" t="inlineStr">
        <x:is>
          <x:t>único e não nulo</x:t>
        </x:is>
      </x:c>
    </x:row>
    <x:row r="11" ht="52" customHeight="1">
      <x:c r="A11" s="7" t="inlineStr">
        <x:is>
          <x:t>dim_company</x:t>
        </x:is>
      </x:c>
      <x:c r="B11" s="7" t="inlineStr">
        <x:is>
          <x:t>entity_id</x:t>
        </x:is>
      </x:c>
      <x:c r="C11" s="7" t="inlineStr">
        <x:is>
          <x:t>UUID</x:t>
        </x:is>
      </x:c>
      <x:c r="D11" s="7" t="inlineStr">
        <x:is>
          <x:t>Entidade à qual a empresa está associada.</x:t>
        </x:is>
      </x:c>
      <x:c r="E11" s="7" t="inlineStr">
        <x:is>
          <x:t>FK</x:t>
        </x:is>
      </x:c>
      <x:c r="F11" s="7" t="inlineStr">
        <x:is>
          <x:t>Não</x:t>
        </x:is>
      </x:c>
      <x:c r="G11" s="7" t="inlineStr">
        <x:is>
          <x:t>e_01...</x:t>
        </x:is>
      </x:c>
      <x:c r="H11" s="7" t="inlineStr">
        <x:is>
          <x:t>Média</x:t>
        </x:is>
      </x:c>
      <x:c r="I11" s="7" t="inlineStr">
        <x:is>
          <x:t>Execução do serviço</x:t>
        </x:is>
      </x:c>
      <x:c r="J11" s="7" t="inlineStr">
        <x:is>
          <x:t>CRM</x:t>
        </x:is>
      </x:c>
      <x:c r="K11" s="7" t="inlineStr">
        <x:is>
          <x:t>Diária</x:t>
        </x:is>
      </x:c>
      <x:c r="L11" s="7" t="inlineStr">
        <x:is>
          <x:t>vínculo vigente</x:t>
        </x:is>
      </x:c>
    </x:row>
    <x:row r="12" ht="52" customHeight="1">
      <x:c r="A12" s="6" t="inlineStr">
        <x:is>
          <x:t>dim_company</x:t>
        </x:is>
      </x:c>
      <x:c r="B12" s="6" t="inlineStr">
        <x:is>
          <x:t>segment</x:t>
        </x:is>
      </x:c>
      <x:c r="C12" s="6" t="inlineStr">
        <x:is>
          <x:t>enum</x:t>
        </x:is>
      </x:c>
      <x:c r="D12" s="6" t="inlineStr">
        <x:is>
          <x:t>Setor/porte/cluster comercial.</x:t>
        </x:is>
      </x:c>
      <x:c r="E12" s="6" t="inlineStr"/>
      <x:c r="F12" s="6" t="inlineStr">
        <x:is>
          <x:t>Sim</x:t>
        </x:is>
      </x:c>
      <x:c r="G12" s="6" t="inlineStr">
        <x:is>
          <x:t>indústria_média</x:t>
        </x:is>
      </x:c>
      <x:c r="H12" s="6" t="inlineStr">
        <x:is>
          <x:t>Baixa</x:t>
        </x:is>
      </x:c>
      <x:c r="I12" s="6" t="inlineStr">
        <x:is>
          <x:t>Inteligência e serviço</x:t>
        </x:is>
      </x:c>
      <x:c r="J12" s="6" t="inlineStr">
        <x:is>
          <x:t>CRM</x:t>
        </x:is>
      </x:c>
      <x:c r="K12" s="6" t="inlineStr">
        <x:is>
          <x:t>Mensal</x:t>
        </x:is>
      </x:c>
      <x:c r="L12" s="6" t="inlineStr">
        <x:is>
          <x:t>taxonomia versionada</x:t>
        </x:is>
      </x:c>
    </x:row>
    <x:row r="13" ht="52" customHeight="1">
      <x:c r="A13" s="7" t="inlineStr">
        <x:is>
          <x:t>dim_entity</x:t>
        </x:is>
      </x:c>
      <x:c r="B13" s="7" t="inlineStr">
        <x:is>
          <x:t>entity_id</x:t>
        </x:is>
      </x:c>
      <x:c r="C13" s="7" t="inlineStr">
        <x:is>
          <x:t>UUID</x:t>
        </x:is>
      </x:c>
      <x:c r="D13" s="7" t="inlineStr">
        <x:is>
          <x:t>Identificador de entidade/rede.</x:t>
        </x:is>
      </x:c>
      <x:c r="E13" s="7" t="inlineStr">
        <x:is>
          <x:t>PK</x:t>
        </x:is>
      </x:c>
      <x:c r="F13" s="7" t="inlineStr">
        <x:is>
          <x:t>Sim</x:t>
        </x:is>
      </x:c>
      <x:c r="G13" s="7" t="inlineStr">
        <x:is>
          <x:t>e_01...</x:t>
        </x:is>
      </x:c>
      <x:c r="H13" s="7" t="inlineStr">
        <x:is>
          <x:t>Baixa</x:t>
        </x:is>
      </x:c>
      <x:c r="I13" s="7" t="inlineStr">
        <x:is>
          <x:t>Execução do contrato</x:t>
        </x:is>
      </x:c>
      <x:c r="J13" s="7" t="inlineStr">
        <x:is>
          <x:t>CRM</x:t>
        </x:is>
      </x:c>
      <x:c r="K13" s="7" t="inlineStr">
        <x:is>
          <x:t>Diária</x:t>
        </x:is>
      </x:c>
      <x:c r="L13" s="7" t="inlineStr">
        <x:is>
          <x:t>único</x:t>
        </x:is>
      </x:c>
    </x:row>
    <x:row r="14" ht="52" customHeight="1">
      <x:c r="A14" s="6" t="inlineStr">
        <x:is>
          <x:t>dim_skill</x:t>
        </x:is>
      </x:c>
      <x:c r="B14" s="6" t="inlineStr">
        <x:is>
          <x:t>skill_id</x:t>
        </x:is>
      </x:c>
      <x:c r="C14" s="6" t="inlineStr">
        <x:is>
          <x:t>UUID</x:t>
        </x:is>
      </x:c>
      <x:c r="D14" s="6" t="inlineStr">
        <x:is>
          <x:t>Identificador de capacidade na taxonomia.</x:t>
        </x:is>
      </x:c>
      <x:c r="E14" s="6" t="inlineStr">
        <x:is>
          <x:t>PK</x:t>
        </x:is>
      </x:c>
      <x:c r="F14" s="6" t="inlineStr">
        <x:is>
          <x:t>Sim</x:t>
        </x:is>
      </x:c>
      <x:c r="G14" s="6" t="inlineStr">
        <x:is>
          <x:t>sk_01...</x:t>
        </x:is>
      </x:c>
      <x:c r="H14" s="6" t="inlineStr">
        <x:is>
          <x:t>Baixa</x:t>
        </x:is>
      </x:c>
      <x:c r="I14" s="6" t="inlineStr">
        <x:is>
          <x:t>Inteligência</x:t>
        </x:is>
      </x:c>
      <x:c r="J14" s="6" t="inlineStr">
        <x:is>
          <x:t>Taxonomia</x:t>
        </x:is>
      </x:c>
      <x:c r="K14" s="6" t="inlineStr">
        <x:is>
          <x:t>Release</x:t>
        </x:is>
      </x:c>
      <x:c r="L14" s="6" t="inlineStr">
        <x:is>
          <x:t>sem duplicidades semânticas</x:t>
        </x:is>
      </x:c>
    </x:row>
    <x:row r="15" ht="52" customHeight="1">
      <x:c r="A15" s="7" t="inlineStr">
        <x:is>
          <x:t>dim_skill</x:t>
        </x:is>
      </x:c>
      <x:c r="B15" s="7" t="inlineStr">
        <x:is>
          <x:t>skill_version</x:t>
        </x:is>
      </x:c>
      <x:c r="C15" s="7" t="inlineStr">
        <x:is>
          <x:t>string</x:t>
        </x:is>
      </x:c>
      <x:c r="D15" s="7" t="inlineStr">
        <x:is>
          <x:t>Versão da taxonomia.</x:t>
        </x:is>
      </x:c>
      <x:c r="E15" s="7" t="inlineStr"/>
      <x:c r="F15" s="7" t="inlineStr">
        <x:is>
          <x:t>Sim</x:t>
        </x:is>
      </x:c>
      <x:c r="G15" s="7" t="inlineStr">
        <x:is>
          <x:t>v3.2</x:t>
        </x:is>
      </x:c>
      <x:c r="H15" s="7" t="inlineStr">
        <x:is>
          <x:t>Baixa</x:t>
        </x:is>
      </x:c>
      <x:c r="I15" s="7" t="inlineStr">
        <x:is>
          <x:t>Auditabilidade</x:t>
        </x:is>
      </x:c>
      <x:c r="J15" s="7" t="inlineStr">
        <x:is>
          <x:t>Taxonomia</x:t>
        </x:is>
      </x:c>
      <x:c r="K15" s="7" t="inlineStr">
        <x:is>
          <x:t>Release</x:t>
        </x:is>
      </x:c>
      <x:c r="L15" s="7" t="inlineStr">
        <x:is>
          <x:t>imutável após uso</x:t>
        </x:is>
      </x:c>
    </x:row>
    <x:row r="16" ht="52" customHeight="1">
      <x:c r="A16" s="6" t="inlineStr">
        <x:is>
          <x:t>fact_person_skill</x:t>
        </x:is>
      </x:c>
      <x:c r="B16" s="6" t="inlineStr">
        <x:is>
          <x:t>person_id</x:t>
        </x:is>
      </x:c>
      <x:c r="C16" s="6" t="inlineStr">
        <x:is>
          <x:t>UUID</x:t>
        </x:is>
      </x:c>
      <x:c r="D16" s="6" t="inlineStr">
        <x:is>
          <x:t>Pessoa avaliada.</x:t>
        </x:is>
      </x:c>
      <x:c r="E16" s="6" t="inlineStr">
        <x:is>
          <x:t>FK</x:t>
        </x:is>
      </x:c>
      <x:c r="F16" s="6" t="inlineStr">
        <x:is>
          <x:t>Sim</x:t>
        </x:is>
      </x:c>
      <x:c r="G16" s="6" t="inlineStr">
        <x:is>
          <x:t>p_01...</x:t>
        </x:is>
      </x:c>
      <x:c r="H16" s="6" t="inlineStr">
        <x:is>
          <x:t>Alta</x:t>
        </x:is>
      </x:c>
      <x:c r="I16" s="6" t="inlineStr">
        <x:is>
          <x:t>Execução do serviço</x:t>
        </x:is>
      </x:c>
      <x:c r="J16" s="6" t="inlineStr">
        <x:is>
          <x:t>Diagnóstico</x:t>
        </x:is>
      </x:c>
      <x:c r="K16" s="6" t="inlineStr">
        <x:is>
          <x:t>Evento</x:t>
        </x:is>
      </x:c>
      <x:c r="L16" s="6" t="inlineStr">
        <x:is>
          <x:t>consentimento aplicável</x:t>
        </x:is>
      </x:c>
    </x:row>
    <x:row r="17" ht="52" customHeight="1">
      <x:c r="A17" s="7" t="inlineStr">
        <x:is>
          <x:t>fact_person_skill</x:t>
        </x:is>
      </x:c>
      <x:c r="B17" s="7" t="inlineStr">
        <x:is>
          <x:t>skill_id</x:t>
        </x:is>
      </x:c>
      <x:c r="C17" s="7" t="inlineStr">
        <x:is>
          <x:t>UUID</x:t>
        </x:is>
      </x:c>
      <x:c r="D17" s="7" t="inlineStr">
        <x:is>
          <x:t>Capacidade avaliada.</x:t>
        </x:is>
      </x:c>
      <x:c r="E17" s="7" t="inlineStr">
        <x:is>
          <x:t>FK</x:t>
        </x:is>
      </x:c>
      <x:c r="F17" s="7" t="inlineStr">
        <x:is>
          <x:t>Sim</x:t>
        </x:is>
      </x:c>
      <x:c r="G17" s="7" t="inlineStr">
        <x:is>
          <x:t>sk_01...</x:t>
        </x:is>
      </x:c>
      <x:c r="H17" s="7" t="inlineStr">
        <x:is>
          <x:t>Média</x:t>
        </x:is>
      </x:c>
      <x:c r="I17" s="7" t="inlineStr">
        <x:is>
          <x:t>Execução do serviço</x:t>
        </x:is>
      </x:c>
      <x:c r="J17" s="7" t="inlineStr">
        <x:is>
          <x:t>Diagnóstico</x:t>
        </x:is>
      </x:c>
      <x:c r="K17" s="7" t="inlineStr">
        <x:is>
          <x:t>Evento</x:t>
        </x:is>
      </x:c>
      <x:c r="L17" s="7" t="inlineStr">
        <x:is>
          <x:t>taxonomia válida</x:t>
        </x:is>
      </x:c>
    </x:row>
    <x:row r="18" ht="52" customHeight="1">
      <x:c r="A18" s="6" t="inlineStr">
        <x:is>
          <x:t>fact_person_skill</x:t>
        </x:is>
      </x:c>
      <x:c r="B18" s="6" t="inlineStr">
        <x:is>
          <x:t>level</x:t>
        </x:is>
      </x:c>
      <x:c r="C18" s="6" t="inlineStr">
        <x:is>
          <x:t>decimal</x:t>
        </x:is>
      </x:c>
      <x:c r="D18" s="6" t="inlineStr">
        <x:is>
          <x:t>Nível padronizado.</x:t>
        </x:is>
      </x:c>
      <x:c r="E18" s="6" t="inlineStr"/>
      <x:c r="F18" s="6" t="inlineStr">
        <x:is>
          <x:t>Sim</x:t>
        </x:is>
      </x:c>
      <x:c r="G18" s="6" t="inlineStr">
        <x:is>
          <x:t>3.4</x:t>
        </x:is>
      </x:c>
      <x:c r="H18" s="6" t="inlineStr">
        <x:is>
          <x:t>Alta</x:t>
        </x:is>
      </x:c>
      <x:c r="I18" s="6" t="inlineStr">
        <x:is>
          <x:t>Recomendação</x:t>
        </x:is>
      </x:c>
      <x:c r="J18" s="6" t="inlineStr">
        <x:is>
          <x:t>Diagnóstico</x:t>
        </x:is>
      </x:c>
      <x:c r="K18" s="6" t="inlineStr">
        <x:is>
          <x:t>Evento</x:t>
        </x:is>
      </x:c>
      <x:c r="L18" s="6" t="inlineStr">
        <x:is>
          <x:t>0 a 5</x:t>
        </x:is>
      </x:c>
    </x:row>
    <x:row r="19" ht="52" customHeight="1">
      <x:c r="A19" s="7" t="inlineStr">
        <x:is>
          <x:t>fact_person_skill</x:t>
        </x:is>
      </x:c>
      <x:c r="B19" s="7" t="inlineStr">
        <x:is>
          <x:t>confidence</x:t>
        </x:is>
      </x:c>
      <x:c r="C19" s="7" t="inlineStr">
        <x:is>
          <x:t>decimal</x:t>
        </x:is>
      </x:c>
      <x:c r="D19" s="7" t="inlineStr">
        <x:is>
          <x:t>Confiança baseada na evidência.</x:t>
        </x:is>
      </x:c>
      <x:c r="E19" s="7" t="inlineStr"/>
      <x:c r="F19" s="7" t="inlineStr">
        <x:is>
          <x:t>Sim</x:t>
        </x:is>
      </x:c>
      <x:c r="G19" s="7" t="inlineStr">
        <x:is>
          <x:t>0.82</x:t>
        </x:is>
      </x:c>
      <x:c r="H19" s="7" t="inlineStr">
        <x:is>
          <x:t>Média</x:t>
        </x:is>
      </x:c>
      <x:c r="I19" s="7" t="inlineStr">
        <x:is>
          <x:t>Explicabilidade</x:t>
        </x:is>
      </x:c>
      <x:c r="J19" s="7" t="inlineStr">
        <x:is>
          <x:t>Motor</x:t>
        </x:is>
      </x:c>
      <x:c r="K19" s="7" t="inlineStr">
        <x:is>
          <x:t>Evento</x:t>
        </x:is>
      </x:c>
      <x:c r="L19" s="7" t="inlineStr">
        <x:is>
          <x:t>0 a 1</x:t>
        </x:is>
      </x:c>
    </x:row>
    <x:row r="20" ht="52" customHeight="1">
      <x:c r="A20" s="6" t="inlineStr">
        <x:is>
          <x:t>fact_assessment</x:t>
        </x:is>
      </x:c>
      <x:c r="B20" s="6" t="inlineStr">
        <x:is>
          <x:t>assessment_id</x:t>
        </x:is>
      </x:c>
      <x:c r="C20" s="6" t="inlineStr">
        <x:is>
          <x:t>UUID</x:t>
        </x:is>
      </x:c>
      <x:c r="D20" s="6" t="inlineStr">
        <x:is>
          <x:t>Rodada de diagnóstico.</x:t>
        </x:is>
      </x:c>
      <x:c r="E20" s="6" t="inlineStr">
        <x:is>
          <x:t>PK</x:t>
        </x:is>
      </x:c>
      <x:c r="F20" s="6" t="inlineStr">
        <x:is>
          <x:t>Sim</x:t>
        </x:is>
      </x:c>
      <x:c r="G20" s="6" t="inlineStr">
        <x:is>
          <x:t>a_01...</x:t>
        </x:is>
      </x:c>
      <x:c r="H20" s="6" t="inlineStr">
        <x:is>
          <x:t>Alta</x:t>
        </x:is>
      </x:c>
      <x:c r="I20" s="6" t="inlineStr">
        <x:is>
          <x:t>Execução do serviço</x:t>
        </x:is>
      </x:c>
      <x:c r="J20" s="6" t="inlineStr">
        <x:is>
          <x:t>Plataforma</x:t>
        </x:is>
      </x:c>
      <x:c r="K20" s="6" t="inlineStr">
        <x:is>
          <x:t>Evento</x:t>
        </x:is>
      </x:c>
      <x:c r="L20" s="6" t="inlineStr">
        <x:is>
          <x:t>único</x:t>
        </x:is>
      </x:c>
    </x:row>
    <x:row r="21" ht="52" customHeight="1">
      <x:c r="A21" s="7" t="inlineStr">
        <x:is>
          <x:t>fact_assessment</x:t>
        </x:is>
      </x:c>
      <x:c r="B21" s="7" t="inlineStr">
        <x:is>
          <x:t>instrument_version</x:t>
        </x:is>
      </x:c>
      <x:c r="C21" s="7" t="inlineStr">
        <x:is>
          <x:t>string</x:t>
        </x:is>
      </x:c>
      <x:c r="D21" s="7" t="inlineStr">
        <x:is>
          <x:t>Versão do instrumento.</x:t>
        </x:is>
      </x:c>
      <x:c r="E21" s="7" t="inlineStr"/>
      <x:c r="F21" s="7" t="inlineStr">
        <x:is>
          <x:t>Sim</x:t>
        </x:is>
      </x:c>
      <x:c r="G21" s="7" t="inlineStr">
        <x:is>
          <x:t>roi_people_v2</x:t>
        </x:is>
      </x:c>
      <x:c r="H21" s="7" t="inlineStr">
        <x:is>
          <x:t>Média</x:t>
        </x:is>
      </x:c>
      <x:c r="I21" s="7" t="inlineStr">
        <x:is>
          <x:t>Auditabilidade</x:t>
        </x:is>
      </x:c>
      <x:c r="J21" s="7" t="inlineStr">
        <x:is>
          <x:t>Plataforma</x:t>
        </x:is>
      </x:c>
      <x:c r="K21" s="7" t="inlineStr">
        <x:is>
          <x:t>Evento</x:t>
        </x:is>
      </x:c>
      <x:c r="L21" s="7" t="inlineStr">
        <x:is>
          <x:t>versão existente</x:t>
        </x:is>
      </x:c>
    </x:row>
    <x:row r="22" ht="52" customHeight="1">
      <x:c r="A22" s="6" t="inlineStr">
        <x:is>
          <x:t>fact_assessment</x:t>
        </x:is>
      </x:c>
      <x:c r="B22" s="6" t="inlineStr">
        <x:is>
          <x:t>dimension_score</x:t>
        </x:is>
      </x:c>
      <x:c r="C22" s="6" t="inlineStr">
        <x:is>
          <x:t>decimal</x:t>
        </x:is>
      </x:c>
      <x:c r="D22" s="6" t="inlineStr">
        <x:is>
          <x:t>Score por dimensão.</x:t>
        </x:is>
      </x:c>
      <x:c r="E22" s="6" t="inlineStr"/>
      <x:c r="F22" s="6" t="inlineStr">
        <x:is>
          <x:t>Sim</x:t>
        </x:is>
      </x:c>
      <x:c r="G22" s="6" t="inlineStr">
        <x:is>
          <x:t>62</x:t>
        </x:is>
      </x:c>
      <x:c r="H22" s="6" t="inlineStr">
        <x:is>
          <x:t>Alta</x:t>
        </x:is>
      </x:c>
      <x:c r="I22" s="6" t="inlineStr">
        <x:is>
          <x:t>Diagnóstico</x:t>
        </x:is>
      </x:c>
      <x:c r="J22" s="6" t="inlineStr">
        <x:is>
          <x:t>Plataforma</x:t>
        </x:is>
      </x:c>
      <x:c r="K22" s="6" t="inlineStr">
        <x:is>
          <x:t>Evento</x:t>
        </x:is>
      </x:c>
      <x:c r="L22" s="6" t="inlineStr">
        <x:is>
          <x:t>faixa definida</x:t>
        </x:is>
      </x:c>
    </x:row>
    <x:row r="23" ht="52" customHeight="1">
      <x:c r="A23" s="7" t="inlineStr">
        <x:is>
          <x:t>fact_event</x:t>
        </x:is>
      </x:c>
      <x:c r="B23" s="7" t="inlineStr">
        <x:is>
          <x:t>event_id</x:t>
        </x:is>
      </x:c>
      <x:c r="C23" s="7" t="inlineStr">
        <x:is>
          <x:t>UUID</x:t>
        </x:is>
      </x:c>
      <x:c r="D23" s="7" t="inlineStr">
        <x:is>
          <x:t>Identificador do evento de produto.</x:t>
        </x:is>
      </x:c>
      <x:c r="E23" s="7" t="inlineStr">
        <x:is>
          <x:t>PK</x:t>
        </x:is>
      </x:c>
      <x:c r="F23" s="7" t="inlineStr">
        <x:is>
          <x:t>Sim</x:t>
        </x:is>
      </x:c>
      <x:c r="G23" s="7" t="inlineStr">
        <x:is>
          <x:t>ev_01...</x:t>
        </x:is>
      </x:c>
      <x:c r="H23" s="7" t="inlineStr">
        <x:is>
          <x:t>Média</x:t>
        </x:is>
      </x:c>
      <x:c r="I23" s="7" t="inlineStr">
        <x:is>
          <x:t>Analytics</x:t>
        </x:is>
      </x:c>
      <x:c r="J23" s="7" t="inlineStr">
        <x:is>
          <x:t>SDK</x:t>
        </x:is>
      </x:c>
      <x:c r="K23" s="7" t="inlineStr">
        <x:is>
          <x:t>Tempo real</x:t>
        </x:is>
      </x:c>
      <x:c r="L23" s="7" t="inlineStr">
        <x:is>
          <x:t>único e idempotente</x:t>
        </x:is>
      </x:c>
    </x:row>
    <x:row r="24" ht="52" customHeight="1">
      <x:c r="A24" s="6" t="inlineStr">
        <x:is>
          <x:t>fact_event</x:t>
        </x:is>
      </x:c>
      <x:c r="B24" s="6" t="inlineStr">
        <x:is>
          <x:t>event_name</x:t>
        </x:is>
      </x:c>
      <x:c r="C24" s="6" t="inlineStr">
        <x:is>
          <x:t>string</x:t>
        </x:is>
      </x:c>
      <x:c r="D24" s="6" t="inlineStr">
        <x:is>
          <x:t>Nome padronizado do evento.</x:t>
        </x:is>
      </x:c>
      <x:c r="E24" s="6" t="inlineStr"/>
      <x:c r="F24" s="6" t="inlineStr">
        <x:is>
          <x:t>Sim</x:t>
        </x:is>
      </x:c>
      <x:c r="G24" s="6" t="inlineStr">
        <x:is>
          <x:t>recommendation_accepted</x:t>
        </x:is>
      </x:c>
      <x:c r="H24" s="6" t="inlineStr">
        <x:is>
          <x:t>Baixa</x:t>
        </x:is>
      </x:c>
      <x:c r="I24" s="6" t="inlineStr">
        <x:is>
          <x:t>Analytics</x:t>
        </x:is>
      </x:c>
      <x:c r="J24" s="6" t="inlineStr">
        <x:is>
          <x:t>SDK</x:t>
        </x:is>
      </x:c>
      <x:c r="K24" s="6" t="inlineStr">
        <x:is>
          <x:t>Tempo real</x:t>
        </x:is>
      </x:c>
      <x:c r="L24" s="6" t="inlineStr">
        <x:is>
          <x:t>catálogo válido</x:t>
        </x:is>
      </x:c>
    </x:row>
    <x:row r="25" ht="52" customHeight="1">
      <x:c r="A25" s="7" t="inlineStr">
        <x:is>
          <x:t>fact_event</x:t>
        </x:is>
      </x:c>
      <x:c r="B25" s="7" t="inlineStr">
        <x:is>
          <x:t>occurred_at</x:t>
        </x:is>
      </x:c>
      <x:c r="C25" s="7" t="inlineStr">
        <x:is>
          <x:t>timestamp</x:t>
        </x:is>
      </x:c>
      <x:c r="D25" s="7" t="inlineStr">
        <x:is>
          <x:t>Momento UTC do evento.</x:t>
        </x:is>
      </x:c>
      <x:c r="E25" s="7" t="inlineStr"/>
      <x:c r="F25" s="7" t="inlineStr">
        <x:is>
          <x:t>Sim</x:t>
        </x:is>
      </x:c>
      <x:c r="G25" s="7" t="inlineStr">
        <x:is>
          <x:t>2026-08-18T12:00Z</x:t>
        </x:is>
      </x:c>
      <x:c r="H25" s="7" t="inlineStr">
        <x:is>
          <x:t>Média</x:t>
        </x:is>
      </x:c>
      <x:c r="I25" s="7" t="inlineStr">
        <x:is>
          <x:t>Analytics</x:t>
        </x:is>
      </x:c>
      <x:c r="J25" s="7" t="inlineStr">
        <x:is>
          <x:t>SDK</x:t>
        </x:is>
      </x:c>
      <x:c r="K25" s="7" t="inlineStr">
        <x:is>
          <x:t>Tempo real</x:t>
        </x:is>
      </x:c>
      <x:c r="L25" s="7" t="inlineStr">
        <x:is>
          <x:t>não futuro; timezone UTC</x:t>
        </x:is>
      </x:c>
    </x:row>
    <x:row r="26" ht="52" customHeight="1">
      <x:c r="A26" s="6" t="inlineStr">
        <x:is>
          <x:t>fact_event</x:t>
        </x:is>
      </x:c>
      <x:c r="B26" s="6" t="inlineStr">
        <x:is>
          <x:t>object_id</x:t>
        </x:is>
      </x:c>
      <x:c r="C26" s="6" t="inlineStr">
        <x:is>
          <x:t>UUID</x:t>
        </x:is>
      </x:c>
      <x:c r="D26" s="6" t="inlineStr">
        <x:is>
          <x:t>Objeto afetado pelo evento.</x:t>
        </x:is>
      </x:c>
      <x:c r="E26" s="6" t="inlineStr">
        <x:is>
          <x:t>FK</x:t>
        </x:is>
      </x:c>
      <x:c r="F26" s="6" t="inlineStr">
        <x:is>
          <x:t>Não</x:t>
        </x:is>
      </x:c>
      <x:c r="G26" s="6" t="inlineStr">
        <x:is>
          <x:t>rec_01...</x:t>
        </x:is>
      </x:c>
      <x:c r="H26" s="6" t="inlineStr">
        <x:is>
          <x:t>Média</x:t>
        </x:is>
      </x:c>
      <x:c r="I26" s="6" t="inlineStr">
        <x:is>
          <x:t>Analytics</x:t>
        </x:is>
      </x:c>
      <x:c r="J26" s="6" t="inlineStr">
        <x:is>
          <x:t>SDK</x:t>
        </x:is>
      </x:c>
      <x:c r="K26" s="6" t="inlineStr">
        <x:is>
          <x:t>Tempo real</x:t>
        </x:is>
      </x:c>
      <x:c r="L26" s="6" t="inlineStr">
        <x:is>
          <x:t>existir no domínio</x:t>
        </x:is>
      </x:c>
    </x:row>
    <x:row r="27" ht="52" customHeight="1">
      <x:c r="A27" s="7" t="inlineStr">
        <x:is>
          <x:t>fact_opportunity</x:t>
        </x:is>
      </x:c>
      <x:c r="B27" s="7" t="inlineStr">
        <x:is>
          <x:t>opportunity_id</x:t>
        </x:is>
      </x:c>
      <x:c r="C27" s="7" t="inlineStr">
        <x:is>
          <x:t>UUID</x:t>
        </x:is>
      </x:c>
      <x:c r="D27" s="7" t="inlineStr">
        <x:is>
          <x:t>Demanda rastreável.</x:t>
        </x:is>
      </x:c>
      <x:c r="E27" s="7" t="inlineStr">
        <x:is>
          <x:t>PK</x:t>
        </x:is>
      </x:c>
      <x:c r="F27" s="7" t="inlineStr">
        <x:is>
          <x:t>Sim</x:t>
        </x:is>
      </x:c>
      <x:c r="G27" s="7" t="inlineStr">
        <x:is>
          <x:t>op_01...</x:t>
        </x:is>
      </x:c>
      <x:c r="H27" s="7" t="inlineStr">
        <x:is>
          <x:t>Média</x:t>
        </x:is>
      </x:c>
      <x:c r="I27" s="7" t="inlineStr">
        <x:is>
          <x:t>Execução / interesse legítimo</x:t>
        </x:is>
      </x:c>
      <x:c r="J27" s="7" t="inlineStr">
        <x:is>
          <x:t>ATS/CRM/Compras</x:t>
        </x:is>
      </x:c>
      <x:c r="K27" s="7" t="inlineStr">
        <x:is>
          <x:t>Diária</x:t>
        </x:is>
      </x:c>
      <x:c r="L27" s="7" t="inlineStr">
        <x:is>
          <x:t>único</x:t>
        </x:is>
      </x:c>
    </x:row>
    <x:row r="28" ht="52" customHeight="1">
      <x:c r="A28" s="6" t="inlineStr">
        <x:is>
          <x:t>fact_opportunity</x:t>
        </x:is>
      </x:c>
      <x:c r="B28" s="6" t="inlineStr">
        <x:is>
          <x:t>value</x:t>
        </x:is>
      </x:c>
      <x:c r="C28" s="6" t="inlineStr">
        <x:is>
          <x:t>decimal</x:t>
        </x:is>
      </x:c>
      <x:c r="D28" s="6" t="inlineStr">
        <x:is>
          <x:t>Valor potencial da oportunidade.</x:t>
        </x:is>
      </x:c>
      <x:c r="E28" s="6" t="inlineStr"/>
      <x:c r="F28" s="6" t="inlineStr">
        <x:is>
          <x:t>Não</x:t>
        </x:is>
      </x:c>
      <x:c r="G28" s="6" t="inlineStr">
        <x:is>
          <x:t>250000</x:t>
        </x:is>
      </x:c>
      <x:c r="H28" s="6" t="inlineStr">
        <x:is>
          <x:t>Alta</x:t>
        </x:is>
      </x:c>
      <x:c r="I28" s="6" t="inlineStr">
        <x:is>
          <x:t>Mensuração financeira</x:t>
        </x:is>
      </x:c>
      <x:c r="J28" s="6" t="inlineStr">
        <x:is>
          <x:t>CRM</x:t>
        </x:is>
      </x:c>
      <x:c r="K28" s="6" t="inlineStr">
        <x:is>
          <x:t>Diária</x:t>
        </x:is>
      </x:c>
      <x:c r="L28" s="6" t="inlineStr">
        <x:is>
          <x:t>moeda e estágio presentes</x:t>
        </x:is>
      </x:c>
    </x:row>
    <x:row r="29" ht="52" customHeight="1">
      <x:c r="A29" s="7" t="inlineStr">
        <x:is>
          <x:t>fact_opportunity</x:t>
        </x:is>
      </x:c>
      <x:c r="B29" s="7" t="inlineStr">
        <x:is>
          <x:t>stage</x:t>
        </x:is>
      </x:c>
      <x:c r="C29" s="7" t="inlineStr">
        <x:is>
          <x:t>enum</x:t>
        </x:is>
      </x:c>
      <x:c r="D29" s="7" t="inlineStr">
        <x:is>
          <x:t>Estágio do funil.</x:t>
        </x:is>
      </x:c>
      <x:c r="E29" s="7" t="inlineStr"/>
      <x:c r="F29" s="7" t="inlineStr">
        <x:is>
          <x:t>Sim</x:t>
        </x:is>
      </x:c>
      <x:c r="G29" s="7" t="inlineStr">
        <x:is>
          <x:t>proposal</x:t>
        </x:is>
      </x:c>
      <x:c r="H29" s="7" t="inlineStr">
        <x:is>
          <x:t>Média</x:t>
        </x:is>
      </x:c>
      <x:c r="I29" s="7" t="inlineStr">
        <x:is>
          <x:t>Operação</x:t>
        </x:is>
      </x:c>
      <x:c r="J29" s="7" t="inlineStr">
        <x:is>
          <x:t>CRM</x:t>
        </x:is>
      </x:c>
      <x:c r="K29" s="7" t="inlineStr">
        <x:is>
          <x:t>Diária</x:t>
        </x:is>
      </x:c>
      <x:c r="L29" s="7" t="inlineStr">
        <x:is>
          <x:t>transições válidas</x:t>
        </x:is>
      </x:c>
    </x:row>
    <x:row r="30" ht="52" customHeight="1">
      <x:c r="A30" s="6" t="inlineStr">
        <x:is>
          <x:t>fact_match</x:t>
        </x:is>
      </x:c>
      <x:c r="B30" s="6" t="inlineStr">
        <x:is>
          <x:t>match_id</x:t>
        </x:is>
      </x:c>
      <x:c r="C30" s="6" t="inlineStr">
        <x:is>
          <x:t>UUID</x:t>
        </x:is>
      </x:c>
      <x:c r="D30" s="6" t="inlineStr">
        <x:is>
          <x:t>Par oferta-demanda avaliado.</x:t>
        </x:is>
      </x:c>
      <x:c r="E30" s="6" t="inlineStr">
        <x:is>
          <x:t>PK</x:t>
        </x:is>
      </x:c>
      <x:c r="F30" s="6" t="inlineStr">
        <x:is>
          <x:t>Sim</x:t>
        </x:is>
      </x:c>
      <x:c r="G30" s="6" t="inlineStr">
        <x:is>
          <x:t>m_01...</x:t>
        </x:is>
      </x:c>
      <x:c r="H30" s="6" t="inlineStr">
        <x:is>
          <x:t>Média</x:t>
        </x:is>
      </x:c>
      <x:c r="I30" s="6" t="inlineStr">
        <x:is>
          <x:t>Recomendação</x:t>
        </x:is>
      </x:c>
      <x:c r="J30" s="6" t="inlineStr">
        <x:is>
          <x:t>Motor</x:t>
        </x:is>
      </x:c>
      <x:c r="K30" s="6" t="inlineStr">
        <x:is>
          <x:t>Tempo real</x:t>
        </x:is>
      </x:c>
      <x:c r="L30" s="6" t="inlineStr">
        <x:is>
          <x:t>único por versão</x:t>
        </x:is>
      </x:c>
    </x:row>
    <x:row r="31" ht="52" customHeight="1">
      <x:c r="A31" s="7" t="inlineStr">
        <x:is>
          <x:t>fact_match</x:t>
        </x:is>
      </x:c>
      <x:c r="B31" s="7" t="inlineStr">
        <x:is>
          <x:t>score</x:t>
        </x:is>
      </x:c>
      <x:c r="C31" s="7" t="inlineStr">
        <x:is>
          <x:t>decimal</x:t>
        </x:is>
      </x:c>
      <x:c r="D31" s="7" t="inlineStr">
        <x:is>
          <x:t>Compatibilidade explicável.</x:t>
        </x:is>
      </x:c>
      <x:c r="E31" s="7" t="inlineStr"/>
      <x:c r="F31" s="7" t="inlineStr">
        <x:is>
          <x:t>Sim</x:t>
        </x:is>
      </x:c>
      <x:c r="G31" s="7" t="inlineStr">
        <x:is>
          <x:t>0.91</x:t>
        </x:is>
      </x:c>
      <x:c r="H31" s="7" t="inlineStr">
        <x:is>
          <x:t>Média</x:t>
        </x:is>
      </x:c>
      <x:c r="I31" s="7" t="inlineStr">
        <x:is>
          <x:t>Recomendação</x:t>
        </x:is>
      </x:c>
      <x:c r="J31" s="7" t="inlineStr">
        <x:is>
          <x:t>Motor</x:t>
        </x:is>
      </x:c>
      <x:c r="K31" s="7" t="inlineStr">
        <x:is>
          <x:t>Tempo real</x:t>
        </x:is>
      </x:c>
      <x:c r="L31" s="7" t="inlineStr">
        <x:is>
          <x:t>0 a 1</x:t>
        </x:is>
      </x:c>
    </x:row>
    <x:row r="32" ht="52" customHeight="1">
      <x:c r="A32" s="6" t="inlineStr">
        <x:is>
          <x:t>fact_match</x:t>
        </x:is>
      </x:c>
      <x:c r="B32" s="6" t="inlineStr">
        <x:is>
          <x:t>model_version_id</x:t>
        </x:is>
      </x:c>
      <x:c r="C32" s="6" t="inlineStr">
        <x:is>
          <x:t>string</x:t>
        </x:is>
      </x:c>
      <x:c r="D32" s="6" t="inlineStr">
        <x:is>
          <x:t>Versão que produziu o score.</x:t>
        </x:is>
      </x:c>
      <x:c r="E32" s="6" t="inlineStr">
        <x:is>
          <x:t>FK</x:t>
        </x:is>
      </x:c>
      <x:c r="F32" s="6" t="inlineStr">
        <x:is>
          <x:t>Sim</x:t>
        </x:is>
      </x:c>
      <x:c r="G32" s="6" t="inlineStr">
        <x:is>
          <x:t>match_v7</x:t>
        </x:is>
      </x:c>
      <x:c r="H32" s="6" t="inlineStr">
        <x:is>
          <x:t>Média</x:t>
        </x:is>
      </x:c>
      <x:c r="I32" s="6" t="inlineStr">
        <x:is>
          <x:t>Auditabilidade</x:t>
        </x:is>
      </x:c>
      <x:c r="J32" s="6" t="inlineStr">
        <x:is>
          <x:t>MLOps</x:t>
        </x:is>
      </x:c>
      <x:c r="K32" s="6" t="inlineStr">
        <x:is>
          <x:t>Tempo real</x:t>
        </x:is>
      </x:c>
      <x:c r="L32" s="6" t="inlineStr">
        <x:is>
          <x:t>versão registrada</x:t>
        </x:is>
      </x:c>
    </x:row>
    <x:row r="33" ht="52" customHeight="1">
      <x:c r="A33" s="7" t="inlineStr">
        <x:is>
          <x:t>fact_participation</x:t>
        </x:is>
      </x:c>
      <x:c r="B33" s="7" t="inlineStr">
        <x:is>
          <x:t>participation_id</x:t>
        </x:is>
      </x:c>
      <x:c r="C33" s="7" t="inlineStr">
        <x:is>
          <x:t>UUID</x:t>
        </x:is>
      </x:c>
      <x:c r="D33" s="7" t="inlineStr">
        <x:is>
          <x:t>Exposição a programa ou ação.</x:t>
        </x:is>
      </x:c>
      <x:c r="E33" s="7" t="inlineStr">
        <x:is>
          <x:t>PK</x:t>
        </x:is>
      </x:c>
      <x:c r="F33" s="7" t="inlineStr">
        <x:is>
          <x:t>Sim</x:t>
        </x:is>
      </x:c>
      <x:c r="G33" s="7" t="inlineStr">
        <x:is>
          <x:t>pt_01...</x:t>
        </x:is>
      </x:c>
      <x:c r="H33" s="7" t="inlineStr">
        <x:is>
          <x:t>Alta</x:t>
        </x:is>
      </x:c>
      <x:c r="I33" s="7" t="inlineStr">
        <x:is>
          <x:t>Execução do serviço</x:t>
        </x:is>
      </x:c>
      <x:c r="J33" s="7" t="inlineStr">
        <x:is>
          <x:t>Eventos/LMS</x:t>
        </x:is>
      </x:c>
      <x:c r="K33" s="7" t="inlineStr">
        <x:is>
          <x:t>Evento</x:t>
        </x:is>
      </x:c>
      <x:c r="L33" s="7" t="inlineStr">
        <x:is>
          <x:t>único por pessoa-ação</x:t>
        </x:is>
      </x:c>
    </x:row>
    <x:row r="34" ht="52" customHeight="1">
      <x:c r="A34" s="6" t="inlineStr">
        <x:is>
          <x:t>fact_participation</x:t>
        </x:is>
      </x:c>
      <x:c r="B34" s="6" t="inlineStr">
        <x:is>
          <x:t>dose</x:t>
        </x:is>
      </x:c>
      <x:c r="C34" s="6" t="inlineStr">
        <x:is>
          <x:t>decimal</x:t>
        </x:is>
      </x:c>
      <x:c r="D34" s="6" t="inlineStr">
        <x:is>
          <x:t>Intensidade/duração da exposição.</x:t>
        </x:is>
      </x:c>
      <x:c r="E34" s="6" t="inlineStr"/>
      <x:c r="F34" s="6" t="inlineStr">
        <x:is>
          <x:t>Não</x:t>
        </x:is>
      </x:c>
      <x:c r="G34" s="6" t="inlineStr">
        <x:is>
          <x:t>4.5</x:t>
        </x:is>
      </x:c>
      <x:c r="H34" s="6" t="inlineStr">
        <x:is>
          <x:t>Média</x:t>
        </x:is>
      </x:c>
      <x:c r="I34" s="6" t="inlineStr">
        <x:is>
          <x:t>Mensuração de efeito</x:t>
        </x:is>
      </x:c>
      <x:c r="J34" s="6" t="inlineStr">
        <x:is>
          <x:t>Eventos/LMS</x:t>
        </x:is>
      </x:c>
      <x:c r="K34" s="6" t="inlineStr">
        <x:is>
          <x:t>Evento</x:t>
        </x:is>
      </x:c>
      <x:c r="L34" s="6" t="inlineStr">
        <x:is>
          <x:t>unidade definida</x:t>
        </x:is>
      </x:c>
    </x:row>
    <x:row r="35" ht="52" customHeight="1">
      <x:c r="A35" s="7" t="inlineStr">
        <x:is>
          <x:t>fact_contract</x:t>
        </x:is>
      </x:c>
      <x:c r="B35" s="7" t="inlineStr">
        <x:is>
          <x:t>contract_id</x:t>
        </x:is>
      </x:c>
      <x:c r="C35" s="7" t="inlineStr">
        <x:is>
          <x:t>UUID</x:t>
        </x:is>
      </x:c>
      <x:c r="D35" s="7" t="inlineStr">
        <x:is>
          <x:t>Contrato fechado.</x:t>
        </x:is>
      </x:c>
      <x:c r="E35" s="7" t="inlineStr">
        <x:is>
          <x:t>PK</x:t>
        </x:is>
      </x:c>
      <x:c r="F35" s="7" t="inlineStr">
        <x:is>
          <x:t>Sim</x:t>
        </x:is>
      </x:c>
      <x:c r="G35" s="7" t="inlineStr">
        <x:is>
          <x:t>ct_01...</x:t>
        </x:is>
      </x:c>
      <x:c r="H35" s="7" t="inlineStr">
        <x:is>
          <x:t>Alta</x:t>
        </x:is>
      </x:c>
      <x:c r="I35" s="7" t="inlineStr">
        <x:is>
          <x:t>Execução do contrato</x:t>
        </x:is>
      </x:c>
      <x:c r="J35" s="7" t="inlineStr">
        <x:is>
          <x:t>CRM/ERP</x:t>
        </x:is>
      </x:c>
      <x:c r="K35" s="7" t="inlineStr">
        <x:is>
          <x:t>Diária</x:t>
        </x:is>
      </x:c>
      <x:c r="L35" s="7" t="inlineStr">
        <x:is>
          <x:t>conciliado</x:t>
        </x:is>
      </x:c>
    </x:row>
    <x:row r="36" ht="52" customHeight="1">
      <x:c r="A36" s="6" t="inlineStr">
        <x:is>
          <x:t>fact_contract</x:t>
        </x:is>
      </x:c>
      <x:c r="B36" s="6" t="inlineStr">
        <x:is>
          <x:t>origin_touchpoint</x:t>
        </x:is>
      </x:c>
      <x:c r="C36" s="6" t="inlineStr">
        <x:is>
          <x:t>UUID</x:t>
        </x:is>
      </x:c>
      <x:c r="D36" s="6" t="inlineStr">
        <x:is>
          <x:t>Touchpoint ou match de origem.</x:t>
        </x:is>
      </x:c>
      <x:c r="E36" s="6" t="inlineStr">
        <x:is>
          <x:t>FK</x:t>
        </x:is>
      </x:c>
      <x:c r="F36" s="6" t="inlineStr">
        <x:is>
          <x:t>Não</x:t>
        </x:is>
      </x:c>
      <x:c r="G36" s="6" t="inlineStr">
        <x:is>
          <x:t>m_01...</x:t>
        </x:is>
      </x:c>
      <x:c r="H36" s="6" t="inlineStr">
        <x:is>
          <x:t>Média</x:t>
        </x:is>
      </x:c>
      <x:c r="I36" s="6" t="inlineStr">
        <x:is>
          <x:t>Atribuição</x:t>
        </x:is>
      </x:c>
      <x:c r="J36" s="6" t="inlineStr">
        <x:is>
          <x:t>CRM</x:t>
        </x:is>
      </x:c>
      <x:c r="K36" s="6" t="inlineStr">
        <x:is>
          <x:t>Diária</x:t>
        </x:is>
      </x:c>
      <x:c r="L36" s="6" t="inlineStr">
        <x:is>
          <x:t>janela válida</x:t>
        </x:is>
      </x:c>
    </x:row>
    <x:row r="37" ht="52" customHeight="1">
      <x:c r="A37" s="7" t="inlineStr">
        <x:is>
          <x:t>fact_transaction</x:t>
        </x:is>
      </x:c>
      <x:c r="B37" s="7" t="inlineStr">
        <x:is>
          <x:t>amount</x:t>
        </x:is>
      </x:c>
      <x:c r="C37" s="7" t="inlineStr">
        <x:is>
          <x:t>decimal</x:t>
        </x:is>
      </x:c>
      <x:c r="D37" s="7" t="inlineStr">
        <x:is>
          <x:t>Valor reconhecido ou pago.</x:t>
        </x:is>
      </x:c>
      <x:c r="E37" s="7" t="inlineStr"/>
      <x:c r="F37" s="7" t="inlineStr">
        <x:is>
          <x:t>Sim</x:t>
        </x:is>
      </x:c>
      <x:c r="G37" s="7" t="inlineStr">
        <x:is>
          <x:t>80000</x:t>
        </x:is>
      </x:c>
      <x:c r="H37" s="7" t="inlineStr">
        <x:is>
          <x:t>Alta</x:t>
        </x:is>
      </x:c>
      <x:c r="I37" s="7" t="inlineStr">
        <x:is>
          <x:t>Execução do contrato</x:t>
        </x:is>
      </x:c>
      <x:c r="J37" s="7" t="inlineStr">
        <x:is>
          <x:t>ERP</x:t>
        </x:is>
      </x:c>
      <x:c r="K37" s="7" t="inlineStr">
        <x:is>
          <x:t>Diária</x:t>
        </x:is>
      </x:c>
      <x:c r="L37" s="7" t="inlineStr">
        <x:is>
          <x:t>conciliação financeira</x:t>
        </x:is>
      </x:c>
    </x:row>
    <x:row r="38" ht="52" customHeight="1">
      <x:c r="A38" s="6" t="inlineStr">
        <x:is>
          <x:t>fact_business_metric</x:t>
        </x:is>
      </x:c>
      <x:c r="B38" s="6" t="inlineStr">
        <x:is>
          <x:t>metric_id</x:t>
        </x:is>
      </x:c>
      <x:c r="C38" s="6" t="inlineStr">
        <x:is>
          <x:t>string</x:t>
        </x:is>
      </x:c>
      <x:c r="D38" s="6" t="inlineStr">
        <x:is>
          <x:t>Indicador de negócio acordado.</x:t>
        </x:is>
      </x:c>
      <x:c r="E38" s="6" t="inlineStr">
        <x:is>
          <x:t>PK parcial</x:t>
        </x:is>
      </x:c>
      <x:c r="F38" s="6" t="inlineStr">
        <x:is>
          <x:t>Sim</x:t>
        </x:is>
      </x:c>
      <x:c r="G38" s="6" t="inlineStr">
        <x:is>
          <x:t>turnover</x:t>
        </x:is>
      </x:c>
      <x:c r="H38" s="6" t="inlineStr">
        <x:is>
          <x:t>Alta</x:t>
        </x:is>
      </x:c>
      <x:c r="I38" s="6" t="inlineStr">
        <x:is>
          <x:t>Mensuração</x:t>
        </x:is>
      </x:c>
      <x:c r="J38" s="6" t="inlineStr">
        <x:is>
          <x:t>BI cliente</x:t>
        </x:is>
      </x:c>
      <x:c r="K38" s="6" t="inlineStr">
        <x:is>
          <x:t>Mensal</x:t>
        </x:is>
      </x:c>
      <x:c r="L38" s="6" t="inlineStr">
        <x:is>
          <x:t>dicionário e owner definidos</x:t>
        </x:is>
      </x:c>
    </x:row>
    <x:row r="39" ht="52" customHeight="1">
      <x:c r="A39" s="7" t="inlineStr">
        <x:is>
          <x:t>fact_business_metric</x:t>
        </x:is>
      </x:c>
      <x:c r="B39" s="7" t="inlineStr">
        <x:is>
          <x:t>baseline_value</x:t>
        </x:is>
      </x:c>
      <x:c r="C39" s="7" t="inlineStr">
        <x:is>
          <x:t>decimal</x:t>
        </x:is>
      </x:c>
      <x:c r="D39" s="7" t="inlineStr">
        <x:is>
          <x:t>Valor antes da intervenção.</x:t>
        </x:is>
      </x:c>
      <x:c r="E39" s="7" t="inlineStr"/>
      <x:c r="F39" s="7" t="inlineStr">
        <x:is>
          <x:t>Sim</x:t>
        </x:is>
      </x:c>
      <x:c r="G39" s="7" t="inlineStr">
        <x:is>
          <x:t>0.18</x:t>
        </x:is>
      </x:c>
      <x:c r="H39" s="7" t="inlineStr">
        <x:is>
          <x:t>Alta</x:t>
        </x:is>
      </x:c>
      <x:c r="I39" s="7" t="inlineStr">
        <x:is>
          <x:t>Mensuração</x:t>
        </x:is>
      </x:c>
      <x:c r="J39" s="7" t="inlineStr">
        <x:is>
          <x:t>BI cliente</x:t>
        </x:is>
      </x:c>
      <x:c r="K39" s="7" t="inlineStr">
        <x:is>
          <x:t>Mensal</x:t>
        </x:is>
      </x:c>
      <x:c r="L39" s="7" t="inlineStr">
        <x:is>
          <x:t>mesma definição do pós</x:t>
        </x:is>
      </x:c>
    </x:row>
    <x:row r="40" ht="52" customHeight="1">
      <x:c r="A40" s="6" t="inlineStr">
        <x:is>
          <x:t>fact_business_metric</x:t>
        </x:is>
      </x:c>
      <x:c r="B40" s="6" t="inlineStr">
        <x:is>
          <x:t>observed_value</x:t>
        </x:is>
      </x:c>
      <x:c r="C40" s="6" t="inlineStr">
        <x:is>
          <x:t>decimal</x:t>
        </x:is>
      </x:c>
      <x:c r="D40" s="6" t="inlineStr">
        <x:is>
          <x:t>Valor observado no período.</x:t>
        </x:is>
      </x:c>
      <x:c r="E40" s="6" t="inlineStr"/>
      <x:c r="F40" s="6" t="inlineStr">
        <x:is>
          <x:t>Sim</x:t>
        </x:is>
      </x:c>
      <x:c r="G40" s="6" t="inlineStr">
        <x:is>
          <x:t>0.15</x:t>
        </x:is>
      </x:c>
      <x:c r="H40" s="6" t="inlineStr">
        <x:is>
          <x:t>Alta</x:t>
        </x:is>
      </x:c>
      <x:c r="I40" s="6" t="inlineStr">
        <x:is>
          <x:t>Mensuração</x:t>
        </x:is>
      </x:c>
      <x:c r="J40" s="6" t="inlineStr">
        <x:is>
          <x:t>BI cliente</x:t>
        </x:is>
      </x:c>
      <x:c r="K40" s="6" t="inlineStr">
        <x:is>
          <x:t>Mensal</x:t>
        </x:is>
      </x:c>
      <x:c r="L40" s="6" t="inlineStr">
        <x:is>
          <x:t>mesma população e janela</x:t>
        </x:is>
      </x:c>
    </x:row>
    <x:row r="41" ht="52" customHeight="1">
      <x:c r="A41" s="7" t="inlineStr">
        <x:is>
          <x:t>fact_financial_value</x:t>
        </x:is>
      </x:c>
      <x:c r="B41" s="7" t="inlineStr">
        <x:is>
          <x:t>lever</x:t>
        </x:is>
      </x:c>
      <x:c r="C41" s="7" t="inlineStr">
        <x:is>
          <x:t>enum</x:t>
        </x:is>
      </x:c>
      <x:c r="D41" s="7" t="inlineStr">
        <x:is>
          <x:t>Alavanca financeira deduplicada.</x:t>
        </x:is>
      </x:c>
      <x:c r="E41" s="7" t="inlineStr"/>
      <x:c r="F41" s="7" t="inlineStr">
        <x:is>
          <x:t>Sim</x:t>
        </x:is>
      </x:c>
      <x:c r="G41" s="7" t="inlineStr">
        <x:is>
          <x:t>retention</x:t>
        </x:is>
      </x:c>
      <x:c r="H41" s="7" t="inlineStr">
        <x:is>
          <x:t>Alta</x:t>
        </x:is>
      </x:c>
      <x:c r="I41" s="7" t="inlineStr">
        <x:is>
          <x:t>Prova de valor</x:t>
        </x:is>
      </x:c>
      <x:c r="J41" s="7" t="inlineStr">
        <x:is>
          <x:t>Data mart</x:t>
        </x:is>
      </x:c>
      <x:c r="K41" s="7" t="inlineStr">
        <x:is>
          <x:t>Trimestral</x:t>
        </x:is>
      </x:c>
      <x:c r="L41" s="7" t="inlineStr">
        <x:is>
          <x:t>taxonomia financeira</x:t>
        </x:is>
      </x:c>
    </x:row>
    <x:row r="42" ht="52" customHeight="1">
      <x:c r="A42" s="6" t="inlineStr">
        <x:is>
          <x:t>fact_financial_value</x:t>
        </x:is>
      </x:c>
      <x:c r="B42" s="6" t="inlineStr">
        <x:is>
          <x:t>gross_value</x:t>
        </x:is>
      </x:c>
      <x:c r="C42" s="6" t="inlineStr">
        <x:is>
          <x:t>decimal</x:t>
        </x:is>
      </x:c>
      <x:c r="D42" s="6" t="inlineStr">
        <x:is>
          <x:t>Valor antes da atribuição.</x:t>
        </x:is>
      </x:c>
      <x:c r="E42" s="6" t="inlineStr"/>
      <x:c r="F42" s="6" t="inlineStr">
        <x:is>
          <x:t>Sim</x:t>
        </x:is>
      </x:c>
      <x:c r="G42" s="6" t="inlineStr">
        <x:is>
          <x:t>900000</x:t>
        </x:is>
      </x:c>
      <x:c r="H42" s="6" t="inlineStr">
        <x:is>
          <x:t>Alta</x:t>
        </x:is>
      </x:c>
      <x:c r="I42" s="6" t="inlineStr">
        <x:is>
          <x:t>Prova de valor</x:t>
        </x:is>
      </x:c>
      <x:c r="J42" s="6" t="inlineStr">
        <x:is>
          <x:t>Data mart</x:t>
        </x:is>
      </x:c>
      <x:c r="K42" s="6" t="inlineStr">
        <x:is>
          <x:t>Trimestral</x:t>
        </x:is>
      </x:c>
      <x:c r="L42" s="6" t="inlineStr">
        <x:is>
          <x:t>fonte e fórmula registradas</x:t>
        </x:is>
      </x:c>
    </x:row>
    <x:row r="43" ht="52" customHeight="1">
      <x:c r="A43" s="7" t="inlineStr">
        <x:is>
          <x:t>fact_financial_value</x:t>
        </x:is>
      </x:c>
      <x:c r="B43" s="7" t="inlineStr">
        <x:is>
          <x:t>attribution_rate</x:t>
        </x:is>
      </x:c>
      <x:c r="C43" s="7" t="inlineStr">
        <x:is>
          <x:t>decimal</x:t>
        </x:is>
      </x:c>
      <x:c r="D43" s="7" t="inlineStr">
        <x:is>
          <x:t>Parcela atribuída à HUB.</x:t>
        </x:is>
      </x:c>
      <x:c r="E43" s="7" t="inlineStr"/>
      <x:c r="F43" s="7" t="inlineStr">
        <x:is>
          <x:t>Sim</x:t>
        </x:is>
      </x:c>
      <x:c r="G43" s="7" t="inlineStr">
        <x:is>
          <x:t>0.40</x:t>
        </x:is>
      </x:c>
      <x:c r="H43" s="7" t="inlineStr">
        <x:is>
          <x:t>Alta</x:t>
        </x:is>
      </x:c>
      <x:c r="I43" s="7" t="inlineStr">
        <x:is>
          <x:t>Prova de valor</x:t>
        </x:is>
      </x:c>
      <x:c r="J43" s="7" t="inlineStr">
        <x:is>
          <x:t>Metodologia</x:t>
        </x:is>
      </x:c>
      <x:c r="K43" s="7" t="inlineStr">
        <x:is>
          <x:t>Trimestral</x:t>
        </x:is>
      </x:c>
      <x:c r="L43" s="7" t="inlineStr">
        <x:is>
          <x:t>0 a 1; evidência associada</x:t>
        </x:is>
      </x:c>
    </x:row>
    <x:row r="44" ht="52" customHeight="1">
      <x:c r="A44" s="6" t="inlineStr">
        <x:is>
          <x:t>fact_financial_value</x:t>
        </x:is>
      </x:c>
      <x:c r="B44" s="6" t="inlineStr">
        <x:is>
          <x:t>evidence_level</x:t>
        </x:is>
      </x:c>
      <x:c r="C44" s="6" t="inlineStr">
        <x:is>
          <x:t>enum</x:t>
        </x:is>
      </x:c>
      <x:c r="D44" s="6" t="inlineStr">
        <x:is>
          <x:t>Força metodológica da estimativa.</x:t>
        </x:is>
      </x:c>
      <x:c r="E44" s="6" t="inlineStr"/>
      <x:c r="F44" s="6" t="inlineStr">
        <x:is>
          <x:t>Sim</x:t>
        </x:is>
      </x:c>
      <x:c r="G44" s="6" t="inlineStr">
        <x:is>
          <x:t>quase_experimental</x:t>
        </x:is>
      </x:c>
      <x:c r="H44" s="6" t="inlineStr">
        <x:is>
          <x:t>Média</x:t>
        </x:is>
      </x:c>
      <x:c r="I44" s="6" t="inlineStr">
        <x:is>
          <x:t>Transparência</x:t>
        </x:is>
      </x:c>
      <x:c r="J44" s="6" t="inlineStr">
        <x:is>
          <x:t>Metadados</x:t>
        </x:is>
      </x:c>
      <x:c r="K44" s="6" t="inlineStr">
        <x:is>
          <x:t>Trimestral</x:t>
        </x:is>
      </x:c>
      <x:c r="L44" s="6" t="inlineStr">
        <x:is>
          <x:t>catálogo válido</x:t>
        </x:is>
      </x:c>
    </x:row>
    <x:row r="45" ht="52" customHeight="1">
      <x:c r="A45" s="7" t="inlineStr">
        <x:is>
          <x:t>dim_cohort</x:t>
        </x:is>
      </x:c>
      <x:c r="B45" s="7" t="inlineStr">
        <x:is>
          <x:t>cohort_definition</x:t>
        </x:is>
      </x:c>
      <x:c r="C45" s="7" t="inlineStr">
        <x:is>
          <x:t>json</x:t>
        </x:is>
      </x:c>
      <x:c r="D45" s="7" t="inlineStr">
        <x:is>
          <x:t>Critérios imutáveis do grupo.</x:t>
        </x:is>
      </x:c>
      <x:c r="E45" s="7" t="inlineStr"/>
      <x:c r="F45" s="7" t="inlineStr">
        <x:is>
          <x:t>Sim</x:t>
        </x:is>
      </x:c>
      <x:c r="G45" s="7" t="inlineStr">
        <x:is>
          <x:t>{...}</x:t>
        </x:is>
      </x:c>
      <x:c r="H45" s="7" t="inlineStr">
        <x:is>
          <x:t>Alta</x:t>
        </x:is>
      </x:c>
      <x:c r="I45" s="7" t="inlineStr">
        <x:is>
          <x:t>Mensuração</x:t>
        </x:is>
      </x:c>
      <x:c r="J45" s="7" t="inlineStr">
        <x:is>
          <x:t>Camada analítica</x:t>
        </x:is>
      </x:c>
      <x:c r="K45" s="7" t="inlineStr">
        <x:is>
          <x:t>Mensal</x:t>
        </x:is>
      </x:c>
      <x:c r="L45" s="7" t="inlineStr">
        <x:is>
          <x:t>versionado e reproduzível</x:t>
        </x:is>
      </x:c>
    </x:row>
    <x:row r="46" ht="52" customHeight="1">
      <x:c r="A46" s="6" t="inlineStr">
        <x:is>
          <x:t>dim_model_version</x:t>
        </x:is>
      </x:c>
      <x:c r="B46" s="6" t="inlineStr">
        <x:is>
          <x:t>features_hash</x:t>
        </x:is>
      </x:c>
      <x:c r="C46" s="6" t="inlineStr">
        <x:is>
          <x:t>string</x:t>
        </x:is>
      </x:c>
      <x:c r="D46" s="6" t="inlineStr">
        <x:is>
          <x:t>Hash das features e pesos.</x:t>
        </x:is>
      </x:c>
      <x:c r="E46" s="6" t="inlineStr"/>
      <x:c r="F46" s="6" t="inlineStr">
        <x:is>
          <x:t>Sim</x:t>
        </x:is>
      </x:c>
      <x:c r="G46" s="6" t="inlineStr">
        <x:is>
          <x:t>sha256...</x:t>
        </x:is>
      </x:c>
      <x:c r="H46" s="6" t="inlineStr">
        <x:is>
          <x:t>Média</x:t>
        </x:is>
      </x:c>
      <x:c r="I46" s="6" t="inlineStr">
        <x:is>
          <x:t>Auditabilidade</x:t>
        </x:is>
      </x:c>
      <x:c r="J46" s="6" t="inlineStr">
        <x:is>
          <x:t>MLOps</x:t>
        </x:is>
      </x:c>
      <x:c r="K46" s="6" t="inlineStr">
        <x:is>
          <x:t>Release</x:t>
        </x:is>
      </x:c>
      <x:c r="L46" s="6" t="inlineStr">
        <x:is>
          <x:t>imutável</x:t>
        </x:is>
      </x:c>
    </x:row>
  </x:sheetData>
  <x:autoFilter ref="A5:L46"/>
  <x:mergeCells count="2">
    <x:mergeCell ref="A3:L3"/>
    <x:mergeCell ref="A1:L2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10.xml><?xml version="1.0" encoding="utf-8"?>
<x:worksheet xmlns:x="http://schemas.openxmlformats.org/spreadsheetml/2006/main">
  <x:sheetPr>
    <x:tabColor rgb="000078B8"/>
    <x:outlinePr summaryBelow="1" summaryRight="1"/>
    <x:pageSetUpPr fitToPage="1"/>
  </x:sheetPr>
  <x:dimension ref="A1:K32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28" customWidth="1"/>
    <x:col min="2" max="2" width="36" customWidth="1"/>
    <x:col min="3" max="3" width="22" customWidth="1"/>
    <x:col min="4" max="4" width="44" customWidth="1"/>
    <x:col min="5" max="5" width="25" customWidth="1"/>
    <x:col min="6" max="6" width="18" customWidth="1"/>
    <x:col min="7" max="7" width="34" customWidth="1"/>
    <x:col min="8" max="8" width="30" customWidth="1"/>
    <x:col min="9" max="9" width="12" customWidth="1"/>
    <x:col min="10" max="10" width="14" customWidth="1"/>
    <x:col min="11" max="11" width="34" customWidth="1"/>
  </x:cols>
  <x:sheetData>
    <x:row r="1" ht="26" customHeight="1">
      <x:c r="A1" s="1" t="inlineStr">
        <x:is>
          <x:t>Taxonomia de eventos do produto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 ht="24" customHeight="1">
      <x:c r="A3" s="3" t="inlineStr">
        <x:is>
          <x:t>Eventos padronizados permitem medir funil, adoção, recomendação e valor sem ambiguidade.</x:t>
        </x:is>
      </x:c>
    </x:row>
    <x:row r="5" ht="34" customHeight="1">
      <x:c r="A5" s="44" t="inlineStr">
        <x:is>
          <x:t>Evento</x:t>
        </x:is>
      </x:c>
      <x:c r="B5" s="44" t="inlineStr">
        <x:is>
          <x:t>Quando dispara</x:t>
        </x:is>
      </x:c>
      <x:c r="C5" s="44" t="inlineStr">
        <x:is>
          <x:t>Objeto</x:t>
        </x:is>
      </x:c>
      <x:c r="D5" s="44" t="inlineStr">
        <x:is>
          <x:t>Propriedades obrigatórias</x:t>
        </x:is>
      </x:c>
      <x:c r="E5" s="44" t="inlineStr">
        <x:is>
          <x:t>Pessoa/empresa</x:t>
        </x:is>
      </x:c>
      <x:c r="F5" s="44" t="inlineStr">
        <x:is>
          <x:t>Etapa do funil</x:t>
        </x:is>
      </x:c>
      <x:c r="G5" s="44" t="inlineStr">
        <x:is>
          <x:t>Indicadores</x:t>
        </x:is>
      </x:c>
      <x:c r="H5" s="44" t="inlineStr">
        <x:is>
          <x:t>Valor esperado</x:t>
        </x:is>
      </x:c>
      <x:c r="I5" s="44" t="inlineStr">
        <x:is>
          <x:t>PII</x:t>
        </x:is>
      </x:c>
      <x:c r="J5" s="44" t="inlineStr">
        <x:is>
          <x:t>Retenção</x:t>
        </x:is>
      </x:c>
      <x:c r="K5" s="44" t="inlineStr">
        <x:is>
          <x:t>Regra de QA</x:t>
        </x:is>
      </x:c>
    </x:row>
    <x:row r="6" ht="56" customHeight="1">
      <x:c r="A6" s="6" t="inlineStr">
        <x:is>
          <x:t>account_created</x:t>
        </x:is>
      </x:c>
      <x:c r="B6" s="6" t="inlineStr">
        <x:is>
          <x:t>cadastro concluído</x:t>
        </x:is>
      </x:c>
      <x:c r="C6" s="6" t="inlineStr">
        <x:is>
          <x:t>person/company</x:t>
        </x:is>
      </x:c>
      <x:c r="D6" s="6" t="inlineStr">
        <x:is>
          <x:t>source, persona, consent_version</x:t>
        </x:is>
      </x:c>
      <x:c r="E6" s="6" t="inlineStr">
        <x:is>
          <x:t>person_id/company_id</x:t>
        </x:is>
      </x:c>
      <x:c r="F6" s="6" t="inlineStr">
        <x:is>
          <x:t>Aquisição</x:t>
        </x:is>
      </x:c>
      <x:c r="G6" s="6" t="inlineStr">
        <x:is>
          <x:t>novos cadastros, CAC</x:t>
        </x:is>
      </x:c>
      <x:c r="H6" s="6" t="inlineStr">
        <x:is>
          <x:t>entrada no funil</x:t>
        </x:is>
      </x:c>
      <x:c r="I6" s="6" t="inlineStr">
        <x:is>
          <x:t>Sim</x:t>
        </x:is>
      </x:c>
      <x:c r="J6" s="6" t="inlineStr">
        <x:is>
          <x:t>24 meses</x:t>
        </x:is>
      </x:c>
      <x:c r="K6" s="6" t="inlineStr">
        <x:is>
          <x:t>idempotente</x:t>
        </x:is>
      </x:c>
    </x:row>
    <x:row r="7" ht="56" customHeight="1">
      <x:c r="A7" s="7" t="inlineStr">
        <x:is>
          <x:t>profile_completed</x:t>
        </x:is>
      </x:c>
      <x:c r="B7" s="7" t="inlineStr">
        <x:is>
          <x:t>campos mínimos válidos</x:t>
        </x:is>
      </x:c>
      <x:c r="C7" s="7" t="inlineStr">
        <x:is>
          <x:t>profile</x:t>
        </x:is>
      </x:c>
      <x:c r="D7" s="7" t="inlineStr">
        <x:is>
          <x:t>completion_rate, missing_fields</x:t>
        </x:is>
      </x:c>
      <x:c r="E7" s="7" t="inlineStr">
        <x:is>
          <x:t>person_id</x:t>
        </x:is>
      </x:c>
      <x:c r="F7" s="7" t="inlineStr">
        <x:is>
          <x:t>Ativação</x:t>
        </x:is>
      </x:c>
      <x:c r="G7" s="7" t="inlineStr">
        <x:is>
          <x:t>completude, ativação</x:t>
        </x:is>
      </x:c>
      <x:c r="H7" s="7" t="inlineStr">
        <x:is>
          <x:t>habilita diagnóstico/match</x:t>
        </x:is>
      </x:c>
      <x:c r="I7" s="7" t="inlineStr">
        <x:is>
          <x:t>Sim</x:t>
        </x:is>
      </x:c>
      <x:c r="J7" s="7" t="inlineStr">
        <x:is>
          <x:t>24 meses</x:t>
        </x:is>
      </x:c>
      <x:c r="K7" s="7" t="inlineStr">
        <x:is>
          <x:t>completion_rate 0–1</x:t>
        </x:is>
      </x:c>
    </x:row>
    <x:row r="8" ht="56" customHeight="1">
      <x:c r="A8" s="6" t="inlineStr">
        <x:is>
          <x:t>assessment_started</x:t>
        </x:is>
      </x:c>
      <x:c r="B8" s="6" t="inlineStr">
        <x:is>
          <x:t>primeira resposta</x:t>
        </x:is>
      </x:c>
      <x:c r="C8" s="6" t="inlineStr">
        <x:is>
          <x:t>assessment</x:t>
        </x:is>
      </x:c>
      <x:c r="D8" s="6" t="inlineStr">
        <x:is>
          <x:t>instrument_version, context</x:t>
        </x:is>
      </x:c>
      <x:c r="E8" s="6" t="inlineStr">
        <x:is>
          <x:t>person_id/company_id</x:t>
        </x:is>
      </x:c>
      <x:c r="F8" s="6" t="inlineStr">
        <x:is>
          <x:t>Ativação</x:t>
        </x:is>
      </x:c>
      <x:c r="G8" s="6" t="inlineStr">
        <x:is>
          <x:t>início de diagnóstico</x:t>
        </x:is>
      </x:c>
      <x:c r="H8" s="6" t="inlineStr">
        <x:is>
          <x:t>gera baseline</x:t>
        </x:is>
      </x:c>
      <x:c r="I8" s="6" t="inlineStr">
        <x:is>
          <x:t>Sim</x:t>
        </x:is>
      </x:c>
      <x:c r="J8" s="6" t="inlineStr">
        <x:is>
          <x:t>36 meses</x:t>
        </x:is>
      </x:c>
      <x:c r="K8" s="6" t="inlineStr">
        <x:is>
          <x:t>instrumento existente</x:t>
        </x:is>
      </x:c>
    </x:row>
    <x:row r="9" ht="56" customHeight="1">
      <x:c r="A9" s="7" t="inlineStr">
        <x:is>
          <x:t>assessment_completed</x:t>
        </x:is>
      </x:c>
      <x:c r="B9" s="7" t="inlineStr">
        <x:is>
          <x:t>última resposta validada</x:t>
        </x:is>
      </x:c>
      <x:c r="C9" s="7" t="inlineStr">
        <x:is>
          <x:t>assessment</x:t>
        </x:is>
      </x:c>
      <x:c r="D9" s="7" t="inlineStr">
        <x:is>
          <x:t>score, dimensions, version</x:t>
        </x:is>
      </x:c>
      <x:c r="E9" s="7" t="inlineStr">
        <x:is>
          <x:t>person_id/company_id</x:t>
        </x:is>
      </x:c>
      <x:c r="F9" s="7" t="inlineStr">
        <x:is>
          <x:t>Ativação</x:t>
        </x:is>
      </x:c>
      <x:c r="G9" s="7" t="inlineStr">
        <x:is>
          <x:t>conclusão, prontidão</x:t>
        </x:is>
      </x:c>
      <x:c r="H9" s="7" t="inlineStr">
        <x:is>
          <x:t>habilita recomendação</x:t>
        </x:is>
      </x:c>
      <x:c r="I9" s="7" t="inlineStr">
        <x:is>
          <x:t>Sim</x:t>
        </x:is>
      </x:c>
      <x:c r="J9" s="7" t="inlineStr">
        <x:is>
          <x:t>36 meses</x:t>
        </x:is>
      </x:c>
      <x:c r="K9" s="7" t="inlineStr">
        <x:is>
          <x:t>score dentro da faixa</x:t>
        </x:is>
      </x:c>
    </x:row>
    <x:row r="10" ht="56" customHeight="1">
      <x:c r="A10" s="6" t="inlineStr">
        <x:is>
          <x:t>recommendation_viewed</x:t>
        </x:is>
      </x:c>
      <x:c r="B10" s="6" t="inlineStr">
        <x:is>
          <x:t>recomendação exibida</x:t>
        </x:is>
      </x:c>
      <x:c r="C10" s="6" t="inlineStr">
        <x:is>
          <x:t>recommendation</x:t>
        </x:is>
      </x:c>
      <x:c r="D10" s="6" t="inlineStr">
        <x:is>
          <x:t>model_version, rank, explanation</x:t>
        </x:is>
      </x:c>
      <x:c r="E10" s="6" t="inlineStr">
        <x:is>
          <x:t>person_id/company_id</x:t>
        </x:is>
      </x:c>
      <x:c r="F10" s="6" t="inlineStr">
        <x:is>
          <x:t>Engajamento</x:t>
        </x:is>
      </x:c>
      <x:c r="G10" s="6" t="inlineStr">
        <x:is>
          <x:t>CTR de recomendação</x:t>
        </x:is>
      </x:c>
      <x:c r="H10" s="6" t="inlineStr">
        <x:is>
          <x:t>sinal de interesse</x:t>
        </x:is>
      </x:c>
      <x:c r="I10" s="6" t="inlineStr">
        <x:is>
          <x:t>Sim</x:t>
        </x:is>
      </x:c>
      <x:c r="J10" s="6" t="inlineStr">
        <x:is>
          <x:t>24 meses</x:t>
        </x:is>
      </x:c>
      <x:c r="K10" s="6" t="inlineStr">
        <x:is>
          <x:t>versão registrada</x:t>
        </x:is>
      </x:c>
    </x:row>
    <x:row r="11" ht="56" customHeight="1">
      <x:c r="A11" s="7" t="inlineStr">
        <x:is>
          <x:t>recommendation_accepted</x:t>
        </x:is>
      </x:c>
      <x:c r="B11" s="7" t="inlineStr">
        <x:is>
          <x:t>usuário confirma ação</x:t>
        </x:is>
      </x:c>
      <x:c r="C11" s="7" t="inlineStr">
        <x:is>
          <x:t>recommendation</x:t>
        </x:is>
      </x:c>
      <x:c r="D11" s="7" t="inlineStr">
        <x:is>
          <x:t>type, rank, model_version</x:t>
        </x:is>
      </x:c>
      <x:c r="E11" s="7" t="inlineStr">
        <x:is>
          <x:t>person_id/company_id</x:t>
        </x:is>
      </x:c>
      <x:c r="F11" s="7" t="inlineStr">
        <x:is>
          <x:t>Conversão</x:t>
        </x:is>
      </x:c>
      <x:c r="G11" s="7" t="inlineStr">
        <x:is>
          <x:t>aceitação, uplift</x:t>
        </x:is>
      </x:c>
      <x:c r="H11" s="7" t="inlineStr">
        <x:is>
          <x:t>inicia ação</x:t>
        </x:is>
      </x:c>
      <x:c r="I11" s="7" t="inlineStr">
        <x:is>
          <x:t>Sim</x:t>
        </x:is>
      </x:c>
      <x:c r="J11" s="7" t="inlineStr">
        <x:is>
          <x:t>36 meses</x:t>
        </x:is>
      </x:c>
      <x:c r="K11" s="7" t="inlineStr">
        <x:is>
          <x:t>recomendação válida</x:t>
        </x:is>
      </x:c>
    </x:row>
    <x:row r="12" ht="56" customHeight="1">
      <x:c r="A12" s="6" t="inlineStr">
        <x:is>
          <x:t>journey_started</x:t>
        </x:is>
      </x:c>
      <x:c r="B12" s="6" t="inlineStr">
        <x:is>
          <x:t>primeira etapa iniciada</x:t>
        </x:is>
      </x:c>
      <x:c r="C12" s="6" t="inlineStr">
        <x:is>
          <x:t>journey</x:t>
        </x:is>
      </x:c>
      <x:c r="D12" s="6" t="inlineStr">
        <x:is>
          <x:t>goal, version, origin</x:t>
        </x:is>
      </x:c>
      <x:c r="E12" s="6" t="inlineStr">
        <x:is>
          <x:t>person_id</x:t>
        </x:is>
      </x:c>
      <x:c r="F12" s="6" t="inlineStr">
        <x:is>
          <x:t>Engajamento</x:t>
        </x:is>
      </x:c>
      <x:c r="G12" s="6" t="inlineStr">
        <x:is>
          <x:t>início, time-to-value</x:t>
        </x:is>
      </x:c>
      <x:c r="H12" s="6" t="inlineStr">
        <x:is>
          <x:t>exposição</x:t>
        </x:is>
      </x:c>
      <x:c r="I12" s="6" t="inlineStr">
        <x:is>
          <x:t>Sim</x:t>
        </x:is>
      </x:c>
      <x:c r="J12" s="6" t="inlineStr">
        <x:is>
          <x:t>36 meses</x:t>
        </x:is>
      </x:c>
      <x:c r="K12" s="6" t="inlineStr">
        <x:is>
          <x:t>origin registrado</x:t>
        </x:is>
      </x:c>
    </x:row>
    <x:row r="13" ht="56" customHeight="1">
      <x:c r="A13" s="7" t="inlineStr">
        <x:is>
          <x:t>journey_step_completed</x:t>
        </x:is>
      </x:c>
      <x:c r="B13" s="7" t="inlineStr">
        <x:is>
          <x:t>etapa validada</x:t>
        </x:is>
      </x:c>
      <x:c r="C13" s="7" t="inlineStr">
        <x:is>
          <x:t>journey_step</x:t>
        </x:is>
      </x:c>
      <x:c r="D13" s="7" t="inlineStr">
        <x:is>
          <x:t>journey_id, step_id, evidence</x:t>
        </x:is>
      </x:c>
      <x:c r="E13" s="7" t="inlineStr">
        <x:is>
          <x:t>person_id</x:t>
        </x:is>
      </x:c>
      <x:c r="F13" s="7" t="inlineStr">
        <x:is>
          <x:t>Engajamento</x:t>
        </x:is>
      </x:c>
      <x:c r="G13" s="7" t="inlineStr">
        <x:is>
          <x:t>progresso, drop-off</x:t>
        </x:is>
      </x:c>
      <x:c r="H13" s="7" t="inlineStr">
        <x:is>
          <x:t>dose da ação</x:t>
        </x:is>
      </x:c>
      <x:c r="I13" s="7" t="inlineStr">
        <x:is>
          <x:t>Sim</x:t>
        </x:is>
      </x:c>
      <x:c r="J13" s="7" t="inlineStr">
        <x:is>
          <x:t>36 meses</x:t>
        </x:is>
      </x:c>
      <x:c r="K13" s="7" t="inlineStr">
        <x:is>
          <x:t>ordem e timestamp válidos</x:t>
        </x:is>
      </x:c>
    </x:row>
    <x:row r="14" ht="56" customHeight="1">
      <x:c r="A14" s="6" t="inlineStr">
        <x:is>
          <x:t>journey_completed</x:t>
        </x:is>
      </x:c>
      <x:c r="B14" s="6" t="inlineStr">
        <x:is>
          <x:t>critério de conclusão</x:t>
        </x:is>
      </x:c>
      <x:c r="C14" s="6" t="inlineStr">
        <x:is>
          <x:t>journey</x:t>
        </x:is>
      </x:c>
      <x:c r="D14" s="6" t="inlineStr">
        <x:is>
          <x:t>outcome_expected, duration</x:t>
        </x:is>
      </x:c>
      <x:c r="E14" s="6" t="inlineStr">
        <x:is>
          <x:t>person_id</x:t>
        </x:is>
      </x:c>
      <x:c r="F14" s="6" t="inlineStr">
        <x:is>
          <x:t>Conversão</x:t>
        </x:is>
      </x:c>
      <x:c r="G14" s="6" t="inlineStr">
        <x:is>
          <x:t>conclusão, evolução</x:t>
        </x:is>
      </x:c>
      <x:c r="H14" s="6" t="inlineStr">
        <x:is>
          <x:t>habilita pós-medição</x:t>
        </x:is>
      </x:c>
      <x:c r="I14" s="6" t="inlineStr">
        <x:is>
          <x:t>Sim</x:t>
        </x:is>
      </x:c>
      <x:c r="J14" s="6" t="inlineStr">
        <x:is>
          <x:t>36 meses</x:t>
        </x:is>
      </x:c>
      <x:c r="K14" s="6" t="inlineStr">
        <x:is>
          <x:t>todas etapas obrigatórias</x:t>
        </x:is>
      </x:c>
    </x:row>
    <x:row r="15" ht="56" customHeight="1">
      <x:c r="A15" s="7" t="inlineStr">
        <x:is>
          <x:t>opportunity_created</x:t>
        </x:is>
      </x:c>
      <x:c r="B15" s="7" t="inlineStr">
        <x:is>
          <x:t>demanda publicada</x:t>
        </x:is>
      </x:c>
      <x:c r="C15" s="7" t="inlineStr">
        <x:is>
          <x:t>opportunity</x:t>
        </x:is>
      </x:c>
      <x:c r="D15" s="7" t="inlineStr">
        <x:is>
          <x:t>type, requirements, value, deadline</x:t>
        </x:is>
      </x:c>
      <x:c r="E15" s="7" t="inlineStr">
        <x:is>
          <x:t>company_id</x:t>
        </x:is>
      </x:c>
      <x:c r="F15" s="7" t="inlineStr">
        <x:is>
          <x:t>Aquisição</x:t>
        </x:is>
      </x:c>
      <x:c r="G15" s="7" t="inlineStr">
        <x:is>
          <x:t>pipeline, cobertura</x:t>
        </x:is>
      </x:c>
      <x:c r="H15" s="7" t="inlineStr">
        <x:is>
          <x:t>demanda monetizável</x:t>
        </x:is>
      </x:c>
      <x:c r="I15" s="7" t="inlineStr">
        <x:is>
          <x:t>Não</x:t>
        </x:is>
      </x:c>
      <x:c r="J15" s="7" t="inlineStr">
        <x:is>
          <x:t>60 meses</x:t>
        </x:is>
      </x:c>
      <x:c r="K15" s="7" t="inlineStr">
        <x:is>
          <x:t>requisitos estruturados</x:t>
        </x:is>
      </x:c>
    </x:row>
    <x:row r="16" ht="56" customHeight="1">
      <x:c r="A16" s="6" t="inlineStr">
        <x:is>
          <x:t>match_generated</x:t>
        </x:is>
      </x:c>
      <x:c r="B16" s="6" t="inlineStr">
        <x:is>
          <x:t>motor conclui ranking</x:t>
        </x:is>
      </x:c>
      <x:c r="C16" s="6" t="inlineStr">
        <x:is>
          <x:t>match</x:t>
        </x:is>
      </x:c>
      <x:c r="D16" s="6" t="inlineStr">
        <x:is>
          <x:t>score, model_version, rank, criteria</x:t>
        </x:is>
      </x:c>
      <x:c r="E16" s="6" t="inlineStr">
        <x:is>
          <x:t>company_id/person_id</x:t>
        </x:is>
      </x:c>
      <x:c r="F16" s="6" t="inlineStr">
        <x:is>
          <x:t>Engajamento</x:t>
        </x:is>
      </x:c>
      <x:c r="G16" s="6" t="inlineStr">
        <x:is>
          <x:t>precisão, cobertura</x:t>
        </x:is>
      </x:c>
      <x:c r="H16" s="6" t="inlineStr">
        <x:is>
          <x:t>reduz busca</x:t>
        </x:is>
      </x:c>
      <x:c r="I16" s="6" t="inlineStr">
        <x:is>
          <x:t>Possível</x:t>
        </x:is>
      </x:c>
      <x:c r="J16" s="6" t="inlineStr">
        <x:is>
          <x:t>36 meses</x:t>
        </x:is>
      </x:c>
      <x:c r="K16" s="6" t="inlineStr">
        <x:is>
          <x:t>modelo e explicação</x:t>
        </x:is>
      </x:c>
    </x:row>
    <x:row r="17" ht="56" customHeight="1">
      <x:c r="A17" s="7" t="inlineStr">
        <x:is>
          <x:t>match_viewed</x:t>
        </x:is>
      </x:c>
      <x:c r="B17" s="7" t="inlineStr">
        <x:is>
          <x:t>match é visualizado</x:t>
        </x:is>
      </x:c>
      <x:c r="C17" s="7" t="inlineStr">
        <x:is>
          <x:t>match</x:t>
        </x:is>
      </x:c>
      <x:c r="D17" s="7" t="inlineStr">
        <x:is>
          <x:t>rank, channel</x:t>
        </x:is>
      </x:c>
      <x:c r="E17" s="7" t="inlineStr">
        <x:is>
          <x:t>person_id/company_id</x:t>
        </x:is>
      </x:c>
      <x:c r="F17" s="7" t="inlineStr">
        <x:is>
          <x:t>Engajamento</x:t>
        </x:is>
      </x:c>
      <x:c r="G17" s="7" t="inlineStr">
        <x:is>
          <x:t>CTR de match</x:t>
        </x:is>
      </x:c>
      <x:c r="H17" s="7" t="inlineStr">
        <x:is>
          <x:t>sinal de qualidade</x:t>
        </x:is>
      </x:c>
      <x:c r="I17" s="7" t="inlineStr">
        <x:is>
          <x:t>Possível</x:t>
        </x:is>
      </x:c>
      <x:c r="J17" s="7" t="inlineStr">
        <x:is>
          <x:t>36 meses</x:t>
        </x:is>
      </x:c>
      <x:c r="K17" s="7" t="inlineStr">
        <x:is>
          <x:t>rank consistente</x:t>
        </x:is>
      </x:c>
    </x:row>
    <x:row r="18" ht="56" customHeight="1">
      <x:c r="A18" s="6" t="inlineStr">
        <x:is>
          <x:t>match_accepted</x:t>
        </x:is>
      </x:c>
      <x:c r="B18" s="6" t="inlineStr">
        <x:is>
          <x:t>parte aceita conexão</x:t>
        </x:is>
      </x:c>
      <x:c r="C18" s="6" t="inlineStr">
        <x:is>
          <x:t>match</x:t>
        </x:is>
      </x:c>
      <x:c r="D18" s="6" t="inlineStr">
        <x:is>
          <x:t>side, score, response_time</x:t>
        </x:is>
      </x:c>
      <x:c r="E18" s="6" t="inlineStr">
        <x:is>
          <x:t>person_id/company_id</x:t>
        </x:is>
      </x:c>
      <x:c r="F18" s="6" t="inlineStr">
        <x:is>
          <x:t>Conversão</x:t>
        </x:is>
      </x:c>
      <x:c r="G18" s="6" t="inlineStr">
        <x:is>
          <x:t>aceitação, ciclo</x:t>
        </x:is>
      </x:c>
      <x:c r="H18" s="6" t="inlineStr">
        <x:is>
          <x:t>leva a contato</x:t>
        </x:is>
      </x:c>
      <x:c r="I18" s="6" t="inlineStr">
        <x:is>
          <x:t>Possível</x:t>
        </x:is>
      </x:c>
      <x:c r="J18" s="6" t="inlineStr">
        <x:is>
          <x:t>60 meses</x:t>
        </x:is>
      </x:c>
      <x:c r="K18" s="6" t="inlineStr">
        <x:is>
          <x:t>lado registrado</x:t>
        </x:is>
      </x:c>
    </x:row>
    <x:row r="19" ht="56" customHeight="1">
      <x:c r="A19" s="7" t="inlineStr">
        <x:is>
          <x:t>connection_completed</x:t>
        </x:is>
      </x:c>
      <x:c r="B19" s="7" t="inlineStr">
        <x:is>
          <x:t>duas partes conectadas</x:t>
        </x:is>
      </x:c>
      <x:c r="C19" s="7" t="inlineStr">
        <x:is>
          <x:t>connection</x:t>
        </x:is>
      </x:c>
      <x:c r="D19" s="7" t="inlineStr">
        <x:is>
          <x:t>match_id, participants, timestamp</x:t>
        </x:is>
      </x:c>
      <x:c r="E19" s="7" t="inlineStr">
        <x:is>
          <x:t>person_id/company_id</x:t>
        </x:is>
      </x:c>
      <x:c r="F19" s="7" t="inlineStr">
        <x:is>
          <x:t>Conversão</x:t>
        </x:is>
      </x:c>
      <x:c r="G19" s="7" t="inlineStr">
        <x:is>
          <x:t>conexões efetivas</x:t>
        </x:is>
      </x:c>
      <x:c r="H19" s="7" t="inlineStr">
        <x:is>
          <x:t>resultado intermediário</x:t>
        </x:is>
      </x:c>
      <x:c r="I19" s="7" t="inlineStr">
        <x:is>
          <x:t>Sim</x:t>
        </x:is>
      </x:c>
      <x:c r="J19" s="7" t="inlineStr">
        <x:is>
          <x:t>60 meses</x:t>
        </x:is>
      </x:c>
      <x:c r="K19" s="7" t="inlineStr">
        <x:is>
          <x:t>partes válidas</x:t>
        </x:is>
      </x:c>
    </x:row>
    <x:row r="20" ht="56" customHeight="1">
      <x:c r="A20" s="6" t="inlineStr">
        <x:is>
          <x:t>proposal_submitted</x:t>
        </x:is>
      </x:c>
      <x:c r="B20" s="6" t="inlineStr">
        <x:is>
          <x:t>proposta enviada</x:t>
        </x:is>
      </x:c>
      <x:c r="C20" s="6" t="inlineStr">
        <x:is>
          <x:t>opportunity</x:t>
        </x:is>
      </x:c>
      <x:c r="D20" s="6" t="inlineStr">
        <x:is>
          <x:t>match_id, amount, date</x:t>
        </x:is>
      </x:c>
      <x:c r="E20" s="6" t="inlineStr">
        <x:is>
          <x:t>supplier_id</x:t>
        </x:is>
      </x:c>
      <x:c r="F20" s="6" t="inlineStr">
        <x:is>
          <x:t>Conversão</x:t>
        </x:is>
      </x:c>
      <x:c r="G20" s="6" t="inlineStr">
        <x:is>
          <x:t>propostas, GMV</x:t>
        </x:is>
      </x:c>
      <x:c r="H20" s="6" t="inlineStr">
        <x:is>
          <x:t>pipeline</x:t>
        </x:is>
      </x:c>
      <x:c r="I20" s="6" t="inlineStr">
        <x:is>
          <x:t>Não</x:t>
        </x:is>
      </x:c>
      <x:c r="J20" s="6" t="inlineStr">
        <x:is>
          <x:t>60 meses</x:t>
        </x:is>
      </x:c>
      <x:c r="K20" s="6" t="inlineStr">
        <x:is>
          <x:t>moeda e valor</x:t>
        </x:is>
      </x:c>
    </x:row>
    <x:row r="21" ht="56" customHeight="1">
      <x:c r="A21" s="7" t="inlineStr">
        <x:is>
          <x:t>contract_signed</x:t>
        </x:is>
      </x:c>
      <x:c r="B21" s="7" t="inlineStr">
        <x:is>
          <x:t>contrato confirmado</x:t>
        </x:is>
      </x:c>
      <x:c r="C21" s="7" t="inlineStr">
        <x:is>
          <x:t>contract</x:t>
        </x:is>
      </x:c>
      <x:c r="D21" s="7" t="inlineStr">
        <x:is>
          <x:t>origin, value, margin, date</x:t>
        </x:is>
      </x:c>
      <x:c r="E21" s="7" t="inlineStr">
        <x:is>
          <x:t>company_id/supplier_id</x:t>
        </x:is>
      </x:c>
      <x:c r="F21" s="7" t="inlineStr">
        <x:is>
          <x:t>Resultado</x:t>
        </x:is>
      </x:c>
      <x:c r="G21" s="7" t="inlineStr">
        <x:is>
          <x:t>conversão, receita, GMV</x:t>
        </x:is>
      </x:c>
      <x:c r="H21" s="7" t="inlineStr">
        <x:is>
          <x:t>resultado financeiro</x:t>
        </x:is>
      </x:c>
      <x:c r="I21" s="7" t="inlineStr">
        <x:is>
          <x:t>Não</x:t>
        </x:is>
      </x:c>
      <x:c r="J21" s="7" t="inlineStr">
        <x:is>
          <x:t>120 meses</x:t>
        </x:is>
      </x:c>
      <x:c r="K21" s="7" t="inlineStr">
        <x:is>
          <x:t>conciliado com CRM/ERP</x:t>
        </x:is>
      </x:c>
    </x:row>
    <x:row r="22" ht="56" customHeight="1">
      <x:c r="A22" s="6" t="inlineStr">
        <x:is>
          <x:t>transaction_recognized</x:t>
        </x:is>
      </x:c>
      <x:c r="B22" s="6" t="inlineStr">
        <x:is>
          <x:t>receita/custo reconhecido</x:t>
        </x:is>
      </x:c>
      <x:c r="C22" s="6" t="inlineStr">
        <x:is>
          <x:t>transaction</x:t>
        </x:is>
      </x:c>
      <x:c r="D22" s="6" t="inlineStr">
        <x:is>
          <x:t>contract_id, amount, type, competence</x:t>
        </x:is>
      </x:c>
      <x:c r="E22" s="6" t="inlineStr">
        <x:is>
          <x:t>company_id</x:t>
        </x:is>
      </x:c>
      <x:c r="F22" s="6" t="inlineStr">
        <x:is>
          <x:t>Impacto</x:t>
        </x:is>
      </x:c>
      <x:c r="G22" s="6" t="inlineStr">
        <x:is>
          <x:t>MRR, ARR, GMV, margem</x:t>
        </x:is>
      </x:c>
      <x:c r="H22" s="6" t="inlineStr">
        <x:is>
          <x:t>valor realizado</x:t>
        </x:is>
      </x:c>
      <x:c r="I22" s="6" t="inlineStr">
        <x:is>
          <x:t>Não</x:t>
        </x:is>
      </x:c>
      <x:c r="J22" s="6" t="inlineStr">
        <x:is>
          <x:t>120 meses</x:t>
        </x:is>
      </x:c>
      <x:c r="K22" s="6" t="inlineStr">
        <x:is>
          <x:t>conciliação financeira</x:t>
        </x:is>
      </x:c>
    </x:row>
    <x:row r="23" ht="56" customHeight="1">
      <x:c r="A23" s="7" t="inlineStr">
        <x:is>
          <x:t>business_metric_received</x:t>
        </x:is>
      </x:c>
      <x:c r="B23" s="7" t="inlineStr">
        <x:is>
          <x:t>KPI importado</x:t>
        </x:is>
      </x:c>
      <x:c r="C23" s="7" t="inlineStr">
        <x:is>
          <x:t>metric</x:t>
        </x:is>
      </x:c>
      <x:c r="D23" s="7" t="inlineStr">
        <x:is>
          <x:t>metric_id, period, value, baseline</x:t>
        </x:is>
      </x:c>
      <x:c r="E23" s="7" t="inlineStr">
        <x:is>
          <x:t>company_id</x:t>
        </x:is>
      </x:c>
      <x:c r="F23" s="7" t="inlineStr">
        <x:is>
          <x:t>Resultado</x:t>
        </x:is>
      </x:c>
      <x:c r="G23" s="7" t="inlineStr">
        <x:is>
          <x:t>outcomes e impacto</x:t>
        </x:is>
      </x:c>
      <x:c r="H23" s="7" t="inlineStr">
        <x:is>
          <x:t>prova de valor</x:t>
        </x:is>
      </x:c>
      <x:c r="I23" s="7" t="inlineStr">
        <x:is>
          <x:t>Possível</x:t>
        </x:is>
      </x:c>
      <x:c r="J23" s="7" t="inlineStr">
        <x:is>
          <x:t>120 meses</x:t>
        </x:is>
      </x:c>
      <x:c r="K23" s="7" t="inlineStr">
        <x:is>
          <x:t>mesma definição e período</x:t>
        </x:is>
      </x:c>
    </x:row>
    <x:row r="24" ht="56" customHeight="1">
      <x:c r="A24" s="6" t="inlineStr">
        <x:is>
          <x:t>outcome_confirmed</x:t>
        </x:is>
      </x:c>
      <x:c r="B24" s="6" t="inlineStr">
        <x:is>
          <x:t>owner confirma resultado</x:t>
        </x:is>
      </x:c>
      <x:c r="C24" s="6" t="inlineStr">
        <x:is>
          <x:t>outcome</x:t>
        </x:is>
      </x:c>
      <x:c r="D24" s="6" t="inlineStr">
        <x:is>
          <x:t>type, value, evidence, period</x:t>
        </x:is>
      </x:c>
      <x:c r="E24" s="6" t="inlineStr">
        <x:is>
          <x:t>person_id/company_id</x:t>
        </x:is>
      </x:c>
      <x:c r="F24" s="6" t="inlineStr">
        <x:is>
          <x:t>Resultado</x:t>
        </x:is>
      </x:c>
      <x:c r="G24" s="6" t="inlineStr">
        <x:is>
          <x:t>qualidade, retenção, saving</x:t>
        </x:is>
      </x:c>
      <x:c r="H24" s="6" t="inlineStr">
        <x:is>
          <x:t>resultado validado</x:t>
        </x:is>
      </x:c>
      <x:c r="I24" s="6" t="inlineStr">
        <x:is>
          <x:t>Sim</x:t>
        </x:is>
      </x:c>
      <x:c r="J24" s="6" t="inlineStr">
        <x:is>
          <x:t>120 meses</x:t>
        </x:is>
      </x:c>
      <x:c r="K24" s="6" t="inlineStr">
        <x:is>
          <x:t>evidência anexada</x:t>
        </x:is>
      </x:c>
    </x:row>
    <x:row r="25" ht="56" customHeight="1">
      <x:c r="A25" s="7" t="inlineStr">
        <x:is>
          <x:t>financial_value_approved</x:t>
        </x:is>
      </x:c>
      <x:c r="B25" s="7" t="inlineStr">
        <x:is>
          <x:t>controladoria aprova</x:t>
        </x:is>
      </x:c>
      <x:c r="C25" s="7" t="inlineStr">
        <x:is>
          <x:t>financial_value</x:t>
        </x:is>
      </x:c>
      <x:c r="D25" s="7" t="inlineStr">
        <x:is>
          <x:t>lever, formula, attribution, evidence</x:t>
        </x:is>
      </x:c>
      <x:c r="E25" s="7" t="inlineStr">
        <x:is>
          <x:t>company_id</x:t>
        </x:is>
      </x:c>
      <x:c r="F25" s="7" t="inlineStr">
        <x:is>
          <x:t>Impacto</x:t>
        </x:is>
      </x:c>
      <x:c r="G25" s="7" t="inlineStr">
        <x:is>
          <x:t>benefício, ROI</x:t>
        </x:is>
      </x:c>
      <x:c r="H25" s="7" t="inlineStr">
        <x:is>
          <x:t>valor monetizado</x:t>
        </x:is>
      </x:c>
      <x:c r="I25" s="7" t="inlineStr">
        <x:is>
          <x:t>Não</x:t>
        </x:is>
      </x:c>
      <x:c r="J25" s="7" t="inlineStr">
        <x:is>
          <x:t>120 meses</x:t>
        </x:is>
      </x:c>
      <x:c r="K25" s="7" t="inlineStr">
        <x:is>
          <x:t>owner e versão da fórmula</x:t>
        </x:is>
      </x:c>
    </x:row>
    <x:row r="26" ht="56" customHeight="1">
      <x:c r="A26" s="6" t="inlineStr">
        <x:is>
          <x:t>benchmark_viewed</x:t>
        </x:is>
      </x:c>
      <x:c r="B26" s="6" t="inlineStr">
        <x:is>
          <x:t>benchmark consultado</x:t>
        </x:is>
      </x:c>
      <x:c r="C26" s="6" t="inlineStr">
        <x:is>
          <x:t>benchmark</x:t>
        </x:is>
      </x:c>
      <x:c r="D26" s="6" t="inlineStr">
        <x:is>
          <x:t>segment, metric, percentile</x:t>
        </x:is>
      </x:c>
      <x:c r="E26" s="6" t="inlineStr">
        <x:is>
          <x:t>company_id</x:t>
        </x:is>
      </x:c>
      <x:c r="F26" s="6" t="inlineStr">
        <x:is>
          <x:t>Engajamento</x:t>
        </x:is>
      </x:c>
      <x:c r="G26" s="6" t="inlineStr">
        <x:is>
          <x:t>adoção de inteligência</x:t>
        </x:is>
      </x:c>
      <x:c r="H26" s="6" t="inlineStr">
        <x:is>
          <x:t>sinal de valor</x:t>
        </x:is>
      </x:c>
      <x:c r="I26" s="6" t="inlineStr">
        <x:is>
          <x:t>Não</x:t>
        </x:is>
      </x:c>
      <x:c r="J26" s="6" t="inlineStr">
        <x:is>
          <x:t>24 meses</x:t>
        </x:is>
      </x:c>
      <x:c r="K26" s="6" t="inlineStr">
        <x:is>
          <x:t>amostra mínima</x:t>
        </x:is>
      </x:c>
    </x:row>
    <x:row r="27" ht="56" customHeight="1">
      <x:c r="A27" s="7" t="inlineStr">
        <x:is>
          <x:t>benchmark_action_taken</x:t>
        </x:is>
      </x:c>
      <x:c r="B27" s="7" t="inlineStr">
        <x:is>
          <x:t>ação registrada após benchmark</x:t>
        </x:is>
      </x:c>
      <x:c r="C27" s="7" t="inlineStr">
        <x:is>
          <x:t>benchmark</x:t>
        </x:is>
      </x:c>
      <x:c r="D27" s="7" t="inlineStr">
        <x:is>
          <x:t>action_type, target, due_date</x:t>
        </x:is>
      </x:c>
      <x:c r="E27" s="7" t="inlineStr">
        <x:is>
          <x:t>company_id</x:t>
        </x:is>
      </x:c>
      <x:c r="F27" s="7" t="inlineStr">
        <x:is>
          <x:t>Conversão</x:t>
        </x:is>
      </x:c>
      <x:c r="G27" s="7" t="inlineStr">
        <x:is>
          <x:t>benchmark→ação</x:t>
        </x:is>
      </x:c>
      <x:c r="H27" s="7" t="inlineStr">
        <x:is>
          <x:t>potencial outcome</x:t>
        </x:is>
      </x:c>
      <x:c r="I27" s="7" t="inlineStr">
        <x:is>
          <x:t>Não</x:t>
        </x:is>
      </x:c>
      <x:c r="J27" s="7" t="inlineStr">
        <x:is>
          <x:t>60 meses</x:t>
        </x:is>
      </x:c>
      <x:c r="K27" s="7" t="inlineStr">
        <x:is>
          <x:t>vínculo com benchmark</x:t>
        </x:is>
      </x:c>
    </x:row>
    <x:row r="28" ht="56" customHeight="1">
      <x:c r="A28" s="6" t="inlineStr">
        <x:is>
          <x:t>content_exposed</x:t>
        </x:is>
      </x:c>
      <x:c r="B28" s="6" t="inlineStr">
        <x:is>
          <x:t>impressão elegível</x:t>
        </x:is>
      </x:c>
      <x:c r="C28" s="6" t="inlineStr">
        <x:is>
          <x:t>content</x:t>
        </x:is>
      </x:c>
      <x:c r="D28" s="6" t="inlineStr">
        <x:is>
          <x:t>campaign, channel, audience, cost</x:t>
        </x:is>
      </x:c>
      <x:c r="E28" s="6" t="inlineStr">
        <x:is>
          <x:t>person_id/company_id</x:t>
        </x:is>
      </x:c>
      <x:c r="F28" s="6" t="inlineStr">
        <x:is>
          <x:t>Aquisição</x:t>
        </x:is>
      </x:c>
      <x:c r="G28" s="6" t="inlineStr">
        <x:is>
          <x:t>alcance, frequência</x:t>
        </x:is>
      </x:c>
      <x:c r="H28" s="6" t="inlineStr">
        <x:is>
          <x:t>entrada de atribuição</x:t>
        </x:is>
      </x:c>
      <x:c r="I28" s="6" t="inlineStr">
        <x:is>
          <x:t>Possível</x:t>
        </x:is>
      </x:c>
      <x:c r="J28" s="6" t="inlineStr">
        <x:is>
          <x:t>24 meses</x:t>
        </x:is>
      </x:c>
      <x:c r="K28" s="6" t="inlineStr">
        <x:is>
          <x:t>UTM/campaign_id</x:t>
        </x:is>
      </x:c>
    </x:row>
    <x:row r="29" ht="56" customHeight="1">
      <x:c r="A29" s="7" t="inlineStr">
        <x:is>
          <x:t>content_action</x:t>
        </x:is>
      </x:c>
      <x:c r="B29" s="7" t="inlineStr">
        <x:is>
          <x:t>clique, cadastro ou pedido</x:t>
        </x:is>
      </x:c>
      <x:c r="C29" s="7" t="inlineStr">
        <x:is>
          <x:t>content</x:t>
        </x:is>
      </x:c>
      <x:c r="D29" s="7" t="inlineStr">
        <x:is>
          <x:t>campaign, action, session</x:t>
        </x:is>
      </x:c>
      <x:c r="E29" s="7" t="inlineStr">
        <x:is>
          <x:t>person_id/company_id</x:t>
        </x:is>
      </x:c>
      <x:c r="F29" s="7" t="inlineStr">
        <x:is>
          <x:t>Conversão</x:t>
        </x:is>
      </x:c>
      <x:c r="G29" s="7" t="inlineStr">
        <x:is>
          <x:t>conteúdo→ação</x:t>
        </x:is>
      </x:c>
      <x:c r="H29" s="7" t="inlineStr">
        <x:is>
          <x:t>sinal de demanda</x:t>
        </x:is>
      </x:c>
      <x:c r="I29" s="7" t="inlineStr">
        <x:is>
          <x:t>Possível</x:t>
        </x:is>
      </x:c>
      <x:c r="J29" s="7" t="inlineStr">
        <x:is>
          <x:t>36 meses</x:t>
        </x:is>
      </x:c>
      <x:c r="K29" s="7" t="inlineStr">
        <x:is>
          <x:t>sessão e janela válidas</x:t>
        </x:is>
      </x:c>
    </x:row>
    <x:row r="30" ht="56" customHeight="1">
      <x:c r="A30" s="6" t="inlineStr">
        <x:is>
          <x:t>consent_updated</x:t>
        </x:is>
      </x:c>
      <x:c r="B30" s="6" t="inlineStr">
        <x:is>
          <x:t>consentimento muda</x:t>
        </x:is>
      </x:c>
      <x:c r="C30" s="6" t="inlineStr">
        <x:is>
          <x:t>consent</x:t>
        </x:is>
      </x:c>
      <x:c r="D30" s="6" t="inlineStr">
        <x:is>
          <x:t>purpose, status, version, timestamp</x:t>
        </x:is>
      </x:c>
      <x:c r="E30" s="6" t="inlineStr">
        <x:is>
          <x:t>person_id</x:t>
        </x:is>
      </x:c>
      <x:c r="F30" s="6" t="inlineStr">
        <x:is>
          <x:t>Governança</x:t>
        </x:is>
      </x:c>
      <x:c r="G30" s="6" t="inlineStr">
        <x:is>
          <x:t>cobertura de consentimento</x:t>
        </x:is>
      </x:c>
      <x:c r="H30" s="6" t="inlineStr">
        <x:is>
          <x:t>habilita/bloqueia uso</x:t>
        </x:is>
      </x:c>
      <x:c r="I30" s="6" t="inlineStr">
        <x:is>
          <x:t>Sim</x:t>
        </x:is>
      </x:c>
      <x:c r="J30" s="6" t="inlineStr">
        <x:is>
          <x:t>permanente enquanto necessário</x:t>
        </x:is>
      </x:c>
      <x:c r="K30" s="6" t="inlineStr">
        <x:is>
          <x:t>efeito imediato</x:t>
        </x:is>
      </x:c>
    </x:row>
    <x:row r="31" ht="56" customHeight="1">
      <x:c r="A31" s="7" t="inlineStr">
        <x:is>
          <x:t>data_quality_incident</x:t>
        </x:is>
      </x:c>
      <x:c r="B31" s="7" t="inlineStr">
        <x:is>
          <x:t>regra crítica falha</x:t>
        </x:is>
      </x:c>
      <x:c r="C31" s="7" t="inlineStr">
        <x:is>
          <x:t>dataset</x:t>
        </x:is>
      </x:c>
      <x:c r="D31" s="7" t="inlineStr">
        <x:is>
          <x:t>rule, severity, owner, records</x:t>
        </x:is>
      </x:c>
      <x:c r="E31" s="7" t="inlineStr">
        <x:is>
          <x:t>company_id opcional</x:t>
        </x:is>
      </x:c>
      <x:c r="F31" s="7" t="inlineStr">
        <x:is>
          <x:t>Governança</x:t>
        </x:is>
      </x:c>
      <x:c r="G31" s="7" t="inlineStr">
        <x:is>
          <x:t>SLA, qualidade</x:t>
        </x:is>
      </x:c>
      <x:c r="H31" s="7" t="inlineStr">
        <x:is>
          <x:t>protege decisão</x:t>
        </x:is>
      </x:c>
      <x:c r="I31" s="7" t="inlineStr">
        <x:is>
          <x:t>Possível</x:t>
        </x:is>
      </x:c>
      <x:c r="J31" s="7" t="inlineStr">
        <x:is>
          <x:t>60 meses</x:t>
        </x:is>
      </x:c>
      <x:c r="K31" s="7" t="inlineStr">
        <x:is>
          <x:t>ticket obrigatório</x:t>
        </x:is>
      </x:c>
    </x:row>
    <x:row r="32" ht="56" customHeight="1">
      <x:c r="A32" s="6" t="inlineStr">
        <x:is>
          <x:t>model_prediction</x:t>
        </x:is>
      </x:c>
      <x:c r="B32" s="6" t="inlineStr">
        <x:is>
          <x:t>score é produzido</x:t>
        </x:is>
      </x:c>
      <x:c r="C32" s="6" t="inlineStr">
        <x:is>
          <x:t>model</x:t>
        </x:is>
      </x:c>
      <x:c r="D32" s="6" t="inlineStr">
        <x:is>
          <x:t>version, input_hash, score, explanation</x:t>
        </x:is>
      </x:c>
      <x:c r="E32" s="6" t="inlineStr">
        <x:is>
          <x:t>person_id/company_id</x:t>
        </x:is>
      </x:c>
      <x:c r="F32" s="6" t="inlineStr">
        <x:is>
          <x:t>Inteligência</x:t>
        </x:is>
      </x:c>
      <x:c r="G32" s="6" t="inlineStr">
        <x:is>
          <x:t>cobertura, performance, drift</x:t>
        </x:is>
      </x:c>
      <x:c r="H32" s="6" t="inlineStr">
        <x:is>
          <x:t>auditabilidade</x:t>
        </x:is>
      </x:c>
      <x:c r="I32" s="6" t="inlineStr">
        <x:is>
          <x:t>Possível</x:t>
        </x:is>
      </x:c>
      <x:c r="J32" s="6" t="inlineStr">
        <x:is>
          <x:t>60 meses</x:t>
        </x:is>
      </x:c>
      <x:c r="K32" s="6" t="inlineStr">
        <x:is>
          <x:t>log reproduzível</x:t>
        </x:is>
      </x:c>
    </x:row>
  </x:sheetData>
  <x:autoFilter ref="A5:K32"/>
  <x:mergeCells count="2">
    <x:mergeCell ref="A1:K2"/>
    <x:mergeCell ref="A3:K3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11.xml><?xml version="1.0" encoding="utf-8"?>
<x:worksheet xmlns:x="http://schemas.openxmlformats.org/spreadsheetml/2006/main">
  <x:sheetPr>
    <x:tabColor rgb="00008D92"/>
    <x:outlinePr summaryBelow="1" summaryRight="1"/>
    <x:pageSetUpPr fitToPage="1"/>
  </x:sheetPr>
  <x:dimension ref="A1:L20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28" customWidth="1"/>
    <x:col min="2" max="2" width="18" customWidth="1"/>
    <x:col min="3" max="3" width="18" customWidth="1"/>
    <x:col min="4" max="4" width="24" customWidth="1"/>
    <x:col min="5" max="5" width="16" customWidth="1"/>
    <x:col min="6" max="6" width="42" customWidth="1"/>
    <x:col min="7" max="7" width="34" customWidth="1"/>
    <x:col min="8" max="8" width="20" customWidth="1"/>
    <x:col min="9" max="9" width="14" customWidth="1"/>
    <x:col min="10" max="10" width="36" customWidth="1"/>
    <x:col min="11" max="11" width="22" customWidth="1"/>
    <x:col min="12" max="12" width="10" customWidth="1"/>
  </x:cols>
  <x:sheetData>
    <x:row r="1" ht="26" customHeight="1">
      <x:c r="A1" s="1" t="inlineStr">
        <x:is>
          <x:t>Mapa de integrações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 ht="24" customHeight="1">
      <x:c r="A3" s="3" t="inlineStr">
        <x:is>
          <x:t>Integrações devem preservar identidade, consentimento, linhagem e SLA de decisão.</x:t>
        </x:is>
      </x:c>
    </x:row>
    <x:row r="5" ht="34" customHeight="1">
      <x:c r="A5" s="44" t="inlineStr">
        <x:is>
          <x:t>Sistema / fonte</x:t>
        </x:is>
      </x:c>
      <x:c r="B5" s="44" t="inlineStr">
        <x:is>
          <x:t>Domínio</x:t>
        </x:is>
      </x:c>
      <x:c r="C5" s="44" t="inlineStr">
        <x:is>
          <x:t>Direção</x:t>
        </x:is>
      </x:c>
      <x:c r="D5" s="44" t="inlineStr">
        <x:is>
          <x:t>Método</x:t>
        </x:is>
      </x:c>
      <x:c r="E5" s="44" t="inlineStr">
        <x:is>
          <x:t>Frequência</x:t>
        </x:is>
      </x:c>
      <x:c r="F5" s="44" t="inlineStr">
        <x:is>
          <x:t>Dados principais</x:t>
        </x:is>
      </x:c>
      <x:c r="G5" s="44" t="inlineStr">
        <x:is>
          <x:t>Chave de integração</x:t>
        </x:is>
      </x:c>
      <x:c r="H5" s="44" t="inlineStr">
        <x:is>
          <x:t>Autenticação</x:t>
        </x:is>
      </x:c>
      <x:c r="I5" s="44" t="inlineStr">
        <x:is>
          <x:t>SLA</x:t>
        </x:is>
      </x:c>
      <x:c r="J5" s="44" t="inlineStr">
        <x:is>
          <x:t>Tratamento de erro</x:t>
        </x:is>
      </x:c>
      <x:c r="K5" s="44" t="inlineStr">
        <x:is>
          <x:t>Owner</x:t>
        </x:is>
      </x:c>
      <x:c r="L5" s="44" t="inlineStr">
        <x:is>
          <x:t>Fase</x:t>
        </x:is>
      </x:c>
    </x:row>
    <x:row r="6" ht="56" customHeight="1">
      <x:c r="A6" s="6" t="inlineStr">
        <x:is>
          <x:t>HRIS / folha</x:t>
        </x:is>
      </x:c>
      <x:c r="B6" s="6" t="inlineStr">
        <x:is>
          <x:t>Pessoas</x:t>
        </x:is>
      </x:c>
      <x:c r="C6" s="6" t="inlineStr">
        <x:is>
          <x:t>Entrada</x:t>
        </x:is>
      </x:c>
      <x:c r="D6" s="6" t="inlineStr">
        <x:is>
          <x:t>API / arquivo seguro</x:t>
        </x:is>
      </x:c>
      <x:c r="E6" s="6" t="inlineStr">
        <x:is>
          <x:t>Diária</x:t>
        </x:is>
      </x:c>
      <x:c r="F6" s="6" t="inlineStr">
        <x:is>
          <x:t>vínculo, função, custo, status</x:t>
        </x:is>
      </x:c>
      <x:c r="G6" s="6" t="inlineStr">
        <x:is>
          <x:t>person_external_id + company_id</x:t>
        </x:is>
      </x:c>
      <x:c r="H6" s="6" t="inlineStr">
        <x:is>
          <x:t>OAuth2 / SFTP</x:t>
        </x:is>
      </x:c>
      <x:c r="I6" s="6" t="inlineStr">
        <x:is>
          <x:t>D+1</x:t>
        </x:is>
      </x:c>
      <x:c r="J6" s="6" t="inlineStr">
        <x:is>
          <x:t>quarentena + reconciliação</x:t>
        </x:is>
      </x:c>
      <x:c r="K6" s="6" t="inlineStr">
        <x:is>
          <x:t>Data cliente</x:t>
        </x:is>
      </x:c>
      <x:c r="L6" s="6" t="inlineStr">
        <x:is>
          <x:t>M1</x:t>
        </x:is>
      </x:c>
    </x:row>
    <x:row r="7" ht="56" customHeight="1">
      <x:c r="A7" s="7" t="inlineStr">
        <x:is>
          <x:t>ATS</x:t>
        </x:is>
      </x:c>
      <x:c r="B7" s="7" t="inlineStr">
        <x:is>
          <x:t>Recrutamento</x:t>
        </x:is>
      </x:c>
      <x:c r="C7" s="7" t="inlineStr">
        <x:is>
          <x:t>Bidirecional</x:t>
        </x:is>
      </x:c>
      <x:c r="D7" s="7" t="inlineStr">
        <x:is>
          <x:t>API / webhook</x:t>
        </x:is>
      </x:c>
      <x:c r="E7" s="7" t="inlineStr">
        <x:is>
          <x:t>Tempo real</x:t>
        </x:is>
      </x:c>
      <x:c r="F7" s="7" t="inlineStr">
        <x:is>
          <x:t>vaga, candidato, estágio, contratação</x:t>
        </x:is>
      </x:c>
      <x:c r="G7" s="7" t="inlineStr">
        <x:is>
          <x:t>opportunity_id / person_id</x:t>
        </x:is>
      </x:c>
      <x:c r="H7" s="7" t="inlineStr">
        <x:is>
          <x:t>OAuth2</x:t>
        </x:is>
      </x:c>
      <x:c r="I7" s="7" t="inlineStr">
        <x:is>
          <x:t>15 min</x:t>
        </x:is>
      </x:c>
      <x:c r="J7" s="7" t="inlineStr">
        <x:is>
          <x:t>retry idempotente</x:t>
        </x:is>
      </x:c>
      <x:c r="K7" s="7" t="inlineStr">
        <x:is>
          <x:t>Talent Acquisition</x:t>
        </x:is>
      </x:c>
      <x:c r="L7" s="7" t="inlineStr">
        <x:is>
          <x:t>M1</x:t>
        </x:is>
      </x:c>
    </x:row>
    <x:row r="8" ht="56" customHeight="1">
      <x:c r="A8" s="6" t="inlineStr">
        <x:is>
          <x:t>LMS</x:t>
        </x:is>
      </x:c>
      <x:c r="B8" s="6" t="inlineStr">
        <x:is>
          <x:t>Desenvolvimento</x:t>
        </x:is>
      </x:c>
      <x:c r="C8" s="6" t="inlineStr">
        <x:is>
          <x:t>Bidirecional</x:t>
        </x:is>
      </x:c>
      <x:c r="D8" s="6" t="inlineStr">
        <x:is>
          <x:t>API / xAPI</x:t>
        </x:is>
      </x:c>
      <x:c r="E8" s="6" t="inlineStr">
        <x:is>
          <x:t>Tempo real</x:t>
        </x:is>
      </x:c>
      <x:c r="F8" s="6" t="inlineStr">
        <x:is>
          <x:t>trilha, inscrição, conclusão, avaliação</x:t>
        </x:is>
      </x:c>
      <x:c r="G8" s="6" t="inlineStr">
        <x:is>
          <x:t>person_id + journey_id</x:t>
        </x:is>
      </x:c>
      <x:c r="H8" s="6" t="inlineStr">
        <x:is>
          <x:t>OAuth2</x:t>
        </x:is>
      </x:c>
      <x:c r="I8" s="6" t="inlineStr">
        <x:is>
          <x:t>1 h</x:t>
        </x:is>
      </x:c>
      <x:c r="J8" s="6" t="inlineStr">
        <x:is>
          <x:t>dead-letter queue</x:t>
        </x:is>
      </x:c>
      <x:c r="K8" s="6" t="inlineStr">
        <x:is>
          <x:t>L&amp;D</x:t>
        </x:is>
      </x:c>
      <x:c r="L8" s="6" t="inlineStr">
        <x:is>
          <x:t>M1</x:t>
        </x:is>
      </x:c>
    </x:row>
    <x:row r="9" ht="56" customHeight="1">
      <x:c r="A9" s="7" t="inlineStr">
        <x:is>
          <x:t>CRM HUB</x:t>
        </x:is>
      </x:c>
      <x:c r="B9" s="7" t="inlineStr">
        <x:is>
          <x:t>Comercial</x:t>
        </x:is>
      </x:c>
      <x:c r="C9" s="7" t="inlineStr">
        <x:is>
          <x:t>Bidirecional</x:t>
        </x:is>
      </x:c>
      <x:c r="D9" s="7" t="inlineStr">
        <x:is>
          <x:t>API / webhook</x:t>
        </x:is>
      </x:c>
      <x:c r="E9" s="7" t="inlineStr">
        <x:is>
          <x:t>Tempo real</x:t>
        </x:is>
      </x:c>
      <x:c r="F9" s="7" t="inlineStr">
        <x:is>
          <x:t>empresa, oportunidade, contrato, touchpoint</x:t>
        </x:is>
      </x:c>
      <x:c r="G9" s="7" t="inlineStr">
        <x:is>
          <x:t>company_id / opportunity_id</x:t>
        </x:is>
      </x:c>
      <x:c r="H9" s="7" t="inlineStr">
        <x:is>
          <x:t>OAuth2</x:t>
        </x:is>
      </x:c>
      <x:c r="I9" s="7" t="inlineStr">
        <x:is>
          <x:t>15 min</x:t>
        </x:is>
      </x:c>
      <x:c r="J9" s="7" t="inlineStr">
        <x:is>
          <x:t>retry + conciliação</x:t>
        </x:is>
      </x:c>
      <x:c r="K9" s="7" t="inlineStr">
        <x:is>
          <x:t>RevOps</x:t>
        </x:is>
      </x:c>
      <x:c r="L9" s="7" t="inlineStr">
        <x:is>
          <x:t>M0</x:t>
        </x:is>
      </x:c>
    </x:row>
    <x:row r="10" ht="56" customHeight="1">
      <x:c r="A10" s="6" t="inlineStr">
        <x:is>
          <x:t>ERP / financeiro HUB</x:t>
        </x:is>
      </x:c>
      <x:c r="B10" s="6" t="inlineStr">
        <x:is>
          <x:t>Financeiro</x:t>
        </x:is>
      </x:c>
      <x:c r="C10" s="6" t="inlineStr">
        <x:is>
          <x:t>Entrada</x:t>
        </x:is>
      </x:c>
      <x:c r="D10" s="6" t="inlineStr">
        <x:is>
          <x:t>API / arquivo</x:t>
        </x:is>
      </x:c>
      <x:c r="E10" s="6" t="inlineStr">
        <x:is>
          <x:t>Diária</x:t>
        </x:is>
      </x:c>
      <x:c r="F10" s="6" t="inlineStr">
        <x:is>
          <x:t>receita, custo, margem, competência</x:t>
        </x:is>
      </x:c>
      <x:c r="G10" s="6" t="inlineStr">
        <x:is>
          <x:t>contract_id / transaction_id</x:t>
        </x:is>
      </x:c>
      <x:c r="H10" s="6" t="inlineStr">
        <x:is>
          <x:t>OAuth2 / SFTP</x:t>
        </x:is>
      </x:c>
      <x:c r="I10" s="6" t="inlineStr">
        <x:is>
          <x:t>D+1</x:t>
        </x:is>
      </x:c>
      <x:c r="J10" s="6" t="inlineStr">
        <x:is>
          <x:t>conciliação contábil</x:t>
        </x:is>
      </x:c>
      <x:c r="K10" s="6" t="inlineStr">
        <x:is>
          <x:t>Financeiro HUB</x:t>
        </x:is>
      </x:c>
      <x:c r="L10" s="6" t="inlineStr">
        <x:is>
          <x:t>M1</x:t>
        </x:is>
      </x:c>
    </x:row>
    <x:row r="11" ht="56" customHeight="1">
      <x:c r="A11" s="7" t="inlineStr">
        <x:is>
          <x:t>ERP / financeiro cliente</x:t>
        </x:is>
      </x:c>
      <x:c r="B11" s="7" t="inlineStr">
        <x:is>
          <x:t>Impacto</x:t>
        </x:is>
      </x:c>
      <x:c r="C11" s="7" t="inlineStr">
        <x:is>
          <x:t>Entrada</x:t>
        </x:is>
      </x:c>
      <x:c r="D11" s="7" t="inlineStr">
        <x:is>
          <x:t>data share / API</x:t>
        </x:is>
      </x:c>
      <x:c r="E11" s="7" t="inlineStr">
        <x:is>
          <x:t>Mensal</x:t>
        </x:is>
      </x:c>
      <x:c r="F11" s="7" t="inlineStr">
        <x:is>
          <x:t>KPI financeiro, custo, saving, margem</x:t>
        </x:is>
      </x:c>
      <x:c r="G11" s="7" t="inlineStr">
        <x:is>
          <x:t>company_id + metric_id + period</x:t>
        </x:is>
      </x:c>
      <x:c r="H11" s="7" t="inlineStr">
        <x:is>
          <x:t>Private link</x:t>
        </x:is>
      </x:c>
      <x:c r="I11" s="7" t="inlineStr">
        <x:is>
          <x:t>D+5</x:t>
        </x:is>
      </x:c>
      <x:c r="J11" s="7" t="inlineStr">
        <x:is>
          <x:t>aprovação da controladoria</x:t>
        </x:is>
      </x:c>
      <x:c r="K11" s="7" t="inlineStr">
        <x:is>
          <x:t>Financeiro cliente</x:t>
        </x:is>
      </x:c>
      <x:c r="L11" s="7" t="inlineStr">
        <x:is>
          <x:t>M2</x:t>
        </x:is>
      </x:c>
    </x:row>
    <x:row r="12" ht="56" customHeight="1">
      <x:c r="A12" s="6" t="inlineStr">
        <x:is>
          <x:t>Compras / SRM</x:t>
        </x:is>
      </x:c>
      <x:c r="B12" s="6" t="inlineStr">
        <x:is>
          <x:t>Fornecedores</x:t>
        </x:is>
      </x:c>
      <x:c r="C12" s="6" t="inlineStr">
        <x:is>
          <x:t>Bidirecional</x:t>
        </x:is>
      </x:c>
      <x:c r="D12" s="6" t="inlineStr">
        <x:is>
          <x:t>API / arquivo</x:t>
        </x:is>
      </x:c>
      <x:c r="E12" s="6" t="inlineStr">
        <x:is>
          <x:t>Diária</x:t>
        </x:is>
      </x:c>
      <x:c r="F12" s="6" t="inlineStr">
        <x:is>
          <x:t>categoria, homologação, desempenho, contrato</x:t>
        </x:is>
      </x:c>
      <x:c r="G12" s="6" t="inlineStr">
        <x:is>
          <x:t>supplier_id / category_id</x:t>
        </x:is>
      </x:c>
      <x:c r="H12" s="6" t="inlineStr">
        <x:is>
          <x:t>OAuth2 / SFTP</x:t>
        </x:is>
      </x:c>
      <x:c r="I12" s="6" t="inlineStr">
        <x:is>
          <x:t>D+1</x:t>
        </x:is>
      </x:c>
      <x:c r="J12" s="6" t="inlineStr">
        <x:is>
          <x:t>quarentena por categoria</x:t>
        </x:is>
      </x:c>
      <x:c r="K12" s="6" t="inlineStr">
        <x:is>
          <x:t>Compras</x:t>
        </x:is>
      </x:c>
      <x:c r="L12" s="6" t="inlineStr">
        <x:is>
          <x:t>M1</x:t>
        </x:is>
      </x:c>
    </x:row>
    <x:row r="13" ht="56" customHeight="1">
      <x:c r="A13" s="7" t="inlineStr">
        <x:is>
          <x:t>GRC / riscos</x:t>
        </x:is>
      </x:c>
      <x:c r="B13" s="7" t="inlineStr">
        <x:is>
          <x:t>Risco</x:t>
        </x:is>
      </x:c>
      <x:c r="C13" s="7" t="inlineStr">
        <x:is>
          <x:t>Entrada</x:t>
        </x:is>
      </x:c>
      <x:c r="D13" s="7" t="inlineStr">
        <x:is>
          <x:t>API / arquivo</x:t>
        </x:is>
      </x:c>
      <x:c r="E13" s="7" t="inlineStr">
        <x:is>
          <x:t>Mensal</x:t>
        </x:is>
      </x:c>
      <x:c r="F13" s="7" t="inlineStr">
        <x:is>
          <x:t>risco, probabilidade, impacto, controle</x:t>
        </x:is>
      </x:c>
      <x:c r="G13" s="7" t="inlineStr">
        <x:is>
          <x:t>risk_id</x:t>
        </x:is>
      </x:c>
      <x:c r="H13" s="7" t="inlineStr">
        <x:is>
          <x:t>OAuth2 / SFTP</x:t>
        </x:is>
      </x:c>
      <x:c r="I13" s="7" t="inlineStr">
        <x:is>
          <x:t>D+3</x:t>
        </x:is>
      </x:c>
      <x:c r="J13" s="7" t="inlineStr">
        <x:is>
          <x:t>revisão de especialista</x:t>
        </x:is>
      </x:c>
      <x:c r="K13" s="7" t="inlineStr">
        <x:is>
          <x:t>Riscos</x:t>
        </x:is>
      </x:c>
      <x:c r="L13" s="7" t="inlineStr">
        <x:is>
          <x:t>M2</x:t>
        </x:is>
      </x:c>
    </x:row>
    <x:row r="14" ht="56" customHeight="1">
      <x:c r="A14" s="6" t="inlineStr">
        <x:is>
          <x:t>BI cliente</x:t>
        </x:is>
      </x:c>
      <x:c r="B14" s="6" t="inlineStr">
        <x:is>
          <x:t>Indicadores</x:t>
        </x:is>
      </x:c>
      <x:c r="C14" s="6" t="inlineStr">
        <x:is>
          <x:t>Entrada</x:t>
        </x:is>
      </x:c>
      <x:c r="D14" s="6" t="inlineStr">
        <x:is>
          <x:t>data share / arquivo</x:t>
        </x:is>
      </x:c>
      <x:c r="E14" s="6" t="inlineStr">
        <x:is>
          <x:t>Mensal</x:t>
        </x:is>
      </x:c>
      <x:c r="F14" s="6" t="inlineStr">
        <x:is>
          <x:t>produtividade, retenção, receita, custo</x:t>
        </x:is>
      </x:c>
      <x:c r="G14" s="6" t="inlineStr">
        <x:is>
          <x:t>metric_id + period + cohort</x:t>
        </x:is>
      </x:c>
      <x:c r="H14" s="6" t="inlineStr">
        <x:is>
          <x:t>Private link</x:t>
        </x:is>
      </x:c>
      <x:c r="I14" s="6" t="inlineStr">
        <x:is>
          <x:t>D+5</x:t>
        </x:is>
      </x:c>
      <x:c r="J14" s="6" t="inlineStr">
        <x:is>
          <x:t>validação semântica</x:t>
        </x:is>
      </x:c>
      <x:c r="K14" s="6" t="inlineStr">
        <x:is>
          <x:t>People Analytics / BI</x:t>
        </x:is>
      </x:c>
      <x:c r="L14" s="6" t="inlineStr">
        <x:is>
          <x:t>M2</x:t>
        </x:is>
      </x:c>
    </x:row>
    <x:row r="15" ht="56" customHeight="1">
      <x:c r="A15" s="7" t="inlineStr">
        <x:is>
          <x:t>Plataforma HUB</x:t>
        </x:is>
      </x:c>
      <x:c r="B15" s="7" t="inlineStr">
        <x:is>
          <x:t>Produto</x:t>
        </x:is>
      </x:c>
      <x:c r="C15" s="7" t="inlineStr">
        <x:is>
          <x:t>Saída</x:t>
        </x:is>
      </x:c>
      <x:c r="D15" s="7" t="inlineStr">
        <x:is>
          <x:t>event stream</x:t>
        </x:is>
      </x:c>
      <x:c r="E15" s="7" t="inlineStr">
        <x:is>
          <x:t>Tempo real</x:t>
        </x:is>
      </x:c>
      <x:c r="F15" s="7" t="inlineStr">
        <x:is>
          <x:t>eventos, jornadas, recomendações</x:t>
        </x:is>
      </x:c>
      <x:c r="G15" s="7" t="inlineStr">
        <x:is>
          <x:t>event_id / person_id</x:t>
        </x:is>
      </x:c>
      <x:c r="H15" s="7" t="inlineStr">
        <x:is>
          <x:t>token / mTLS</x:t>
        </x:is>
      </x:c>
      <x:c r="I15" s="7" t="inlineStr">
        <x:is>
          <x:t>&lt;5 min</x:t>
        </x:is>
      </x:c>
      <x:c r="J15" s="7" t="inlineStr">
        <x:is>
          <x:t>fila + replay</x:t>
        </x:is>
      </x:c>
      <x:c r="K15" s="7" t="inlineStr">
        <x:is>
          <x:t>Produto</x:t>
        </x:is>
      </x:c>
      <x:c r="L15" s="7" t="inlineStr">
        <x:is>
          <x:t>M0</x:t>
        </x:is>
      </x:c>
    </x:row>
    <x:row r="16" ht="56" customHeight="1">
      <x:c r="A16" s="6" t="inlineStr">
        <x:is>
          <x:t>Motor de inteligência</x:t>
        </x:is>
      </x:c>
      <x:c r="B16" s="6" t="inlineStr">
        <x:is>
          <x:t>IA</x:t>
        </x:is>
      </x:c>
      <x:c r="C16" s="6" t="inlineStr">
        <x:is>
          <x:t>Bidirecional</x:t>
        </x:is>
      </x:c>
      <x:c r="D16" s="6" t="inlineStr">
        <x:is>
          <x:t>API</x:t>
        </x:is>
      </x:c>
      <x:c r="E16" s="6" t="inlineStr">
        <x:is>
          <x:t>Tempo real</x:t>
        </x:is>
      </x:c>
      <x:c r="F16" s="6" t="inlineStr">
        <x:is>
          <x:t>features, score, explicação, versão</x:t>
        </x:is>
      </x:c>
      <x:c r="G16" s="6" t="inlineStr">
        <x:is>
          <x:t>model_version + object_id</x:t>
        </x:is>
      </x:c>
      <x:c r="H16" s="6" t="inlineStr">
        <x:is>
          <x:t>mTLS</x:t>
        </x:is>
      </x:c>
      <x:c r="I16" s="6" t="inlineStr">
        <x:is>
          <x:t>&lt;2 s</x:t>
        </x:is>
      </x:c>
      <x:c r="J16" s="6" t="inlineStr">
        <x:is>
          <x:t>fallback por regra</x:t>
        </x:is>
      </x:c>
      <x:c r="K16" s="6" t="inlineStr">
        <x:is>
          <x:t>Data Science</x:t>
        </x:is>
      </x:c>
      <x:c r="L16" s="6" t="inlineStr">
        <x:is>
          <x:t>M1</x:t>
        </x:is>
      </x:c>
    </x:row>
    <x:row r="17" ht="56" customHeight="1">
      <x:c r="A17" s="7" t="inlineStr">
        <x:is>
          <x:t>CMP / consentimento</x:t>
        </x:is>
      </x:c>
      <x:c r="B17" s="7" t="inlineStr">
        <x:is>
          <x:t>Privacidade</x:t>
        </x:is>
      </x:c>
      <x:c r="C17" s="7" t="inlineStr">
        <x:is>
          <x:t>Bidirecional</x:t>
        </x:is>
      </x:c>
      <x:c r="D17" s="7" t="inlineStr">
        <x:is>
          <x:t>API / webhook</x:t>
        </x:is>
      </x:c>
      <x:c r="E17" s="7" t="inlineStr">
        <x:is>
          <x:t>Tempo real</x:t>
        </x:is>
      </x:c>
      <x:c r="F17" s="7" t="inlineStr">
        <x:is>
          <x:t>finalidade, status, versão, revogação</x:t>
        </x:is>
      </x:c>
      <x:c r="G17" s="7" t="inlineStr">
        <x:is>
          <x:t>person_id + purpose</x:t>
        </x:is>
      </x:c>
      <x:c r="H17" s="7" t="inlineStr">
        <x:is>
          <x:t>OAuth2</x:t>
        </x:is>
      </x:c>
      <x:c r="I17" s="7" t="inlineStr">
        <x:is>
          <x:t>&lt;5 min</x:t>
        </x:is>
      </x:c>
      <x:c r="J17" s="7" t="inlineStr">
        <x:is>
          <x:t>bloqueio preventivo</x:t>
        </x:is>
      </x:c>
      <x:c r="K17" s="7" t="inlineStr">
        <x:is>
          <x:t>DPO</x:t>
        </x:is>
      </x:c>
      <x:c r="L17" s="7" t="inlineStr">
        <x:is>
          <x:t>M0</x:t>
        </x:is>
      </x:c>
    </x:row>
    <x:row r="18" ht="56" customHeight="1">
      <x:c r="A18" s="6" t="inlineStr">
        <x:is>
          <x:t>Mídia / analytics</x:t>
        </x:is>
      </x:c>
      <x:c r="B18" s="6" t="inlineStr">
        <x:is>
          <x:t>Marketing</x:t>
        </x:is>
      </x:c>
      <x:c r="C18" s="6" t="inlineStr">
        <x:is>
          <x:t>Entrada</x:t>
        </x:is>
      </x:c>
      <x:c r="D18" s="6" t="inlineStr">
        <x:is>
          <x:t>API</x:t>
        </x:is>
      </x:c>
      <x:c r="E18" s="6" t="inlineStr">
        <x:is>
          <x:t>Diária</x:t>
        </x:is>
      </x:c>
      <x:c r="F18" s="6" t="inlineStr">
        <x:is>
          <x:t>campanha, custo, impressão, clique, conversão</x:t>
        </x:is>
      </x:c>
      <x:c r="G18" s="6" t="inlineStr">
        <x:is>
          <x:t>campaign_id / UTM</x:t>
        </x:is>
      </x:c>
      <x:c r="H18" s="6" t="inlineStr">
        <x:is>
          <x:t>OAuth2</x:t>
        </x:is>
      </x:c>
      <x:c r="I18" s="6" t="inlineStr">
        <x:is>
          <x:t>D+1</x:t>
        </x:is>
      </x:c>
      <x:c r="J18" s="6" t="inlineStr">
        <x:is>
          <x:t>deduplicação cross-channel</x:t>
        </x:is>
      </x:c>
      <x:c r="K18" s="6" t="inlineStr">
        <x:is>
          <x:t>Marketing</x:t>
        </x:is>
      </x:c>
      <x:c r="L18" s="6" t="inlineStr">
        <x:is>
          <x:t>M1</x:t>
        </x:is>
      </x:c>
    </x:row>
    <x:row r="19" ht="56" customHeight="1">
      <x:c r="A19" s="7" t="inlineStr">
        <x:is>
          <x:t>Entidade / associados</x:t>
        </x:is>
      </x:c>
      <x:c r="B19" s="7" t="inlineStr">
        <x:is>
          <x:t>Ecossistema</x:t>
        </x:is>
      </x:c>
      <x:c r="C19" s="7" t="inlineStr">
        <x:is>
          <x:t>Bidirecional</x:t>
        </x:is>
      </x:c>
      <x:c r="D19" s="7" t="inlineStr">
        <x:is>
          <x:t>API / arquivo</x:t>
        </x:is>
      </x:c>
      <x:c r="E19" s="7" t="inlineStr">
        <x:is>
          <x:t>Diária</x:t>
        </x:is>
      </x:c>
      <x:c r="F19" s="7" t="inlineStr">
        <x:is>
          <x:t>associado, vínculo, tier, renovação</x:t>
        </x:is>
      </x:c>
      <x:c r="G19" s="7" t="inlineStr">
        <x:is>
          <x:t>entity_id + company_id</x:t>
        </x:is>
      </x:c>
      <x:c r="H19" s="7" t="inlineStr">
        <x:is>
          <x:t>OAuth2 / SFTP</x:t>
        </x:is>
      </x:c>
      <x:c r="I19" s="7" t="inlineStr">
        <x:is>
          <x:t>D+1</x:t>
        </x:is>
      </x:c>
      <x:c r="J19" s="7" t="inlineStr">
        <x:is>
          <x:t>reconciliação de vigência</x:t>
        </x:is>
      </x:c>
      <x:c r="K19" s="7" t="inlineStr">
        <x:is>
          <x:t>Entidade</x:t>
        </x:is>
      </x:c>
      <x:c r="L19" s="7" t="inlineStr">
        <x:is>
          <x:t>M0</x:t>
        </x:is>
      </x:c>
    </x:row>
    <x:row r="20" ht="56" customHeight="1">
      <x:c r="A20" s="6" t="inlineStr">
        <x:is>
          <x:t>Data warehouse / lakehouse</x:t>
        </x:is>
      </x:c>
      <x:c r="B20" s="6" t="inlineStr">
        <x:is>
          <x:t>Todos</x:t>
        </x:is>
      </x:c>
      <x:c r="C20" s="6" t="inlineStr">
        <x:is>
          <x:t>Bidirecional</x:t>
        </x:is>
      </x:c>
      <x:c r="D20" s="6" t="inlineStr">
        <x:is>
          <x:t>ELT / data share</x:t>
        </x:is>
      </x:c>
      <x:c r="E20" s="6" t="inlineStr">
        <x:is>
          <x:t>Horária/diária</x:t>
        </x:is>
      </x:c>
      <x:c r="F20" s="6" t="inlineStr">
        <x:is>
          <x:t>dimensões, fatos, marts</x:t>
        </x:is>
      </x:c>
      <x:c r="G20" s="6" t="inlineStr">
        <x:is>
          <x:t>surrogate keys + business keys</x:t>
        </x:is>
      </x:c>
      <x:c r="H20" s="6" t="inlineStr">
        <x:is>
          <x:t>IAM / private link</x:t>
        </x:is>
      </x:c>
      <x:c r="I20" s="6" t="inlineStr">
        <x:is>
          <x:t>1 h</x:t>
        </x:is>
      </x:c>
      <x:c r="J20" s="6" t="inlineStr">
        <x:is>
          <x:t>observabilidade e rollback</x:t>
        </x:is>
      </x:c>
      <x:c r="K20" s="6" t="inlineStr">
        <x:is>
          <x:t>Data Engineering</x:t>
        </x:is>
      </x:c>
      <x:c r="L20" s="6" t="inlineStr">
        <x:is>
          <x:t>M0</x:t>
        </x:is>
      </x:c>
    </x:row>
  </x:sheetData>
  <x:autoFilter ref="A5:L20"/>
  <x:mergeCells count="2">
    <x:mergeCell ref="A3:L3"/>
    <x:mergeCell ref="A1:L2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12.xml><?xml version="1.0" encoding="utf-8"?>
<x:worksheet xmlns:x="http://schemas.openxmlformats.org/spreadsheetml/2006/main">
  <x:sheetPr>
    <x:tabColor rgb="00F2B84B"/>
    <x:outlinePr summaryBelow="1" summaryRight="1"/>
    <x:pageSetUpPr fitToPage="1"/>
  </x:sheetPr>
  <x:dimension ref="A1:J28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20" customWidth="1"/>
    <x:col min="2" max="2" width="40" customWidth="1"/>
    <x:col min="3" max="3" width="40" customWidth="1"/>
    <x:col min="4" max="4" width="30" customWidth="1"/>
    <x:col min="5" max="5" width="22" customWidth="1"/>
    <x:col min="6" max="6" width="16" customWidth="1"/>
    <x:col min="7" max="7" width="16" customWidth="1"/>
    <x:col min="8" max="8" width="18" customWidth="1"/>
    <x:col min="9" max="9" width="24" customWidth="1"/>
    <x:col min="10" max="10" width="10" customWidth="1"/>
  </x:cols>
  <x:sheetData>
    <x:row r="1" ht="26" customHeight="1">
      <x:c r="A1" s="1" t="inlineStr">
        <x:is>
          <x:t>Governança, LGPD e confiabilidade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 ht="24" customHeight="1">
      <x:c r="A3" s="3" t="inlineStr">
        <x:is>
          <x:t>Regras mínimas para que a prova de valor seja legal, reproduzível e defensável.</x:t>
        </x:is>
      </x:c>
    </x:row>
    <x:row r="5" ht="34" customHeight="1">
      <x:c r="A5" s="44" t="inlineStr">
        <x:is>
          <x:t>Dimensão</x:t>
        </x:is>
      </x:c>
      <x:c r="B5" s="44" t="inlineStr">
        <x:is>
          <x:t>Regra</x:t>
        </x:is>
      </x:c>
      <x:c r="C5" s="44" t="inlineStr">
        <x:is>
          <x:t>Aplicação prática</x:t>
        </x:is>
      </x:c>
      <x:c r="D5" s="44" t="inlineStr">
        <x:is>
          <x:t>Evidência / artefato</x:t>
        </x:is>
      </x:c>
      <x:c r="E5" s="44" t="inlineStr">
        <x:is>
          <x:t>Owner</x:t>
        </x:is>
      </x:c>
      <x:c r="F5" s="44" t="inlineStr">
        <x:is>
          <x:t>Cadência</x:t>
        </x:is>
      </x:c>
      <x:c r="G5" s="44" t="inlineStr">
        <x:is>
          <x:t>Severidade</x:t>
        </x:is>
      </x:c>
      <x:c r="H5" s="44" t="inlineStr">
        <x:is>
          <x:t>Bloqueia publicação?</x:t>
        </x:is>
      </x:c>
      <x:c r="I5" s="44" t="inlineStr">
        <x:is>
          <x:t>Indicador</x:t>
        </x:is>
      </x:c>
      <x:c r="J5" s="44" t="inlineStr">
        <x:is>
          <x:t>Fase</x:t>
        </x:is>
      </x:c>
    </x:row>
    <x:row r="6" ht="54" customHeight="1">
      <x:c r="A6" s="6" t="inlineStr">
        <x:is>
          <x:t>Finalidade</x:t>
        </x:is>
      </x:c>
      <x:c r="B6" s="6" t="inlineStr">
        <x:is>
          <x:t>Cada uso de dado deve ter finalidade registrada.</x:t>
        </x:is>
      </x:c>
      <x:c r="C6" s="6" t="inlineStr">
        <x:is>
          <x:t>mapear campo→finalidade→produto</x:t>
        </x:is>
      </x:c>
      <x:c r="D6" s="6" t="inlineStr">
        <x:is>
          <x:t>ROPA / catálogo</x:t>
        </x:is>
      </x:c>
      <x:c r="E6" s="6" t="inlineStr">
        <x:is>
          <x:t>DPO</x:t>
        </x:is>
      </x:c>
      <x:c r="F6" s="6" t="inlineStr">
        <x:is>
          <x:t>Release</x:t>
        </x:is>
      </x:c>
      <x:c r="G6" s="6" t="inlineStr">
        <x:is>
          <x:t>Crítica</x:t>
        </x:is>
      </x:c>
      <x:c r="H6" s="6" t="inlineStr">
        <x:is>
          <x:t>Sim</x:t>
        </x:is>
      </x:c>
      <x:c r="I6" s="6" t="inlineStr">
        <x:is>
          <x:t>% campos com finalidade</x:t>
        </x:is>
      </x:c>
      <x:c r="J6" s="6" t="inlineStr">
        <x:is>
          <x:t>M0</x:t>
        </x:is>
      </x:c>
    </x:row>
    <x:row r="7" ht="54" customHeight="1">
      <x:c r="A7" s="7" t="inlineStr">
        <x:is>
          <x:t>Base legal</x:t>
        </x:is>
      </x:c>
      <x:c r="B7" s="7" t="inlineStr">
        <x:is>
          <x:t>Base legal e consentimento devem ser verificáveis.</x:t>
        </x:is>
      </x:c>
      <x:c r="C7" s="7" t="inlineStr">
        <x:is>
          <x:t>gate antes de feature/modelo</x:t>
        </x:is>
      </x:c>
      <x:c r="D7" s="7" t="inlineStr">
        <x:is>
          <x:t>registro de consentimento</x:t>
        </x:is>
      </x:c>
      <x:c r="E7" s="7" t="inlineStr">
        <x:is>
          <x:t>DPO</x:t>
        </x:is>
      </x:c>
      <x:c r="F7" s="7" t="inlineStr">
        <x:is>
          <x:t>Tempo real</x:t>
        </x:is>
      </x:c>
      <x:c r="G7" s="7" t="inlineStr">
        <x:is>
          <x:t>Crítica</x:t>
        </x:is>
      </x:c>
      <x:c r="H7" s="7" t="inlineStr">
        <x:is>
          <x:t>Sim</x:t>
        </x:is>
      </x:c>
      <x:c r="I7" s="7" t="inlineStr">
        <x:is>
          <x:t>cobertura de consentimento</x:t>
        </x:is>
      </x:c>
      <x:c r="J7" s="7" t="inlineStr">
        <x:is>
          <x:t>M0</x:t>
        </x:is>
      </x:c>
    </x:row>
    <x:row r="8" ht="54" customHeight="1">
      <x:c r="A8" s="6" t="inlineStr">
        <x:is>
          <x:t>Minimização</x:t>
        </x:is>
      </x:c>
      <x:c r="B8" s="6" t="inlineStr">
        <x:is>
          <x:t>Coletar apenas o necessário.</x:t>
        </x:is>
      </x:c>
      <x:c r="C8" s="6" t="inlineStr">
        <x:is>
          <x:t>revisão semestral de campos</x:t>
        </x:is>
      </x:c>
      <x:c r="D8" s="6" t="inlineStr">
        <x:is>
          <x:t>matriz necessidade</x:t>
        </x:is>
      </x:c>
      <x:c r="E8" s="6" t="inlineStr">
        <x:is>
          <x:t>Data Governance</x:t>
        </x:is>
      </x:c>
      <x:c r="F8" s="6" t="inlineStr">
        <x:is>
          <x:t>Semestral</x:t>
        </x:is>
      </x:c>
      <x:c r="G8" s="6" t="inlineStr">
        <x:is>
          <x:t>Alta</x:t>
        </x:is>
      </x:c>
      <x:c r="H8" s="6" t="inlineStr">
        <x:is>
          <x:t>Sim</x:t>
        </x:is>
      </x:c>
      <x:c r="I8" s="6" t="inlineStr">
        <x:is>
          <x:t>% campos justificados</x:t>
        </x:is>
      </x:c>
      <x:c r="J8" s="6" t="inlineStr">
        <x:is>
          <x:t>M0</x:t>
        </x:is>
      </x:c>
    </x:row>
    <x:row r="9" ht="54" customHeight="1">
      <x:c r="A9" s="7" t="inlineStr">
        <x:is>
          <x:t>Segurança</x:t>
        </x:is>
      </x:c>
      <x:c r="B9" s="7" t="inlineStr">
        <x:is>
          <x:t>Dados sensíveis criptografados e segregados.</x:t>
        </x:is>
      </x:c>
      <x:c r="C9" s="7" t="inlineStr">
        <x:is>
          <x:t>KMS, RBAC, logs</x:t>
        </x:is>
      </x:c>
      <x:c r="D9" s="7" t="inlineStr">
        <x:is>
          <x:t>evidência de controle</x:t>
        </x:is>
      </x:c>
      <x:c r="E9" s="7" t="inlineStr">
        <x:is>
          <x:t>Security</x:t>
        </x:is>
      </x:c>
      <x:c r="F9" s="7" t="inlineStr">
        <x:is>
          <x:t>Contínua</x:t>
        </x:is>
      </x:c>
      <x:c r="G9" s="7" t="inlineStr">
        <x:is>
          <x:t>Crítica</x:t>
        </x:is>
      </x:c>
      <x:c r="H9" s="7" t="inlineStr">
        <x:is>
          <x:t>Sim</x:t>
        </x:is>
      </x:c>
      <x:c r="I9" s="7" t="inlineStr">
        <x:is>
          <x:t>incidentes e acessos</x:t>
        </x:is>
      </x:c>
      <x:c r="J9" s="7" t="inlineStr">
        <x:is>
          <x:t>M0</x:t>
        </x:is>
      </x:c>
    </x:row>
    <x:row r="10" ht="54" customHeight="1">
      <x:c r="A10" s="6" t="inlineStr">
        <x:is>
          <x:t>Pseudonimização</x:t>
        </x:is>
      </x:c>
      <x:c r="B10" s="6" t="inlineStr">
        <x:is>
          <x:t>Camada analítica não expõe identidade direta.</x:t>
        </x:is>
      </x:c>
      <x:c r="C10" s="6" t="inlineStr">
        <x:is>
          <x:t>tokens e vault separado</x:t>
        </x:is>
      </x:c>
      <x:c r="D10" s="6" t="inlineStr">
        <x:is>
          <x:t>arquitetura / teste</x:t>
        </x:is>
      </x:c>
      <x:c r="E10" s="6" t="inlineStr">
        <x:is>
          <x:t>Data Engineering</x:t>
        </x:is>
      </x:c>
      <x:c r="F10" s="6" t="inlineStr">
        <x:is>
          <x:t>Release</x:t>
        </x:is>
      </x:c>
      <x:c r="G10" s="6" t="inlineStr">
        <x:is>
          <x:t>Crítica</x:t>
        </x:is>
      </x:c>
      <x:c r="H10" s="6" t="inlineStr">
        <x:is>
          <x:t>Sim</x:t>
        </x:is>
      </x:c>
      <x:c r="I10" s="6" t="inlineStr">
        <x:is>
          <x:t>% fatos pseudonimizados</x:t>
        </x:is>
      </x:c>
      <x:c r="J10" s="6" t="inlineStr">
        <x:is>
          <x:t>M0</x:t>
        </x:is>
      </x:c>
    </x:row>
    <x:row r="11" ht="54" customHeight="1">
      <x:c r="A11" s="7" t="inlineStr">
        <x:is>
          <x:t>Retenção</x:t>
        </x:is>
      </x:c>
      <x:c r="B11" s="7" t="inlineStr">
        <x:is>
          <x:t>Prazo definido por tabela e finalidade.</x:t>
        </x:is>
      </x:c>
      <x:c r="C11" s="7" t="inlineStr">
        <x:is>
          <x:t>política automática de expurgo</x:t>
        </x:is>
      </x:c>
      <x:c r="D11" s="7" t="inlineStr">
        <x:is>
          <x:t>log de deleção</x:t>
        </x:is>
      </x:c>
      <x:c r="E11" s="7" t="inlineStr">
        <x:is>
          <x:t>DPO / Data</x:t>
        </x:is>
      </x:c>
      <x:c r="F11" s="7" t="inlineStr">
        <x:is>
          <x:t>Mensal</x:t>
        </x:is>
      </x:c>
      <x:c r="G11" s="7" t="inlineStr">
        <x:is>
          <x:t>Alta</x:t>
        </x:is>
      </x:c>
      <x:c r="H11" s="7" t="inlineStr">
        <x:is>
          <x:t>Sim</x:t>
        </x:is>
      </x:c>
      <x:c r="I11" s="7" t="inlineStr">
        <x:is>
          <x:t>% tabelas com TTL</x:t>
        </x:is>
      </x:c>
      <x:c r="J11" s="7" t="inlineStr">
        <x:is>
          <x:t>M0</x:t>
        </x:is>
      </x:c>
    </x:row>
    <x:row r="12" ht="54" customHeight="1">
      <x:c r="A12" s="6" t="inlineStr">
        <x:is>
          <x:t>Direitos do titular</x:t>
        </x:is>
      </x:c>
      <x:c r="B12" s="6" t="inlineStr">
        <x:is>
          <x:t>Acesso, correção e revogação aplicáveis.</x:t>
        </x:is>
      </x:c>
      <x:c r="C12" s="6" t="inlineStr">
        <x:is>
          <x:t>workflow de DSAR</x:t>
        </x:is>
      </x:c>
      <x:c r="D12" s="6" t="inlineStr">
        <x:is>
          <x:t>SLA de atendimento</x:t>
        </x:is>
      </x:c>
      <x:c r="E12" s="6" t="inlineStr">
        <x:is>
          <x:t>DPO</x:t>
        </x:is>
      </x:c>
      <x:c r="F12" s="6" t="inlineStr">
        <x:is>
          <x:t>Mensal</x:t>
        </x:is>
      </x:c>
      <x:c r="G12" s="6" t="inlineStr">
        <x:is>
          <x:t>Crítica</x:t>
        </x:is>
      </x:c>
      <x:c r="H12" s="6" t="inlineStr">
        <x:is>
          <x:t>Sim</x:t>
        </x:is>
      </x:c>
      <x:c r="I12" s="6" t="inlineStr">
        <x:is>
          <x:t>SLA DSAR</x:t>
        </x:is>
      </x:c>
      <x:c r="J12" s="6" t="inlineStr">
        <x:is>
          <x:t>M0</x:t>
        </x:is>
      </x:c>
    </x:row>
    <x:row r="13" ht="54" customHeight="1">
      <x:c r="A13" s="7" t="inlineStr">
        <x:is>
          <x:t>Completude</x:t>
        </x:is>
      </x:c>
      <x:c r="B13" s="7" t="inlineStr">
        <x:is>
          <x:t>Campos críticos dentro do piso acordado.</x:t>
        </x:is>
      </x:c>
      <x:c r="C13" s="7" t="inlineStr">
        <x:is>
          <x:t>quality gate por pipeline</x:t>
        </x:is>
      </x:c>
      <x:c r="D13" s="7" t="inlineStr">
        <x:is>
          <x:t>relatório de qualidade</x:t>
        </x:is>
      </x:c>
      <x:c r="E13" s="7" t="inlineStr">
        <x:is>
          <x:t>Data Owner</x:t>
        </x:is>
      </x:c>
      <x:c r="F13" s="7" t="inlineStr">
        <x:is>
          <x:t>Diária</x:t>
        </x:is>
      </x:c>
      <x:c r="G13" s="7" t="inlineStr">
        <x:is>
          <x:t>Alta</x:t>
        </x:is>
      </x:c>
      <x:c r="H13" s="7" t="inlineStr">
        <x:is>
          <x:t>Depende</x:t>
        </x:is>
      </x:c>
      <x:c r="I13" s="7" t="inlineStr">
        <x:is>
          <x:t>completude</x:t>
        </x:is>
      </x:c>
      <x:c r="J13" s="7" t="inlineStr">
        <x:is>
          <x:t>M0</x:t>
        </x:is>
      </x:c>
    </x:row>
    <x:row r="14" ht="54" customHeight="1">
      <x:c r="A14" s="6" t="inlineStr">
        <x:is>
          <x:t>Atualidade</x:t>
        </x:is>
      </x:c>
      <x:c r="B14" s="6" t="inlineStr">
        <x:is>
          <x:t>Dado chega dentro do SLA da decisão.</x:t>
        </x:is>
      </x:c>
      <x:c r="C14" s="6" t="inlineStr">
        <x:is>
          <x:t>monitor de freshness</x:t>
        </x:is>
      </x:c>
      <x:c r="D14" s="6" t="inlineStr">
        <x:is>
          <x:t>alerta / incidente</x:t>
        </x:is>
      </x:c>
      <x:c r="E14" s="6" t="inlineStr">
        <x:is>
          <x:t>Data Engineering</x:t>
        </x:is>
      </x:c>
      <x:c r="F14" s="6" t="inlineStr">
        <x:is>
          <x:t>Diária</x:t>
        </x:is>
      </x:c>
      <x:c r="G14" s="6" t="inlineStr">
        <x:is>
          <x:t>Alta</x:t>
        </x:is>
      </x:c>
      <x:c r="H14" s="6" t="inlineStr">
        <x:is>
          <x:t>Depende</x:t>
        </x:is>
      </x:c>
      <x:c r="I14" s="6" t="inlineStr">
        <x:is>
          <x:t>freshness</x:t>
        </x:is>
      </x:c>
      <x:c r="J14" s="6" t="inlineStr">
        <x:is>
          <x:t>M0</x:t>
        </x:is>
      </x:c>
    </x:row>
    <x:row r="15" ht="54" customHeight="1">
      <x:c r="A15" s="7" t="inlineStr">
        <x:is>
          <x:t>Unicidade</x:t>
        </x:is>
      </x:c>
      <x:c r="B15" s="7" t="inlineStr">
        <x:is>
          <x:t>Identidades e fatos não podem duplicar valor.</x:t>
        </x:is>
      </x:c>
      <x:c r="C15" s="7" t="inlineStr">
        <x:is>
          <x:t>MDM e chaves idempotentes</x:t>
        </x:is>
      </x:c>
      <x:c r="D15" s="7" t="inlineStr">
        <x:is>
          <x:t>relatório de duplicidade</x:t>
        </x:is>
      </x:c>
      <x:c r="E15" s="7" t="inlineStr">
        <x:is>
          <x:t>Data Engineering</x:t>
        </x:is>
      </x:c>
      <x:c r="F15" s="7" t="inlineStr">
        <x:is>
          <x:t>Diária</x:t>
        </x:is>
      </x:c>
      <x:c r="G15" s="7" t="inlineStr">
        <x:is>
          <x:t>Alta</x:t>
        </x:is>
      </x:c>
      <x:c r="H15" s="7" t="inlineStr">
        <x:is>
          <x:t>Sim</x:t>
        </x:is>
      </x:c>
      <x:c r="I15" s="7" t="inlineStr">
        <x:is>
          <x:t>identidade resolvida</x:t>
        </x:is>
      </x:c>
      <x:c r="J15" s="7" t="inlineStr">
        <x:is>
          <x:t>M0</x:t>
        </x:is>
      </x:c>
    </x:row>
    <x:row r="16" ht="54" customHeight="1">
      <x:c r="A16" s="6" t="inlineStr">
        <x:is>
          <x:t>Semântica</x:t>
        </x:is>
      </x:c>
      <x:c r="B16" s="6" t="inlineStr">
        <x:is>
          <x:t>KPI possui definição, fórmula, owner e versão.</x:t>
        </x:is>
      </x:c>
      <x:c r="C16" s="6" t="inlineStr">
        <x:is>
          <x:t>catálogo de métricas</x:t>
        </x:is>
      </x:c>
      <x:c r="D16" s="6" t="inlineStr">
        <x:is>
          <x:t>registro aprovado</x:t>
        </x:is>
      </x:c>
      <x:c r="E16" s="6" t="inlineStr">
        <x:is>
          <x:t>Metric Owner</x:t>
        </x:is>
      </x:c>
      <x:c r="F16" s="6" t="inlineStr">
        <x:is>
          <x:t>Trimestral</x:t>
        </x:is>
      </x:c>
      <x:c r="G16" s="6" t="inlineStr">
        <x:is>
          <x:t>Alta</x:t>
        </x:is>
      </x:c>
      <x:c r="H16" s="6" t="inlineStr">
        <x:is>
          <x:t>Sim</x:t>
        </x:is>
      </x:c>
      <x:c r="I16" s="6" t="inlineStr">
        <x:is>
          <x:t>% KPIs certificados</x:t>
        </x:is>
      </x:c>
      <x:c r="J16" s="6" t="inlineStr">
        <x:is>
          <x:t>M0</x:t>
        </x:is>
      </x:c>
    </x:row>
    <x:row r="17" ht="54" customHeight="1">
      <x:c r="A17" s="7" t="inlineStr">
        <x:is>
          <x:t>Baseline</x:t>
        </x:is>
      </x:c>
      <x:c r="B17" s="7" t="inlineStr">
        <x:is>
          <x:t>Impacto exige baseline comparável.</x:t>
        </x:is>
      </x:c>
      <x:c r="C17" s="7" t="inlineStr">
        <x:is>
          <x:t>checklist pré-intervenção</x:t>
        </x:is>
      </x:c>
      <x:c r="D17" s="7" t="inlineStr">
        <x:is>
          <x:t>plano de mensuração</x:t>
        </x:is>
      </x:c>
      <x:c r="E17" s="7" t="inlineStr">
        <x:is>
          <x:t>Inteligência</x:t>
        </x:is>
      </x:c>
      <x:c r="F17" s="7" t="inlineStr">
        <x:is>
          <x:t>Projeto</x:t>
        </x:is>
      </x:c>
      <x:c r="G17" s="7" t="inlineStr">
        <x:is>
          <x:t>Crítica</x:t>
        </x:is>
      </x:c>
      <x:c r="H17" s="7" t="inlineStr">
        <x:is>
          <x:t>Sim</x:t>
        </x:is>
      </x:c>
      <x:c r="I17" s="7" t="inlineStr">
        <x:is>
          <x:t>% cases com baseline</x:t>
        </x:is>
      </x:c>
      <x:c r="J17" s="7" t="inlineStr">
        <x:is>
          <x:t>M1</x:t>
        </x:is>
      </x:c>
    </x:row>
    <x:row r="18" ht="54" customHeight="1">
      <x:c r="A18" s="6" t="inlineStr">
        <x:is>
          <x:t>Atribuição</x:t>
        </x:is>
      </x:c>
      <x:c r="B18" s="6" t="inlineStr">
        <x:is>
          <x:t>Percentual de efeito deve ser explícito.</x:t>
        </x:is>
      </x:c>
      <x:c r="C18" s="6" t="inlineStr">
        <x:is>
          <x:t>campo obrigatório no value mart</x:t>
        </x:is>
      </x:c>
      <x:c r="D18" s="6" t="inlineStr">
        <x:is>
          <x:t>memória de cálculo</x:t>
        </x:is>
      </x:c>
      <x:c r="E18" s="6" t="inlineStr">
        <x:is>
          <x:t>Financeiro</x:t>
        </x:is>
      </x:c>
      <x:c r="F18" s="6" t="inlineStr">
        <x:is>
          <x:t>Trimestral</x:t>
        </x:is>
      </x:c>
      <x:c r="G18" s="6" t="inlineStr">
        <x:is>
          <x:t>Crítica</x:t>
        </x:is>
      </x:c>
      <x:c r="H18" s="6" t="inlineStr">
        <x:is>
          <x:t>Sim</x:t>
        </x:is>
      </x:c>
      <x:c r="I18" s="6" t="inlineStr">
        <x:is>
          <x:t>% valor com atribuição</x:t>
        </x:is>
      </x:c>
      <x:c r="J18" s="6" t="inlineStr">
        <x:is>
          <x:t>M2</x:t>
        </x:is>
      </x:c>
    </x:row>
    <x:row r="19" ht="54" customHeight="1">
      <x:c r="A19" s="7" t="inlineStr">
        <x:is>
          <x:t>Dupla contagem</x:t>
        </x:is>
      </x:c>
      <x:c r="B19" s="7" t="inlineStr">
        <x:is>
          <x:t>Benefícios sobrepostos são deduplicados.</x:t>
        </x:is>
      </x:c>
      <x:c r="C19" s="7" t="inlineStr">
        <x:is>
          <x:t>chave pessoa-resultado-período-alavanca</x:t>
        </x:is>
      </x:c>
      <x:c r="D19" s="7" t="inlineStr">
        <x:is>
          <x:t>relatório de conflitos</x:t>
        </x:is>
      </x:c>
      <x:c r="E19" s="7" t="inlineStr">
        <x:is>
          <x:t>Financeiro</x:t>
        </x:is>
      </x:c>
      <x:c r="F19" s="7" t="inlineStr">
        <x:is>
          <x:t>Trimestral</x:t>
        </x:is>
      </x:c>
      <x:c r="G19" s="7" t="inlineStr">
        <x:is>
          <x:t>Crítica</x:t>
        </x:is>
      </x:c>
      <x:c r="H19" s="7" t="inlineStr">
        <x:is>
          <x:t>Sim</x:t>
        </x:is>
      </x:c>
      <x:c r="I19" s="7" t="inlineStr">
        <x:is>
          <x:t>valor deduplicado</x:t>
        </x:is>
      </x:c>
      <x:c r="J19" s="7" t="inlineStr">
        <x:is>
          <x:t>M2</x:t>
        </x:is>
      </x:c>
    </x:row>
    <x:row r="20" ht="54" customHeight="1">
      <x:c r="A20" s="6" t="inlineStr">
        <x:is>
          <x:t>Evidência</x:t>
        </x:is>
      </x:c>
      <x:c r="B20" s="6" t="inlineStr">
        <x:is>
          <x:t>Toda estimativa recebe nível metodológico.</x:t>
        </x:is>
      </x:c>
      <x:c r="C20" s="6" t="inlineStr">
        <x:is>
          <x:t>descritivo→experimental</x:t>
        </x:is>
      </x:c>
      <x:c r="D20" s="6" t="inlineStr">
        <x:is>
          <x:t>score de confiança</x:t>
        </x:is>
      </x:c>
      <x:c r="E20" s="6" t="inlineStr">
        <x:is>
          <x:t>Inteligência</x:t>
        </x:is>
      </x:c>
      <x:c r="F20" s="6" t="inlineStr">
        <x:is>
          <x:t>Trimestral</x:t>
        </x:is>
      </x:c>
      <x:c r="G20" s="6" t="inlineStr">
        <x:is>
          <x:t>Alta</x:t>
        </x:is>
      </x:c>
      <x:c r="H20" s="6" t="inlineStr">
        <x:is>
          <x:t>Sim</x:t>
        </x:is>
      </x:c>
      <x:c r="I20" s="6" t="inlineStr">
        <x:is>
          <x:t>índice de confiança</x:t>
        </x:is>
      </x:c>
      <x:c r="J20" s="6" t="inlineStr">
        <x:is>
          <x:t>M2</x:t>
        </x:is>
      </x:c>
    </x:row>
    <x:row r="21" ht="54" customHeight="1">
      <x:c r="A21" s="7" t="inlineStr">
        <x:is>
          <x:t>Reprodutibilidade</x:t>
        </x:is>
      </x:c>
      <x:c r="B21" s="7" t="inlineStr">
        <x:is>
          <x:t>Análise deve ser reproduzível por versão.</x:t>
        </x:is>
      </x:c>
      <x:c r="C21" s="7" t="inlineStr">
        <x:is>
          <x:t>snapshot, código, parâmetros</x:t>
        </x:is>
      </x:c>
      <x:c r="D21" s="7" t="inlineStr">
        <x:is>
          <x:t>run_id / hash</x:t>
        </x:is>
      </x:c>
      <x:c r="E21" s="7" t="inlineStr">
        <x:is>
          <x:t>Data Science</x:t>
        </x:is>
      </x:c>
      <x:c r="F21" s="7" t="inlineStr">
        <x:is>
          <x:t>Release</x:t>
        </x:is>
      </x:c>
      <x:c r="G21" s="7" t="inlineStr">
        <x:is>
          <x:t>Alta</x:t>
        </x:is>
      </x:c>
      <x:c r="H21" s="7" t="inlineStr">
        <x:is>
          <x:t>Sim</x:t>
        </x:is>
      </x:c>
      <x:c r="I21" s="7" t="inlineStr">
        <x:is>
          <x:t>% análises reproduzíveis</x:t>
        </x:is>
      </x:c>
      <x:c r="J21" s="7" t="inlineStr">
        <x:is>
          <x:t>M1</x:t>
        </x:is>
      </x:c>
    </x:row>
    <x:row r="22" ht="54" customHeight="1">
      <x:c r="A22" s="6" t="inlineStr">
        <x:is>
          <x:t>Explicabilidade</x:t>
        </x:is>
      </x:c>
      <x:c r="B22" s="6" t="inlineStr">
        <x:is>
          <x:t>Score que orienta decisão deve explicar fatores.</x:t>
        </x:is>
      </x:c>
      <x:c r="C22" s="6" t="inlineStr">
        <x:is>
          <x:t>reason codes e documentação</x:t>
        </x:is>
      </x:c>
      <x:c r="D22" s="6" t="inlineStr">
        <x:is>
          <x:t>model card</x:t>
        </x:is>
      </x:c>
      <x:c r="E22" s="6" t="inlineStr">
        <x:is>
          <x:t>AI Governance</x:t>
        </x:is>
      </x:c>
      <x:c r="F22" s="6" t="inlineStr">
        <x:is>
          <x:t>Release</x:t>
        </x:is>
      </x:c>
      <x:c r="G22" s="6" t="inlineStr">
        <x:is>
          <x:t>Alta</x:t>
        </x:is>
      </x:c>
      <x:c r="H22" s="6" t="inlineStr">
        <x:is>
          <x:t>Sim</x:t>
        </x:is>
      </x:c>
      <x:c r="I22" s="6" t="inlineStr">
        <x:is>
          <x:t>% scores explicáveis</x:t>
        </x:is>
      </x:c>
      <x:c r="J22" s="6" t="inlineStr">
        <x:is>
          <x:t>M1</x:t>
        </x:is>
      </x:c>
    </x:row>
    <x:row r="23" ht="54" customHeight="1">
      <x:c r="A23" s="7" t="inlineStr">
        <x:is>
          <x:t>Fairness</x:t>
        </x:is>
      </x:c>
      <x:c r="B23" s="7" t="inlineStr">
        <x:is>
          <x:t>Performance é monitorada por grupos pertinentes.</x:t>
        </x:is>
      </x:c>
      <x:c r="C23" s="7" t="inlineStr">
        <x:is>
          <x:t>métricas de erro/seleção</x:t>
        </x:is>
      </x:c>
      <x:c r="D23" s="7" t="inlineStr">
        <x:is>
          <x:t>fairness report</x:t>
        </x:is>
      </x:c>
      <x:c r="E23" s="7" t="inlineStr">
        <x:is>
          <x:t>AI Governance</x:t>
        </x:is>
      </x:c>
      <x:c r="F23" s="7" t="inlineStr">
        <x:is>
          <x:t>Mensal</x:t>
        </x:is>
      </x:c>
      <x:c r="G23" s="7" t="inlineStr">
        <x:is>
          <x:t>Crítica</x:t>
        </x:is>
      </x:c>
      <x:c r="H23" s="7" t="inlineStr">
        <x:is>
          <x:t>Sim</x:t>
        </x:is>
      </x:c>
      <x:c r="I23" s="7" t="inlineStr">
        <x:is>
          <x:t>gap de fairness</x:t>
        </x:is>
      </x:c>
      <x:c r="J23" s="7" t="inlineStr">
        <x:is>
          <x:t>M1</x:t>
        </x:is>
      </x:c>
    </x:row>
    <x:row r="24" ht="54" customHeight="1">
      <x:c r="A24" s="6" t="inlineStr">
        <x:is>
          <x:t>Drift</x:t>
        </x:is>
      </x:c>
      <x:c r="B24" s="6" t="inlineStr">
        <x:is>
          <x:t>Mudança de população ou performance gera alerta.</x:t>
        </x:is>
      </x:c>
      <x:c r="C24" s="6" t="inlineStr">
        <x:is>
          <x:t>monitor de feature/model drift</x:t>
        </x:is>
      </x:c>
      <x:c r="D24" s="6" t="inlineStr">
        <x:is>
          <x:t>alerta / rollback</x:t>
        </x:is>
      </x:c>
      <x:c r="E24" s="6" t="inlineStr">
        <x:is>
          <x:t>Data Science</x:t>
        </x:is>
      </x:c>
      <x:c r="F24" s="6" t="inlineStr">
        <x:is>
          <x:t>Semanal</x:t>
        </x:is>
      </x:c>
      <x:c r="G24" s="6" t="inlineStr">
        <x:is>
          <x:t>Alta</x:t>
        </x:is>
      </x:c>
      <x:c r="H24" s="6" t="inlineStr">
        <x:is>
          <x:t>Depende</x:t>
        </x:is>
      </x:c>
      <x:c r="I24" s="6" t="inlineStr">
        <x:is>
          <x:t>drift</x:t>
        </x:is>
      </x:c>
      <x:c r="J24" s="6" t="inlineStr">
        <x:is>
          <x:t>M1</x:t>
        </x:is>
      </x:c>
    </x:row>
    <x:row r="25" ht="54" customHeight="1">
      <x:c r="A25" s="7" t="inlineStr">
        <x:is>
          <x:t>Humano no loop</x:t>
        </x:is>
      </x:c>
      <x:c r="B25" s="7" t="inlineStr">
        <x:is>
          <x:t>Decisões de alto impacto permitem revisão humana.</x:t>
        </x:is>
      </x:c>
      <x:c r="C25" s="7" t="inlineStr">
        <x:is>
          <x:t>fila de revisão e justificativa</x:t>
        </x:is>
      </x:c>
      <x:c r="D25" s="7" t="inlineStr">
        <x:is>
          <x:t>audit log</x:t>
        </x:is>
      </x:c>
      <x:c r="E25" s="7" t="inlineStr">
        <x:is>
          <x:t>Process Owner</x:t>
        </x:is>
      </x:c>
      <x:c r="F25" s="7" t="inlineStr">
        <x:is>
          <x:t>Contínua</x:t>
        </x:is>
      </x:c>
      <x:c r="G25" s="7" t="inlineStr">
        <x:is>
          <x:t>Crítica</x:t>
        </x:is>
      </x:c>
      <x:c r="H25" s="7" t="inlineStr">
        <x:is>
          <x:t>Sim</x:t>
        </x:is>
      </x:c>
      <x:c r="I25" s="7" t="inlineStr">
        <x:is>
          <x:t>% revisões</x:t>
        </x:is>
      </x:c>
      <x:c r="J25" s="7" t="inlineStr">
        <x:is>
          <x:t>M1</x:t>
        </x:is>
      </x:c>
    </x:row>
    <x:row r="26" ht="54" customHeight="1">
      <x:c r="A26" s="6" t="inlineStr">
        <x:is>
          <x:t>Acesso</x:t>
        </x:is>
      </x:c>
      <x:c r="B26" s="6" t="inlineStr">
        <x:is>
          <x:t>Privilégio mínimo por visão e finalidade.</x:t>
        </x:is>
      </x:c>
      <x:c r="C26" s="6" t="inlineStr">
        <x:is>
          <x:t>RBAC/ABAC</x:t>
        </x:is>
      </x:c>
      <x:c r="D26" s="6" t="inlineStr">
        <x:is>
          <x:t>access review</x:t>
        </x:is>
      </x:c>
      <x:c r="E26" s="6" t="inlineStr">
        <x:is>
          <x:t>Security</x:t>
        </x:is>
      </x:c>
      <x:c r="F26" s="6" t="inlineStr">
        <x:is>
          <x:t>Trimestral</x:t>
        </x:is>
      </x:c>
      <x:c r="G26" s="6" t="inlineStr">
        <x:is>
          <x:t>Crítica</x:t>
        </x:is>
      </x:c>
      <x:c r="H26" s="6" t="inlineStr">
        <x:is>
          <x:t>Sim</x:t>
        </x:is>
      </x:c>
      <x:c r="I26" s="6" t="inlineStr">
        <x:is>
          <x:t>acessos indevidos</x:t>
        </x:is>
      </x:c>
      <x:c r="J26" s="6" t="inlineStr">
        <x:is>
          <x:t>M0</x:t>
        </x:is>
      </x:c>
    </x:row>
    <x:row r="27" ht="54" customHeight="1">
      <x:c r="A27" s="7" t="inlineStr">
        <x:is>
          <x:t>Publicação</x:t>
        </x:is>
      </x:c>
      <x:c r="B27" s="7" t="inlineStr">
        <x:is>
          <x:t>Dashboard executivo usa somente métricas certificadas.</x:t>
        </x:is>
      </x:c>
      <x:c r="C27" s="7" t="inlineStr">
        <x:is>
          <x:t>status draft/certified/deprecated</x:t>
        </x:is>
      </x:c>
      <x:c r="D27" s="7" t="inlineStr">
        <x:is>
          <x:t>catálogo</x:t>
        </x:is>
      </x:c>
      <x:c r="E27" s="7" t="inlineStr">
        <x:is>
          <x:t>Analytics</x:t>
        </x:is>
      </x:c>
      <x:c r="F27" s="7" t="inlineStr">
        <x:is>
          <x:t>Release</x:t>
        </x:is>
      </x:c>
      <x:c r="G27" s="7" t="inlineStr">
        <x:is>
          <x:t>Alta</x:t>
        </x:is>
      </x:c>
      <x:c r="H27" s="7" t="inlineStr">
        <x:is>
          <x:t>Sim</x:t>
        </x:is>
      </x:c>
      <x:c r="I27" s="7" t="inlineStr">
        <x:is>
          <x:t>% métricas certificadas</x:t>
        </x:is>
      </x:c>
      <x:c r="J27" s="7" t="inlineStr">
        <x:is>
          <x:t>M0</x:t>
        </x:is>
      </x:c>
    </x:row>
    <x:row r="28" ht="54" customHeight="1">
      <x:c r="A28" s="6" t="inlineStr">
        <x:is>
          <x:t>Auditoria financeira</x:t>
        </x:is>
      </x:c>
      <x:c r="B28" s="6" t="inlineStr">
        <x:is>
          <x:t>Benefício monetizado tem validação do cliente.</x:t>
        </x:is>
      </x:c>
      <x:c r="C28" s="6" t="inlineStr">
        <x:is>
          <x:t>sign-off da controladoria</x:t>
        </x:is>
      </x:c>
      <x:c r="D28" s="6" t="inlineStr">
        <x:is>
          <x:t>termo / comentário</x:t>
        </x:is>
      </x:c>
      <x:c r="E28" s="6" t="inlineStr">
        <x:is>
          <x:t>Financeiro cliente</x:t>
        </x:is>
      </x:c>
      <x:c r="F28" s="6" t="inlineStr">
        <x:is>
          <x:t>Trimestral</x:t>
        </x:is>
      </x:c>
      <x:c r="G28" s="6" t="inlineStr">
        <x:is>
          <x:t>Crítica</x:t>
        </x:is>
      </x:c>
      <x:c r="H28" s="6" t="inlineStr">
        <x:is>
          <x:t>Sim</x:t>
        </x:is>
      </x:c>
      <x:c r="I28" s="6" t="inlineStr">
        <x:is>
          <x:t>% valor aprovado</x:t>
        </x:is>
      </x:c>
      <x:c r="J28" s="6" t="inlineStr">
        <x:is>
          <x:t>M2</x:t>
        </x:is>
      </x:c>
    </x:row>
  </x:sheetData>
  <x:autoFilter ref="A5:J28"/>
  <x:mergeCells count="2">
    <x:mergeCell ref="A1:J2"/>
    <x:mergeCell ref="A3:J3"/>
  </x:mergeCells>
  <x:conditionalFormatting sqref="G6:G28">
    <x:cfRule type="expression" dxfId="0" priority="1">
      <x:formula>$G6="Crítica"</x:formula>
    </x:cfRule>
  </x:conditionalFormatting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13.xml><?xml version="1.0" encoding="utf-8"?>
<x:worksheet xmlns:x="http://schemas.openxmlformats.org/spreadsheetml/2006/main">
  <x:sheetPr>
    <x:tabColor rgb="00B7D51F"/>
    <x:outlinePr summaryBelow="1" summaryRight="1"/>
    <x:pageSetUpPr fitToPage="1"/>
  </x:sheetPr>
  <x:dimension ref="A1:J10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20" customWidth="1"/>
    <x:col min="2" max="2" width="16" customWidth="1"/>
    <x:col min="3" max="3" width="38" customWidth="1"/>
    <x:col min="4" max="4" width="46" customWidth="1"/>
    <x:col min="5" max="5" width="42" customWidth="1"/>
    <x:col min="6" max="6" width="40" customWidth="1"/>
    <x:col min="7" max="7" width="40" customWidth="1"/>
    <x:col min="8" max="8" width="34" customWidth="1"/>
    <x:col min="9" max="9" width="24" customWidth="1"/>
    <x:col min="10" max="10" width="14" customWidth="1"/>
  </x:cols>
  <x:sheetData>
    <x:row r="1" ht="26" customHeight="1">
      <x:c r="A1" s="1" t="inlineStr">
        <x:is>
          <x:t>Roadmap de metrificação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 ht="24" customHeight="1">
      <x:c r="A3" s="3" t="inlineStr">
        <x:is>
          <x:t>O primeiro ativo não é o software: é a evidência de que a decisão melhora.</x:t>
        </x:is>
      </x:c>
    </x:row>
    <x:row r="5" ht="34" customHeight="1">
      <x:c r="A5" s="44" t="inlineStr">
        <x:is>
          <x:t>Fase</x:t>
        </x:is>
      </x:c>
      <x:c r="B5" s="44" t="inlineStr">
        <x:is>
          <x:t>Horizonte</x:t>
        </x:is>
      </x:c>
      <x:c r="C5" s="44" t="inlineStr">
        <x:is>
          <x:t>Objetivo</x:t>
        </x:is>
      </x:c>
      <x:c r="D5" s="44" t="inlineStr">
        <x:is>
          <x:t>Entregas</x:t>
        </x:is>
      </x:c>
      <x:c r="E5" s="44" t="inlineStr">
        <x:is>
          <x:t>Indicadores habilitados</x:t>
        </x:is>
      </x:c>
      <x:c r="F5" s="44" t="inlineStr">
        <x:is>
          <x:t>Dados / integrações</x:t>
        </x:is>
      </x:c>
      <x:c r="G5" s="44" t="inlineStr">
        <x:is>
          <x:t>Critério de saída</x:t>
        </x:is>
      </x:c>
      <x:c r="H5" s="44" t="inlineStr">
        <x:is>
          <x:t>Riscos</x:t>
        </x:is>
      </x:c>
      <x:c r="I5" s="44" t="inlineStr">
        <x:is>
          <x:t>Owner</x:t>
        </x:is>
      </x:c>
      <x:c r="J5" s="44" t="inlineStr">
        <x:is>
          <x:t>Prioridade</x:t>
        </x:is>
      </x:c>
    </x:row>
    <x:row r="6" ht="78" customHeight="1">
      <x:c r="A6" s="6" t="inlineStr">
        <x:is>
          <x:t>M0 — Organizar</x:t>
        </x:is>
      </x:c>
      <x:c r="B6" s="6" t="inlineStr">
        <x:is>
          <x:t>0–8 semanas</x:t>
        </x:is>
      </x:c>
      <x:c r="C6" s="6" t="inlineStr">
        <x:is>
          <x:t>Criar linguagem comum e instrumentação mínima.</x:t>
        </x:is>
      </x:c>
      <x:c r="D6" s="6" t="inlineStr">
        <x:is>
          <x:t>taxonomia, IDs, eventos, catálogo, dashboards operacionais</x:t>
        </x:is>
      </x:c>
      <x:c r="E6" s="6" t="inlineStr">
        <x:is>
          <x:t>cadastro, completude, ativação, eventos, ARR</x:t>
        </x:is>
      </x:c>
      <x:c r="F6" s="6" t="inlineStr">
        <x:is>
          <x:t>CRM, plataforma, consentimento, warehouse</x:t>
        </x:is>
      </x:c>
      <x:c r="G6" s="6" t="inlineStr">
        <x:is>
          <x:t>eventos críticos &gt;95% e métricas certificadas</x:t>
        </x:is>
      </x:c>
      <x:c r="H6" s="6" t="inlineStr">
        <x:is>
          <x:t>identidade fragmentada; falta de owner</x:t>
        </x:is>
      </x:c>
      <x:c r="I6" s="6" t="inlineStr">
        <x:is>
          <x:t>Produto + Data</x:t>
        </x:is>
      </x:c>
      <x:c r="J6" s="6" t="inlineStr">
        <x:is>
          <x:t>Imediata</x:t>
        </x:is>
      </x:c>
    </x:row>
    <x:row r="7" ht="78" customHeight="1">
      <x:c r="A7" s="7" t="inlineStr">
        <x:is>
          <x:t>M1 — Conectar</x:t>
        </x:is>
      </x:c>
      <x:c r="B7" s="7" t="inlineStr">
        <x:is>
          <x:t>2–5 meses</x:t>
        </x:is>
      </x:c>
      <x:c r="C7" s="7" t="inlineStr">
        <x:is>
          <x:t>Relacionar ações, oportunidades e resultados.</x:t>
        </x:is>
      </x:c>
      <x:c r="D7" s="7" t="inlineStr">
        <x:is>
          <x:t>grafo de relações, cohorts, integrações RH/compras/marketing</x:t>
        </x:is>
      </x:c>
      <x:c r="E7" s="7" t="inlineStr">
        <x:is>
          <x:t>matching, conversão, ciclo, adoção, churn, pipeline</x:t>
        </x:is>
      </x:c>
      <x:c r="F7" s="7" t="inlineStr">
        <x:is>
          <x:t>ATS, LMS, SRM, mídia, contratos</x:t>
        </x:is>
      </x:c>
      <x:c r="G7" s="7" t="inlineStr">
        <x:is>
          <x:t>origem e outcome rastreáveis ponta a ponta</x:t>
        </x:is>
      </x:c>
      <x:c r="H7" s="7" t="inlineStr">
        <x:is>
          <x:t>chaves inconsistentes; baixa adesão</x:t>
        </x:is>
      </x:c>
      <x:c r="I7" s="7" t="inlineStr">
        <x:is>
          <x:t>Data + Operações</x:t>
        </x:is>
      </x:c>
      <x:c r="J7" s="7" t="inlineStr">
        <x:is>
          <x:t>Alta</x:t>
        </x:is>
      </x:c>
    </x:row>
    <x:row r="8" ht="78" customHeight="1">
      <x:c r="A8" s="6" t="inlineStr">
        <x:is>
          <x:t>M2 — Provar</x:t>
        </x:is>
      </x:c>
      <x:c r="B8" s="6" t="inlineStr">
        <x:is>
          <x:t>5–9 meses</x:t>
        </x:is>
      </x:c>
      <x:c r="C8" s="6" t="inlineStr">
        <x:is>
          <x:t>Monetizar efeito com baseline e atribuição.</x:t>
        </x:is>
      </x:c>
      <x:c r="D8" s="6" t="inlineStr">
        <x:is>
          <x:t>value mart, simulador, estudos quase-experimentais, sign-off</x:t>
        </x:is>
      </x:c>
      <x:c r="E8" s="6" t="inlineStr">
        <x:is>
          <x:t>produtividade, retenção, saving, risco, ROI, payback</x:t>
        </x:is>
      </x:c>
      <x:c r="F8" s="6" t="inlineStr">
        <x:is>
          <x:t>BI/financeiro cliente, GRC, controladoria</x:t>
        </x:is>
      </x:c>
      <x:c r="G8" s="6" t="inlineStr">
        <x:is>
          <x:t>&gt;70% do valor com evidência quase-experimental</x:t>
        </x:is>
      </x:c>
      <x:c r="H8" s="6" t="inlineStr">
        <x:is>
          <x:t>baseline tardio; dupla contagem</x:t>
        </x:is>
      </x:c>
      <x:c r="I8" s="6" t="inlineStr">
        <x:is>
          <x:t>Inteligência + Financeiro</x:t>
        </x:is>
      </x:c>
      <x:c r="J8" s="6" t="inlineStr">
        <x:is>
          <x:t>Alta</x:t>
        </x:is>
      </x:c>
    </x:row>
    <x:row r="9" ht="78" customHeight="1">
      <x:c r="A9" s="7" t="inlineStr">
        <x:is>
          <x:t>M3 — Prever</x:t>
        </x:is>
      </x:c>
      <x:c r="B9" s="7" t="inlineStr">
        <x:is>
          <x:t>9–14 meses</x:t>
        </x:is>
      </x:c>
      <x:c r="C9" s="7" t="inlineStr">
        <x:is>
          <x:t>Antecipar riscos, capacidades e oportunidades.</x:t>
        </x:is>
      </x:c>
      <x:c r="D9" s="7" t="inlineStr">
        <x:is>
          <x:t>modelos preditivos, propensão, alertas, model cards</x:t>
        </x:is>
      </x:c>
      <x:c r="E9" s="7" t="inlineStr">
        <x:is>
          <x:t>precisão, calibração, uplift, drift, fairness</x:t>
        </x:is>
      </x:c>
      <x:c r="F9" s="7" t="inlineStr">
        <x:is>
          <x:t>MLOps e histórico de outcomes</x:t>
        </x:is>
      </x:c>
      <x:c r="G9" s="7" t="inlineStr">
        <x:is>
          <x:t>modelo supera regra e passa fairness</x:t>
        </x:is>
      </x:c>
      <x:c r="H9" s="7" t="inlineStr">
        <x:is>
          <x:t>viés; pouca amostra; drift</x:t>
        </x:is>
      </x:c>
      <x:c r="I9" s="7" t="inlineStr">
        <x:is>
          <x:t>Data Science</x:t>
        </x:is>
      </x:c>
      <x:c r="J9" s="7" t="inlineStr">
        <x:is>
          <x:t>Média</x:t>
        </x:is>
      </x:c>
    </x:row>
    <x:row r="10" ht="78" customHeight="1">
      <x:c r="A10" s="6" t="inlineStr">
        <x:is>
          <x:t>M4 — Escalar</x:t>
        </x:is>
      </x:c>
      <x:c r="B10" s="6" t="inlineStr">
        <x:is>
          <x:t>14–24 meses</x:t>
        </x:is>
      </x:c>
      <x:c r="C10" s="6" t="inlineStr">
        <x:is>
          <x:t>Benchmark e inteligência de ecossistema.</x:t>
        </x:is>
      </x:c>
      <x:c r="D10" s="6" t="inlineStr">
        <x:is>
          <x:t>benchmarks anônimos, marketplace, serviços por segmento</x:t>
        </x:is>
      </x:c>
      <x:c r="E10" s="6" t="inlineStr">
        <x:is>
          <x:t>valor por associado, densidade, NRR, impacto econômico</x:t>
        </x:is>
      </x:c>
      <x:c r="F10" s="6" t="inlineStr">
        <x:is>
          <x:t>entidades, data shares e contratos</x:t>
        </x:is>
      </x:c>
      <x:c r="G10" s="6" t="inlineStr">
        <x:is>
          <x:t>unit economics sustentável e confiança alta</x:t>
        </x:is>
      </x:c>
      <x:c r="H10" s="6" t="inlineStr">
        <x:is>
          <x:t>governança multiempresa</x:t>
        </x:is>
      </x:c>
      <x:c r="I10" s="6" t="inlineStr">
        <x:is>
          <x:t>HUB + Entidades</x:t>
        </x:is>
      </x:c>
      <x:c r="J10" s="6" t="inlineStr">
        <x:is>
          <x:t>Média</x:t>
        </x:is>
      </x:c>
    </x:row>
  </x:sheetData>
  <x:autoFilter ref="A5:J10"/>
  <x:mergeCells count="2">
    <x:mergeCell ref="A1:J2"/>
    <x:mergeCell ref="A3:J3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14.xml><?xml version="1.0" encoding="utf-8"?>
<x:worksheet xmlns:x="http://schemas.openxmlformats.org/spreadsheetml/2006/main">
  <x:sheetPr>
    <x:tabColor rgb="00FF4B35"/>
    <x:outlinePr summaryBelow="1" summaryRight="1"/>
    <x:pageSetUpPr fitToPage="1"/>
  </x:sheetPr>
  <x:dimension ref="A1:L17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30" customWidth="1"/>
    <x:col min="2" max="2" width="14" customWidth="1"/>
    <x:col min="3" max="3" width="16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24" customWidth="1"/>
    <x:col min="11" max="11" width="36" customWidth="1"/>
    <x:col min="12" max="12" width="42" customWidth="1"/>
  </x:cols>
  <x:sheetData>
    <x:row r="1" ht="26" customHeight="1">
      <x:c r="A1" s="1" t="inlineStr">
        <x:is>
          <x:t>Matriz de integração entre vertentes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 ht="24" customHeight="1">
      <x:c r="A3" s="3" t="inlineStr">
        <x:is>
          <x:t>A mesma evidência pode servir a várias visões, mas a regra financeira é única e deduplicada.</x:t>
        </x:is>
      </x:c>
    </x:row>
    <x:row r="5" ht="34" customHeight="1">
      <x:c r="A5" s="44" t="inlineStr">
        <x:is>
          <x:t>Família de indicador</x:t>
        </x:is>
      </x:c>
      <x:c r="B5" s="44" t="inlineStr">
        <x:is>
          <x:t>Pessoas</x:t>
        </x:is>
      </x:c>
      <x:c r="C5" s="44" t="inlineStr">
        <x:is>
          <x:t>Empresas / RH</x:t>
        </x:is>
      </x:c>
      <x:c r="D5" s="44" t="inlineStr">
        <x:is>
          <x:t>Compras</x:t>
        </x:is>
      </x:c>
      <x:c r="E5" s="44" t="inlineStr">
        <x:is>
          <x:t>Entidades</x:t>
        </x:is>
      </x:c>
      <x:c r="F5" s="44" t="inlineStr">
        <x:is>
          <x:t>Marketing</x:t>
        </x:is>
      </x:c>
      <x:c r="G5" s="44" t="inlineStr">
        <x:is>
          <x:t>Produto</x:t>
        </x:is>
      </x:c>
      <x:c r="H5" s="44" t="inlineStr">
        <x:is>
          <x:t>Financeiro</x:t>
        </x:is>
      </x:c>
      <x:c r="I5" s="44" t="inlineStr">
        <x:is>
          <x:t>Dados / IA</x:t>
        </x:is>
      </x:c>
      <x:c r="J5" s="44" t="inlineStr">
        <x:is>
          <x:t>Nó central</x:t>
        </x:is>
      </x:c>
      <x:c r="K5" s="44" t="inlineStr">
        <x:is>
          <x:t>Output compartilhado</x:t>
        </x:is>
      </x:c>
      <x:c r="L5" s="44" t="inlineStr">
        <x:is>
          <x:t>Risco de dupla contagem</x:t>
        </x:is>
      </x:c>
    </x:row>
    <x:row r="6" ht="48" customHeight="1">
      <x:c r="A6" s="6" t="inlineStr">
        <x:is>
          <x:t>Prontidão e capacidades</x:t>
        </x:is>
      </x:c>
      <x:c r="B6" s="70" t="inlineStr">
        <x:is>
          <x:t>●</x:t>
        </x:is>
      </x:c>
      <x:c r="C6" s="70" t="inlineStr">
        <x:is>
          <x:t>●</x:t>
        </x:is>
      </x:c>
      <x:c r="D6" s="71" t="inlineStr">
        <x:is>
          <x:t>○</x:t>
        </x:is>
      </x:c>
      <x:c r="E6" s="70" t="inlineStr">
        <x:is>
          <x:t>●</x:t>
        </x:is>
      </x:c>
      <x:c r="F6" s="71" t="inlineStr">
        <x:is>
          <x:t>○</x:t>
        </x:is>
      </x:c>
      <x:c r="G6" s="70" t="inlineStr">
        <x:is>
          <x:t>●</x:t>
        </x:is>
      </x:c>
      <x:c r="H6" s="71" t="inlineStr">
        <x:is>
          <x:t>○</x:t>
        </x:is>
      </x:c>
      <x:c r="I6" s="70" t="inlineStr">
        <x:is>
          <x:t>●</x:t>
        </x:is>
      </x:c>
      <x:c r="J6" s="6" t="inlineStr">
        <x:is>
          <x:t>Competência</x:t>
        </x:is>
      </x:c>
      <x:c r="K6" s="6" t="inlineStr">
        <x:is>
          <x:t>gap e recomendação</x:t>
        </x:is>
      </x:c>
      <x:c r="L6" s="6" t="inlineStr">
        <x:is>
          <x:t>usar uma única evolução por pessoa-período</x:t>
        </x:is>
      </x:c>
    </x:row>
    <x:row r="7" ht="48" customHeight="1">
      <x:c r="A7" s="7" t="inlineStr">
        <x:is>
          <x:t>Matching e oportunidades</x:t>
        </x:is>
      </x:c>
      <x:c r="B7" s="72" t="inlineStr">
        <x:is>
          <x:t>●</x:t>
        </x:is>
      </x:c>
      <x:c r="C7" s="72" t="inlineStr">
        <x:is>
          <x:t>●</x:t>
        </x:is>
      </x:c>
      <x:c r="D7" s="72" t="inlineStr">
        <x:is>
          <x:t>●</x:t>
        </x:is>
      </x:c>
      <x:c r="E7" s="72" t="inlineStr">
        <x:is>
          <x:t>●</x:t>
        </x:is>
      </x:c>
      <x:c r="F7" s="73" t="inlineStr">
        <x:is>
          <x:t>○</x:t>
        </x:is>
      </x:c>
      <x:c r="G7" s="72" t="inlineStr">
        <x:is>
          <x:t>●</x:t>
        </x:is>
      </x:c>
      <x:c r="H7" s="73" t="inlineStr">
        <x:is>
          <x:t>○</x:t>
        </x:is>
      </x:c>
      <x:c r="I7" s="72" t="inlineStr">
        <x:is>
          <x:t>●</x:t>
        </x:is>
      </x:c>
      <x:c r="J7" s="7" t="inlineStr">
        <x:is>
          <x:t>Match</x:t>
        </x:is>
      </x:c>
      <x:c r="K7" s="7" t="inlineStr">
        <x:is>
          <x:t>fit, ciclo e conversão</x:t>
        </x:is>
      </x:c>
      <x:c r="L7" s="7" t="inlineStr">
        <x:is>
          <x:t>uma origem principal por contrato</x:t>
        </x:is>
      </x:c>
    </x:row>
    <x:row r="8" ht="48" customHeight="1">
      <x:c r="A8" s="6" t="inlineStr">
        <x:is>
          <x:t>Jornadas e desenvolvimento</x:t>
        </x:is>
      </x:c>
      <x:c r="B8" s="70" t="inlineStr">
        <x:is>
          <x:t>●</x:t>
        </x:is>
      </x:c>
      <x:c r="C8" s="70" t="inlineStr">
        <x:is>
          <x:t>●</x:t>
        </x:is>
      </x:c>
      <x:c r="D8" s="71" t="inlineStr">
        <x:is>
          <x:t>○</x:t>
        </x:is>
      </x:c>
      <x:c r="E8" s="70" t="inlineStr">
        <x:is>
          <x:t>●</x:t>
        </x:is>
      </x:c>
      <x:c r="F8" s="71" t="inlineStr">
        <x:is>
          <x:t>○</x:t>
        </x:is>
      </x:c>
      <x:c r="G8" s="70" t="inlineStr">
        <x:is>
          <x:t>●</x:t>
        </x:is>
      </x:c>
      <x:c r="H8" s="71" t="inlineStr">
        <x:is>
          <x:t>○</x:t>
        </x:is>
      </x:c>
      <x:c r="I8" s="70" t="inlineStr">
        <x:is>
          <x:t>●</x:t>
        </x:is>
      </x:c>
      <x:c r="J8" s="6" t="inlineStr">
        <x:is>
          <x:t>Jornada</x:t>
        </x:is>
      </x:c>
      <x:c r="K8" s="6" t="inlineStr">
        <x:is>
          <x:t>dose, conclusão e outcome</x:t>
        </x:is>
      </x:c>
      <x:c r="L8" s="6" t="inlineStr">
        <x:is>
          <x:t>não somar conclusão como benefício</x:t>
        </x:is>
      </x:c>
    </x:row>
    <x:row r="9" ht="48" customHeight="1">
      <x:c r="A9" s="7" t="inlineStr">
        <x:is>
          <x:t>Produtividade</x:t>
        </x:is>
      </x:c>
      <x:c r="B9" s="72" t="inlineStr">
        <x:is>
          <x:t>●</x:t>
        </x:is>
      </x:c>
      <x:c r="C9" s="72" t="inlineStr">
        <x:is>
          <x:t>●</x:t>
        </x:is>
      </x:c>
      <x:c r="D9" s="73" t="inlineStr">
        <x:is>
          <x:t>○</x:t>
        </x:is>
      </x:c>
      <x:c r="E9" s="72" t="inlineStr">
        <x:is>
          <x:t>●</x:t>
        </x:is>
      </x:c>
      <x:c r="F9" s="73" t="inlineStr">
        <x:is>
          <x:t>○</x:t>
        </x:is>
      </x:c>
      <x:c r="G9" s="73" t="inlineStr">
        <x:is>
          <x:t>○</x:t>
        </x:is>
      </x:c>
      <x:c r="H9" s="72" t="inlineStr">
        <x:is>
          <x:t>●</x:t>
        </x:is>
      </x:c>
      <x:c r="I9" s="72" t="inlineStr">
        <x:is>
          <x:t>●</x:t>
        </x:is>
      </x:c>
      <x:c r="J9" s="7" t="inlineStr">
        <x:is>
          <x:t>Indicador de negócio</x:t>
        </x:is>
      </x:c>
      <x:c r="K9" s="7" t="inlineStr">
        <x:is>
          <x:t>ganho monetizado</x:t>
        </x:is>
      </x:c>
      <x:c r="L9" s="7" t="inlineStr">
        <x:is>
          <x:t>não somar horas e output sobrepostos</x:t>
        </x:is>
      </x:c>
    </x:row>
    <x:row r="10" ht="48" customHeight="1">
      <x:c r="A10" s="6" t="inlineStr">
        <x:is>
          <x:t>Retenção</x:t>
        </x:is>
      </x:c>
      <x:c r="B10" s="70" t="inlineStr">
        <x:is>
          <x:t>●</x:t>
        </x:is>
      </x:c>
      <x:c r="C10" s="70" t="inlineStr">
        <x:is>
          <x:t>●</x:t>
        </x:is>
      </x:c>
      <x:c r="D10" s="71" t="inlineStr">
        <x:is>
          <x:t>○</x:t>
        </x:is>
      </x:c>
      <x:c r="E10" s="70" t="inlineStr">
        <x:is>
          <x:t>●</x:t>
        </x:is>
      </x:c>
      <x:c r="F10" s="71" t="inlineStr">
        <x:is>
          <x:t>○</x:t>
        </x:is>
      </x:c>
      <x:c r="G10" s="70" t="inlineStr">
        <x:is>
          <x:t>●</x:t>
        </x:is>
      </x:c>
      <x:c r="H10" s="70" t="inlineStr">
        <x:is>
          <x:t>●</x:t>
        </x:is>
      </x:c>
      <x:c r="I10" s="70" t="inlineStr">
        <x:is>
          <x:t>●</x:t>
        </x:is>
      </x:c>
      <x:c r="J10" s="6" t="inlineStr">
        <x:is>
          <x:t>Vínculo</x:t>
        </x:is>
      </x:c>
      <x:c r="K10" s="6" t="inlineStr">
        <x:is>
          <x:t>turnover evitado</x:t>
        </x:is>
      </x:c>
      <x:c r="L10" s="6" t="inlineStr">
        <x:is>
          <x:t>uma saída evitada por pessoa</x:t>
        </x:is>
      </x:c>
    </x:row>
    <x:row r="11" ht="48" customHeight="1">
      <x:c r="A11" s="7" t="inlineStr">
        <x:is>
          <x:t>Compras e fornecedores</x:t>
        </x:is>
      </x:c>
      <x:c r="B11" s="73" t="inlineStr">
        <x:is>
          <x:t>○</x:t>
        </x:is>
      </x:c>
      <x:c r="C11" s="72" t="inlineStr">
        <x:is>
          <x:t>●</x:t>
        </x:is>
      </x:c>
      <x:c r="D11" s="72" t="inlineStr">
        <x:is>
          <x:t>●</x:t>
        </x:is>
      </x:c>
      <x:c r="E11" s="72" t="inlineStr">
        <x:is>
          <x:t>●</x:t>
        </x:is>
      </x:c>
      <x:c r="F11" s="73" t="inlineStr">
        <x:is>
          <x:t>○</x:t>
        </x:is>
      </x:c>
      <x:c r="G11" s="72" t="inlineStr">
        <x:is>
          <x:t>●</x:t>
        </x:is>
      </x:c>
      <x:c r="H11" s="72" t="inlineStr">
        <x:is>
          <x:t>●</x:t>
        </x:is>
      </x:c>
      <x:c r="I11" s="72" t="inlineStr">
        <x:is>
          <x:t>●</x:t>
        </x:is>
      </x:c>
      <x:c r="J11" s="7" t="inlineStr">
        <x:is>
          <x:t>Fornecedor / contrato</x:t>
        </x:is>
      </x:c>
      <x:c r="K11" s="7" t="inlineStr">
        <x:is>
          <x:t>saving, ciclo, risco</x:t>
        </x:is>
      </x:c>
      <x:c r="L11" s="7" t="inlineStr">
        <x:is>
          <x:t>separar saving de custo operacional</x:t>
        </x:is>
      </x:c>
    </x:row>
    <x:row r="12" ht="48" customHeight="1">
      <x:c r="A12" s="6" t="inlineStr">
        <x:is>
          <x:t>Marketing e pipeline</x:t>
        </x:is>
      </x:c>
      <x:c r="B12" s="71" t="inlineStr">
        <x:is>
          <x:t>○</x:t>
        </x:is>
      </x:c>
      <x:c r="C12" s="70" t="inlineStr">
        <x:is>
          <x:t>●</x:t>
        </x:is>
      </x:c>
      <x:c r="D12" s="71" t="inlineStr">
        <x:is>
          <x:t>○</x:t>
        </x:is>
      </x:c>
      <x:c r="E12" s="70" t="inlineStr">
        <x:is>
          <x:t>●</x:t>
        </x:is>
      </x:c>
      <x:c r="F12" s="70" t="inlineStr">
        <x:is>
          <x:t>●</x:t>
        </x:is>
      </x:c>
      <x:c r="G12" s="70" t="inlineStr">
        <x:is>
          <x:t>●</x:t>
        </x:is>
      </x:c>
      <x:c r="H12" s="70" t="inlineStr">
        <x:is>
          <x:t>●</x:t>
        </x:is>
      </x:c>
      <x:c r="I12" s="70" t="inlineStr">
        <x:is>
          <x:t>●</x:t>
        </x:is>
      </x:c>
      <x:c r="J12" s="6" t="inlineStr">
        <x:is>
          <x:t>Campanha / oportunidade</x:t>
        </x:is>
      </x:c>
      <x:c r="K12" s="6" t="inlineStr">
        <x:is>
          <x:t>pipeline e margem</x:t>
        </x:is>
      </x:c>
      <x:c r="L12" s="6" t="inlineStr">
        <x:is>
          <x:t>não somar pipeline e receita</x:t>
        </x:is>
      </x:c>
    </x:row>
    <x:row r="13" ht="48" customHeight="1">
      <x:c r="A13" s="7" t="inlineStr">
        <x:is>
          <x:t>Entidade e associados</x:t>
        </x:is>
      </x:c>
      <x:c r="B13" s="73" t="inlineStr">
        <x:is>
          <x:t>○</x:t>
        </x:is>
      </x:c>
      <x:c r="C13" s="72" t="inlineStr">
        <x:is>
          <x:t>●</x:t>
        </x:is>
      </x:c>
      <x:c r="D13" s="72" t="inlineStr">
        <x:is>
          <x:t>●</x:t>
        </x:is>
      </x:c>
      <x:c r="E13" s="72" t="inlineStr">
        <x:is>
          <x:t>●</x:t>
        </x:is>
      </x:c>
      <x:c r="F13" s="72" t="inlineStr">
        <x:is>
          <x:t>●</x:t>
        </x:is>
      </x:c>
      <x:c r="G13" s="72" t="inlineStr">
        <x:is>
          <x:t>●</x:t>
        </x:is>
      </x:c>
      <x:c r="H13" s="72" t="inlineStr">
        <x:is>
          <x:t>●</x:t>
        </x:is>
      </x:c>
      <x:c r="I13" s="72" t="inlineStr">
        <x:is>
          <x:t>●</x:t>
        </x:is>
      </x:c>
      <x:c r="J13" s="7" t="inlineStr">
        <x:is>
          <x:t>Entidade / vínculo</x:t>
        </x:is>
      </x:c>
      <x:c r="K13" s="7" t="inlineStr">
        <x:is>
          <x:t>ativação, renovação, valor</x:t>
        </x:is>
      </x:c>
      <x:c r="L13" s="7" t="inlineStr">
        <x:is>
          <x:t>separar valor do associado e receita da entidade</x:t>
        </x:is>
      </x:c>
    </x:row>
    <x:row r="14" ht="48" customHeight="1">
      <x:c r="A14" s="6" t="inlineStr">
        <x:is>
          <x:t>Risco</x:t>
        </x:is>
      </x:c>
      <x:c r="B14" s="70" t="inlineStr">
        <x:is>
          <x:t>●</x:t>
        </x:is>
      </x:c>
      <x:c r="C14" s="70" t="inlineStr">
        <x:is>
          <x:t>●</x:t>
        </x:is>
      </x:c>
      <x:c r="D14" s="70" t="inlineStr">
        <x:is>
          <x:t>●</x:t>
        </x:is>
      </x:c>
      <x:c r="E14" s="70" t="inlineStr">
        <x:is>
          <x:t>●</x:t>
        </x:is>
      </x:c>
      <x:c r="F14" s="71" t="inlineStr">
        <x:is>
          <x:t>○</x:t>
        </x:is>
      </x:c>
      <x:c r="G14" s="70" t="inlineStr">
        <x:is>
          <x:t>●</x:t>
        </x:is>
      </x:c>
      <x:c r="H14" s="70" t="inlineStr">
        <x:is>
          <x:t>●</x:t>
        </x:is>
      </x:c>
      <x:c r="I14" s="70" t="inlineStr">
        <x:is>
          <x:t>●</x:t>
        </x:is>
      </x:c>
      <x:c r="J14" s="6" t="inlineStr">
        <x:is>
          <x:t>Risco / controle</x:t>
        </x:is>
      </x:c>
      <x:c r="K14" s="6" t="inlineStr">
        <x:is>
          <x:t>perda esperada evitada</x:t>
        </x:is>
      </x:c>
      <x:c r="L14" s="6" t="inlineStr">
        <x:is>
          <x:t>não somar risco esperado e perda real</x:t>
        </x:is>
      </x:c>
    </x:row>
    <x:row r="15" ht="48" customHeight="1">
      <x:c r="A15" s="7" t="inlineStr">
        <x:is>
          <x:t>Receita recorrente HUB</x:t>
        </x:is>
      </x:c>
      <x:c r="B15" s="73" t="inlineStr">
        <x:is>
          <x:t>○</x:t>
        </x:is>
      </x:c>
      <x:c r="C15" s="73" t="inlineStr">
        <x:is>
          <x:t>○</x:t>
        </x:is>
      </x:c>
      <x:c r="D15" s="73" t="inlineStr">
        <x:is>
          <x:t>○</x:t>
        </x:is>
      </x:c>
      <x:c r="E15" s="72" t="inlineStr">
        <x:is>
          <x:t>●</x:t>
        </x:is>
      </x:c>
      <x:c r="F15" s="72" t="inlineStr">
        <x:is>
          <x:t>●</x:t>
        </x:is>
      </x:c>
      <x:c r="G15" s="72" t="inlineStr">
        <x:is>
          <x:t>●</x:t>
        </x:is>
      </x:c>
      <x:c r="H15" s="72" t="inlineStr">
        <x:is>
          <x:t>●</x:t>
        </x:is>
      </x:c>
      <x:c r="I15" s="73" t="inlineStr">
        <x:is>
          <x:t>○</x:t>
        </x:is>
      </x:c>
      <x:c r="J15" s="7" t="inlineStr">
        <x:is>
          <x:t>Contrato / transação</x:t>
        </x:is>
      </x:c>
      <x:c r="K15" s="7" t="inlineStr">
        <x:is>
          <x:t>MRR, ARR, NRR</x:t>
        </x:is>
      </x:c>
      <x:c r="L15" s="7" t="inlineStr">
        <x:is>
          <x:t>não somar MRR e ARR</x:t>
        </x:is>
      </x:c>
    </x:row>
    <x:row r="16" ht="48" customHeight="1">
      <x:c r="A16" s="6" t="inlineStr">
        <x:is>
          <x:t>Impacto financeiro cliente</x:t>
        </x:is>
      </x:c>
      <x:c r="B16" s="71" t="inlineStr">
        <x:is>
          <x:t>○</x:t>
        </x:is>
      </x:c>
      <x:c r="C16" s="70" t="inlineStr">
        <x:is>
          <x:t>●</x:t>
        </x:is>
      </x:c>
      <x:c r="D16" s="70" t="inlineStr">
        <x:is>
          <x:t>●</x:t>
        </x:is>
      </x:c>
      <x:c r="E16" s="70" t="inlineStr">
        <x:is>
          <x:t>●</x:t>
        </x:is>
      </x:c>
      <x:c r="F16" s="70" t="inlineStr">
        <x:is>
          <x:t>●</x:t>
        </x:is>
      </x:c>
      <x:c r="G16" s="71" t="inlineStr">
        <x:is>
          <x:t>○</x:t>
        </x:is>
      </x:c>
      <x:c r="H16" s="70" t="inlineStr">
        <x:is>
          <x:t>●</x:t>
        </x:is>
      </x:c>
      <x:c r="I16" s="70" t="inlineStr">
        <x:is>
          <x:t>●</x:t>
        </x:is>
      </x:c>
      <x:c r="J16" s="6" t="inlineStr">
        <x:is>
          <x:t>Valor financeiro</x:t>
        </x:is>
      </x:c>
      <x:c r="K16" s="6" t="inlineStr">
        <x:is>
          <x:t>ROI e payback</x:t>
        </x:is>
      </x:c>
      <x:c r="L16" s="6" t="inlineStr">
        <x:is>
          <x:t>deduplicação por alavanca e período</x:t>
        </x:is>
      </x:c>
    </x:row>
    <x:row r="17" ht="48" customHeight="1">
      <x:c r="A17" s="7" t="inlineStr">
        <x:is>
          <x:t>Qualidade e confiança</x:t>
        </x:is>
      </x:c>
      <x:c r="B17" s="72" t="inlineStr">
        <x:is>
          <x:t>●</x:t>
        </x:is>
      </x:c>
      <x:c r="C17" s="72" t="inlineStr">
        <x:is>
          <x:t>●</x:t>
        </x:is>
      </x:c>
      <x:c r="D17" s="72" t="inlineStr">
        <x:is>
          <x:t>●</x:t>
        </x:is>
      </x:c>
      <x:c r="E17" s="72" t="inlineStr">
        <x:is>
          <x:t>●</x:t>
        </x:is>
      </x:c>
      <x:c r="F17" s="72" t="inlineStr">
        <x:is>
          <x:t>●</x:t>
        </x:is>
      </x:c>
      <x:c r="G17" s="72" t="inlineStr">
        <x:is>
          <x:t>●</x:t>
        </x:is>
      </x:c>
      <x:c r="H17" s="72" t="inlineStr">
        <x:is>
          <x:t>●</x:t>
        </x:is>
      </x:c>
      <x:c r="I17" s="72" t="inlineStr">
        <x:is>
          <x:t>●</x:t>
        </x:is>
      </x:c>
      <x:c r="J17" s="7" t="inlineStr">
        <x:is>
          <x:t>Consentimento / modelo</x:t>
        </x:is>
      </x:c>
      <x:c r="K17" s="7" t="inlineStr">
        <x:is>
          <x:t>score de confiança</x:t>
        </x:is>
      </x:c>
      <x:c r="L17" s="7" t="inlineStr">
        <x:is>
          <x:t>não monetizar qualidade isoladamente</x:t>
        </x:is>
      </x:c>
    </x:row>
  </x:sheetData>
  <x:autoFilter ref="A5:L17"/>
  <x:mergeCells count="2">
    <x:mergeCell ref="A3:L3"/>
    <x:mergeCell ref="A1:L2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15.xml><?xml version="1.0" encoding="utf-8"?>
<x:worksheet xmlns:x="http://schemas.openxmlformats.org/spreadsheetml/2006/main">
  <x:sheetPr>
    <x:tabColor rgb="00041C35"/>
    <x:outlinePr summaryBelow="1" summaryRight="1"/>
    <x:pageSetUpPr fitToPage="1"/>
  </x:sheetPr>
  <x:dimension ref="A1:L18"/>
  <x:sheetViews>
    <x:sheetView showGridLines="0" workbookViewId="0">
      <x:pane ySplit="5" topLeftCell="A6" activePane="bottomLeft" state="frozen"/>
      <x:selection pane="bottomLeft" activeCell="A1" sqref="A1"/>
    </x:sheetView>
  </x:sheetViews>
  <x:sheetFormatPr baseColWidth="8" defaultRowHeight="15"/>
  <x:cols>
    <x:col min="1" max="1" width="38" customWidth="1"/>
    <x:col min="2" max="2" width="14" customWidth="1"/>
    <x:col min="3" max="3" width="14" customWidth="1"/>
    <x:col min="4" max="4" width="14" customWidth="1"/>
    <x:col min="5" max="5" width="14" customWidth="1"/>
    <x:col min="6" max="6" width="16" customWidth="1"/>
    <x:col min="7" max="7" width="22" customWidth="1"/>
    <x:col min="8" max="8" width="22" customWidth="1"/>
    <x:col min="9" max="9" width="22" customWidth="1"/>
    <x:col min="10" max="10" width="20" customWidth="1"/>
    <x:col min="11" max="11" width="16" customWidth="1"/>
    <x:col min="12" max="12" width="42" customWidth="1"/>
  </x:cols>
  <x:sheetData>
    <x:row r="1" ht="26" customHeight="1">
      <x:c r="A1" s="1" t="inlineStr">
        <x:is>
          <x:t>RACI de dados, métricas e valor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6" customHeight="1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 ht="24" customHeight="1">
      <x:c r="A3" s="3" t="inlineStr">
        <x:is>
          <x:t>R = executa | A = responde pelo resultado | C = consultado | I = informado.</x:t>
        </x:is>
      </x:c>
    </x:row>
    <x:row r="5" ht="34" customHeight="1">
      <x:c r="A5" s="44" t="inlineStr">
        <x:is>
          <x:t>Atividade</x:t>
        </x:is>
      </x:c>
      <x:c r="B5" s="44" t="inlineStr">
        <x:is>
          <x:t>CEO HUB</x:t>
        </x:is>
      </x:c>
      <x:c r="C5" s="44" t="inlineStr">
        <x:is>
          <x:t>Produto</x:t>
        </x:is>
      </x:c>
      <x:c r="D5" s="44" t="inlineStr">
        <x:is>
          <x:t>Data Eng.</x:t>
        </x:is>
      </x:c>
      <x:c r="E5" s="44" t="inlineStr">
        <x:is>
          <x:t>Data Science</x:t>
        </x:is>
      </x:c>
      <x:c r="F5" s="44" t="inlineStr">
        <x:is>
          <x:t>Financeiro HUB</x:t>
        </x:is>
      </x:c>
      <x:c r="G5" s="44" t="inlineStr">
        <x:is>
          <x:t>Cliente / patrocinador</x:t>
        </x:is>
      </x:c>
      <x:c r="H5" s="44" t="inlineStr">
        <x:is>
          <x:t>Owner do processo</x:t>
        </x:is>
      </x:c>
      <x:c r="I5" s="44" t="inlineStr">
        <x:is>
          <x:t>Controladoria cliente</x:t>
        </x:is>
      </x:c>
      <x:c r="J5" s="44" t="inlineStr">
        <x:is>
          <x:t>DPO / Segurança</x:t>
        </x:is>
      </x:c>
      <x:c r="K5" s="44" t="inlineStr">
        <x:is>
          <x:t>Entidade</x:t>
        </x:is>
      </x:c>
      <x:c r="L5" s="44" t="inlineStr">
        <x:is>
          <x:t>Observação</x:t>
        </x:is>
      </x:c>
    </x:row>
    <x:row r="6" ht="48" customHeight="1">
      <x:c r="A6" s="6" t="inlineStr">
        <x:is>
          <x:t>Definir objetivo e decisão</x:t>
        </x:is>
      </x:c>
      <x:c r="B6" s="6" t="inlineStr">
        <x:is>
          <x:t>A</x:t>
        </x:is>
      </x:c>
      <x:c r="C6" s="6" t="inlineStr">
        <x:is>
          <x:t>C</x:t>
        </x:is>
      </x:c>
      <x:c r="D6" s="6" t="inlineStr">
        <x:is>
          <x:t>I</x:t>
        </x:is>
      </x:c>
      <x:c r="E6" s="6" t="inlineStr">
        <x:is>
          <x:t>C</x:t>
        </x:is>
      </x:c>
      <x:c r="F6" s="6" t="inlineStr">
        <x:is>
          <x:t>C</x:t>
        </x:is>
      </x:c>
      <x:c r="G6" s="6" t="inlineStr">
        <x:is>
          <x:t>A</x:t>
        </x:is>
      </x:c>
      <x:c r="H6" s="6" t="inlineStr">
        <x:is>
          <x:t>R</x:t>
        </x:is>
      </x:c>
      <x:c r="I6" s="6" t="inlineStr">
        <x:is>
          <x:t>C</x:t>
        </x:is>
      </x:c>
      <x:c r="J6" s="6" t="inlineStr">
        <x:is>
          <x:t>I</x:t>
        </x:is>
      </x:c>
      <x:c r="K6" s="6" t="inlineStr">
        <x:is>
          <x:t>C</x:t>
        </x:is>
      </x:c>
      <x:c r="L6" s="6" t="inlineStr">
        <x:is>
          <x:t>Começar pela decisão, não pelo dashboard</x:t>
        </x:is>
      </x:c>
    </x:row>
    <x:row r="7" ht="48" customHeight="1">
      <x:c r="A7" s="7" t="inlineStr">
        <x:is>
          <x:t>Definir indicador e fórmula</x:t>
        </x:is>
      </x:c>
      <x:c r="B7" s="7" t="inlineStr">
        <x:is>
          <x:t>I</x:t>
        </x:is>
      </x:c>
      <x:c r="C7" s="7" t="inlineStr">
        <x:is>
          <x:t>C</x:t>
        </x:is>
      </x:c>
      <x:c r="D7" s="7" t="inlineStr">
        <x:is>
          <x:t>C</x:t>
        </x:is>
      </x:c>
      <x:c r="E7" s="7" t="inlineStr">
        <x:is>
          <x:t>C</x:t>
        </x:is>
      </x:c>
      <x:c r="F7" s="7" t="inlineStr">
        <x:is>
          <x:t>C</x:t>
        </x:is>
      </x:c>
      <x:c r="G7" s="7" t="inlineStr">
        <x:is>
          <x:t>A</x:t>
        </x:is>
      </x:c>
      <x:c r="H7" s="7" t="inlineStr">
        <x:is>
          <x:t>R</x:t>
        </x:is>
      </x:c>
      <x:c r="I7" s="7" t="inlineStr">
        <x:is>
          <x:t>C</x:t>
        </x:is>
      </x:c>
      <x:c r="J7" s="7" t="inlineStr">
        <x:is>
          <x:t>C</x:t>
        </x:is>
      </x:c>
      <x:c r="K7" s="7" t="inlineStr">
        <x:is>
          <x:t>C</x:t>
        </x:is>
      </x:c>
      <x:c r="L7" s="7" t="inlineStr">
        <x:is>
          <x:t>Owner de negócio aprova semântica</x:t>
        </x:is>
      </x:c>
    </x:row>
    <x:row r="8" ht="48" customHeight="1">
      <x:c r="A8" s="6" t="inlineStr">
        <x:is>
          <x:t>Instrumentar eventos</x:t>
        </x:is>
      </x:c>
      <x:c r="B8" s="6" t="inlineStr">
        <x:is>
          <x:t>I</x:t>
        </x:is>
      </x:c>
      <x:c r="C8" s="6" t="inlineStr">
        <x:is>
          <x:t>A/R</x:t>
        </x:is>
      </x:c>
      <x:c r="D8" s="6" t="inlineStr">
        <x:is>
          <x:t>R</x:t>
        </x:is>
      </x:c>
      <x:c r="E8" s="6" t="inlineStr">
        <x:is>
          <x:t>C</x:t>
        </x:is>
      </x:c>
      <x:c r="F8" s="6" t="inlineStr">
        <x:is>
          <x:t>I</x:t>
        </x:is>
      </x:c>
      <x:c r="G8" s="6" t="inlineStr">
        <x:is>
          <x:t>I</x:t>
        </x:is>
      </x:c>
      <x:c r="H8" s="6" t="inlineStr">
        <x:is>
          <x:t>C</x:t>
        </x:is>
      </x:c>
      <x:c r="I8" s="6" t="inlineStr">
        <x:is>
          <x:t>I</x:t>
        </x:is>
      </x:c>
      <x:c r="J8" s="6" t="inlineStr">
        <x:is>
          <x:t>C</x:t>
        </x:is>
      </x:c>
      <x:c r="K8" s="6" t="inlineStr">
        <x:is>
          <x:t>I</x:t>
        </x:is>
      </x:c>
      <x:c r="L8" s="6" t="inlineStr">
        <x:is>
          <x:t>Contrato de dados versionado</x:t>
        </x:is>
      </x:c>
    </x:row>
    <x:row r="9" ht="48" customHeight="1">
      <x:c r="A9" s="7" t="inlineStr">
        <x:is>
          <x:t>Integrar fontes</x:t>
        </x:is>
      </x:c>
      <x:c r="B9" s="7" t="inlineStr">
        <x:is>
          <x:t>I</x:t>
        </x:is>
      </x:c>
      <x:c r="C9" s="7" t="inlineStr">
        <x:is>
          <x:t>C</x:t>
        </x:is>
      </x:c>
      <x:c r="D9" s="7" t="inlineStr">
        <x:is>
          <x:t>A/R</x:t>
        </x:is>
      </x:c>
      <x:c r="E9" s="7" t="inlineStr">
        <x:is>
          <x:t>C</x:t>
        </x:is>
      </x:c>
      <x:c r="F9" s="7" t="inlineStr">
        <x:is>
          <x:t>I</x:t>
        </x:is>
      </x:c>
      <x:c r="G9" s="7" t="inlineStr">
        <x:is>
          <x:t>C</x:t>
        </x:is>
      </x:c>
      <x:c r="H9" s="7" t="inlineStr">
        <x:is>
          <x:t>C</x:t>
        </x:is>
      </x:c>
      <x:c r="I9" s="7" t="inlineStr">
        <x:is>
          <x:t>I</x:t>
        </x:is>
      </x:c>
      <x:c r="J9" s="7" t="inlineStr">
        <x:is>
          <x:t>C</x:t>
        </x:is>
      </x:c>
      <x:c r="K9" s="7" t="inlineStr">
        <x:is>
          <x:t>C</x:t>
        </x:is>
      </x:c>
      <x:c r="L9" s="7" t="inlineStr">
        <x:is>
          <x:t>SLA e linhagem obrigatórios</x:t>
        </x:is>
      </x:c>
    </x:row>
    <x:row r="10" ht="48" customHeight="1">
      <x:c r="A10" s="6" t="inlineStr">
        <x:is>
          <x:t>Garantir consentimento e acesso</x:t>
        </x:is>
      </x:c>
      <x:c r="B10" s="6" t="inlineStr">
        <x:is>
          <x:t>I</x:t>
        </x:is>
      </x:c>
      <x:c r="C10" s="6" t="inlineStr">
        <x:is>
          <x:t>C</x:t>
        </x:is>
      </x:c>
      <x:c r="D10" s="6" t="inlineStr">
        <x:is>
          <x:t>R</x:t>
        </x:is>
      </x:c>
      <x:c r="E10" s="6" t="inlineStr">
        <x:is>
          <x:t>C</x:t>
        </x:is>
      </x:c>
      <x:c r="F10" s="6" t="inlineStr">
        <x:is>
          <x:t>I</x:t>
        </x:is>
      </x:c>
      <x:c r="G10" s="6" t="inlineStr">
        <x:is>
          <x:t>C</x:t>
        </x:is>
      </x:c>
      <x:c r="H10" s="6" t="inlineStr">
        <x:is>
          <x:t>I</x:t>
        </x:is>
      </x:c>
      <x:c r="I10" s="6" t="inlineStr">
        <x:is>
          <x:t>I</x:t>
        </x:is>
      </x:c>
      <x:c r="J10" s="6" t="inlineStr">
        <x:is>
          <x:t>A/R</x:t>
        </x:is>
      </x:c>
      <x:c r="K10" s="6" t="inlineStr">
        <x:is>
          <x:t>I</x:t>
        </x:is>
      </x:c>
      <x:c r="L10" s="6" t="inlineStr">
        <x:is>
          <x:t>Gate de privacidade</x:t>
        </x:is>
      </x:c>
    </x:row>
    <x:row r="11" ht="48" customHeight="1">
      <x:c r="A11" s="7" t="inlineStr">
        <x:is>
          <x:t>Certificar qualidade</x:t>
        </x:is>
      </x:c>
      <x:c r="B11" s="7" t="inlineStr">
        <x:is>
          <x:t>I</x:t>
        </x:is>
      </x:c>
      <x:c r="C11" s="7" t="inlineStr">
        <x:is>
          <x:t>C</x:t>
        </x:is>
      </x:c>
      <x:c r="D11" s="7" t="inlineStr">
        <x:is>
          <x:t>A/R</x:t>
        </x:is>
      </x:c>
      <x:c r="E11" s="7" t="inlineStr">
        <x:is>
          <x:t>C</x:t>
        </x:is>
      </x:c>
      <x:c r="F11" s="7" t="inlineStr">
        <x:is>
          <x:t>I</x:t>
        </x:is>
      </x:c>
      <x:c r="G11" s="7" t="inlineStr">
        <x:is>
          <x:t>C</x:t>
        </x:is>
      </x:c>
      <x:c r="H11" s="7" t="inlineStr">
        <x:is>
          <x:t>C</x:t>
        </x:is>
      </x:c>
      <x:c r="I11" s="7" t="inlineStr">
        <x:is>
          <x:t>I</x:t>
        </x:is>
      </x:c>
      <x:c r="J11" s="7" t="inlineStr">
        <x:is>
          <x:t>C</x:t>
        </x:is>
      </x:c>
      <x:c r="K11" s="7" t="inlineStr">
        <x:is>
          <x:t>I</x:t>
        </x:is>
      </x:c>
      <x:c r="L11" s="7" t="inlineStr">
        <x:is>
          <x:t>Quality gate antes da publicação</x:t>
        </x:is>
      </x:c>
    </x:row>
    <x:row r="12" ht="48" customHeight="1">
      <x:c r="A12" s="6" t="inlineStr">
        <x:is>
          <x:t>Definir baseline e cohort</x:t>
        </x:is>
      </x:c>
      <x:c r="B12" s="6" t="inlineStr">
        <x:is>
          <x:t>I</x:t>
        </x:is>
      </x:c>
      <x:c r="C12" s="6" t="inlineStr">
        <x:is>
          <x:t>C</x:t>
        </x:is>
      </x:c>
      <x:c r="D12" s="6" t="inlineStr">
        <x:is>
          <x:t>C</x:t>
        </x:is>
      </x:c>
      <x:c r="E12" s="6" t="inlineStr">
        <x:is>
          <x:t>A/R</x:t>
        </x:is>
      </x:c>
      <x:c r="F12" s="6" t="inlineStr">
        <x:is>
          <x:t>C</x:t>
        </x:is>
      </x:c>
      <x:c r="G12" s="6" t="inlineStr">
        <x:is>
          <x:t>A</x:t>
        </x:is>
      </x:c>
      <x:c r="H12" s="6" t="inlineStr">
        <x:is>
          <x:t>C</x:t>
        </x:is>
      </x:c>
      <x:c r="I12" s="6" t="inlineStr">
        <x:is>
          <x:t>C</x:t>
        </x:is>
      </x:c>
      <x:c r="J12" s="6" t="inlineStr">
        <x:is>
          <x:t>C</x:t>
        </x:is>
      </x:c>
      <x:c r="K12" s="6" t="inlineStr">
        <x:is>
          <x:t>I</x:t>
        </x:is>
      </x:c>
      <x:c r="L12" s="6" t="inlineStr">
        <x:is>
          <x:t>Antes da intervenção</x:t>
        </x:is>
      </x:c>
    </x:row>
    <x:row r="13" ht="48" customHeight="1">
      <x:c r="A13" s="7" t="inlineStr">
        <x:is>
          <x:t>Calcular efeito</x:t>
        </x:is>
      </x:c>
      <x:c r="B13" s="7" t="inlineStr">
        <x:is>
          <x:t>I</x:t>
        </x:is>
      </x:c>
      <x:c r="C13" s="7" t="inlineStr">
        <x:is>
          <x:t>I</x:t>
        </x:is>
      </x:c>
      <x:c r="D13" s="7" t="inlineStr">
        <x:is>
          <x:t>C</x:t>
        </x:is>
      </x:c>
      <x:c r="E13" s="7" t="inlineStr">
        <x:is>
          <x:t>A/R</x:t>
        </x:is>
      </x:c>
      <x:c r="F13" s="7" t="inlineStr">
        <x:is>
          <x:t>C</x:t>
        </x:is>
      </x:c>
      <x:c r="G13" s="7" t="inlineStr">
        <x:is>
          <x:t>C</x:t>
        </x:is>
      </x:c>
      <x:c r="H13" s="7" t="inlineStr">
        <x:is>
          <x:t>C</x:t>
        </x:is>
      </x:c>
      <x:c r="I13" s="7" t="inlineStr">
        <x:is>
          <x:t>C</x:t>
        </x:is>
      </x:c>
      <x:c r="J13" s="7" t="inlineStr">
        <x:is>
          <x:t>I</x:t>
        </x:is>
      </x:c>
      <x:c r="K13" s="7" t="inlineStr">
        <x:is>
          <x:t>I</x:t>
        </x:is>
      </x:c>
      <x:c r="L13" s="7" t="inlineStr">
        <x:is>
          <x:t>Método e incerteza registrados</x:t>
        </x:is>
      </x:c>
    </x:row>
    <x:row r="14" ht="48" customHeight="1">
      <x:c r="A14" s="6" t="inlineStr">
        <x:is>
          <x:t>Monetizar benefício</x:t>
        </x:is>
      </x:c>
      <x:c r="B14" s="6" t="inlineStr">
        <x:is>
          <x:t>I</x:t>
        </x:is>
      </x:c>
      <x:c r="C14" s="6" t="inlineStr">
        <x:is>
          <x:t>I</x:t>
        </x:is>
      </x:c>
      <x:c r="D14" s="6" t="inlineStr">
        <x:is>
          <x:t>C</x:t>
        </x:is>
      </x:c>
      <x:c r="E14" s="6" t="inlineStr">
        <x:is>
          <x:t>C</x:t>
        </x:is>
      </x:c>
      <x:c r="F14" s="6" t="inlineStr">
        <x:is>
          <x:t>A/R</x:t>
        </x:is>
      </x:c>
      <x:c r="G14" s="6" t="inlineStr">
        <x:is>
          <x:t>C</x:t>
        </x:is>
      </x:c>
      <x:c r="H14" s="6" t="inlineStr">
        <x:is>
          <x:t>C</x:t>
        </x:is>
      </x:c>
      <x:c r="I14" s="6" t="inlineStr">
        <x:is>
          <x:t>A</x:t>
        </x:is>
      </x:c>
      <x:c r="J14" s="6" t="inlineStr">
        <x:is>
          <x:t>I</x:t>
        </x:is>
      </x:c>
      <x:c r="K14" s="6" t="inlineStr">
        <x:is>
          <x:t>I</x:t>
        </x:is>
      </x:c>
      <x:c r="L14" s="6" t="inlineStr">
        <x:is>
          <x:t>Conversão financeira transparente</x:t>
        </x:is>
      </x:c>
    </x:row>
    <x:row r="15" ht="48" customHeight="1">
      <x:c r="A15" s="7" t="inlineStr">
        <x:is>
          <x:t>Aprovar benefício</x:t>
        </x:is>
      </x:c>
      <x:c r="B15" s="7" t="inlineStr">
        <x:is>
          <x:t>I</x:t>
        </x:is>
      </x:c>
      <x:c r="C15" s="7" t="inlineStr">
        <x:is>
          <x:t>I</x:t>
        </x:is>
      </x:c>
      <x:c r="D15" s="7" t="inlineStr">
        <x:is>
          <x:t>I</x:t>
        </x:is>
      </x:c>
      <x:c r="E15" s="7" t="inlineStr">
        <x:is>
          <x:t>C</x:t>
        </x:is>
      </x:c>
      <x:c r="F15" s="7" t="inlineStr">
        <x:is>
          <x:t>R</x:t>
        </x:is>
      </x:c>
      <x:c r="G15" s="7" t="inlineStr">
        <x:is>
          <x:t>A</x:t>
        </x:is>
      </x:c>
      <x:c r="H15" s="7" t="inlineStr">
        <x:is>
          <x:t>C</x:t>
        </x:is>
      </x:c>
      <x:c r="I15" s="7" t="inlineStr">
        <x:is>
          <x:t>A/R</x:t>
        </x:is>
      </x:c>
      <x:c r="J15" s="7" t="inlineStr">
        <x:is>
          <x:t>I</x:t>
        </x:is>
      </x:c>
      <x:c r="K15" s="7" t="inlineStr">
        <x:is>
          <x:t>I</x:t>
        </x:is>
      </x:c>
      <x:c r="L15" s="7" t="inlineStr">
        <x:is>
          <x:t>Sign-off do cliente</x:t>
        </x:is>
      </x:c>
    </x:row>
    <x:row r="16" ht="48" customHeight="1">
      <x:c r="A16" s="6" t="inlineStr">
        <x:is>
          <x:t>Publicar dashboard</x:t>
        </x:is>
      </x:c>
      <x:c r="B16" s="6" t="inlineStr">
        <x:is>
          <x:t>I</x:t>
        </x:is>
      </x:c>
      <x:c r="C16" s="6" t="inlineStr">
        <x:is>
          <x:t>A</x:t>
        </x:is>
      </x:c>
      <x:c r="D16" s="6" t="inlineStr">
        <x:is>
          <x:t>R</x:t>
        </x:is>
      </x:c>
      <x:c r="E16" s="6" t="inlineStr">
        <x:is>
          <x:t>C</x:t>
        </x:is>
      </x:c>
      <x:c r="F16" s="6" t="inlineStr">
        <x:is>
          <x:t>C</x:t>
        </x:is>
      </x:c>
      <x:c r="G16" s="6" t="inlineStr">
        <x:is>
          <x:t>C</x:t>
        </x:is>
      </x:c>
      <x:c r="H16" s="6" t="inlineStr">
        <x:is>
          <x:t>C</x:t>
        </x:is>
      </x:c>
      <x:c r="I16" s="6" t="inlineStr">
        <x:is>
          <x:t>I</x:t>
        </x:is>
      </x:c>
      <x:c r="J16" s="6" t="inlineStr">
        <x:is>
          <x:t>C</x:t>
        </x:is>
      </x:c>
      <x:c r="K16" s="6" t="inlineStr">
        <x:is>
          <x:t>I</x:t>
        </x:is>
      </x:c>
      <x:c r="L16" s="6" t="inlineStr">
        <x:is>
          <x:t>Somente métrica certificada</x:t>
        </x:is>
      </x:c>
    </x:row>
    <x:row r="17" ht="48" customHeight="1">
      <x:c r="A17" s="7" t="inlineStr">
        <x:is>
          <x:t>Monitorar modelo</x:t>
        </x:is>
      </x:c>
      <x:c r="B17" s="7" t="inlineStr">
        <x:is>
          <x:t>I</x:t>
        </x:is>
      </x:c>
      <x:c r="C17" s="7" t="inlineStr">
        <x:is>
          <x:t>C</x:t>
        </x:is>
      </x:c>
      <x:c r="D17" s="7" t="inlineStr">
        <x:is>
          <x:t>C</x:t>
        </x:is>
      </x:c>
      <x:c r="E17" s="7" t="inlineStr">
        <x:is>
          <x:t>A/R</x:t>
        </x:is>
      </x:c>
      <x:c r="F17" s="7" t="inlineStr">
        <x:is>
          <x:t>I</x:t>
        </x:is>
      </x:c>
      <x:c r="G17" s="7" t="inlineStr">
        <x:is>
          <x:t>I</x:t>
        </x:is>
      </x:c>
      <x:c r="H17" s="7" t="inlineStr">
        <x:is>
          <x:t>C</x:t>
        </x:is>
      </x:c>
      <x:c r="I17" s="7" t="inlineStr">
        <x:is>
          <x:t>I</x:t>
        </x:is>
      </x:c>
      <x:c r="J17" s="7" t="inlineStr">
        <x:is>
          <x:t>A/C</x:t>
        </x:is>
      </x:c>
      <x:c r="K17" s="7" t="inlineStr">
        <x:is>
          <x:t>I</x:t>
        </x:is>
      </x:c>
      <x:c r="L17" s="7" t="inlineStr">
        <x:is>
          <x:t>Performance, fairness e drift</x:t>
        </x:is>
      </x:c>
    </x:row>
    <x:row r="18" ht="48" customHeight="1">
      <x:c r="A18" s="6" t="inlineStr">
        <x:is>
          <x:t>Decidir escala / correção</x:t>
        </x:is>
      </x:c>
      <x:c r="B18" s="6" t="inlineStr">
        <x:is>
          <x:t>A</x:t>
        </x:is>
      </x:c>
      <x:c r="C18" s="6" t="inlineStr">
        <x:is>
          <x:t>C</x:t>
        </x:is>
      </x:c>
      <x:c r="D18" s="6" t="inlineStr">
        <x:is>
          <x:t>I</x:t>
        </x:is>
      </x:c>
      <x:c r="E18" s="6" t="inlineStr">
        <x:is>
          <x:t>C</x:t>
        </x:is>
      </x:c>
      <x:c r="F18" s="6" t="inlineStr">
        <x:is>
          <x:t>C</x:t>
        </x:is>
      </x:c>
      <x:c r="G18" s="6" t="inlineStr">
        <x:is>
          <x:t>A</x:t>
        </x:is>
      </x:c>
      <x:c r="H18" s="6" t="inlineStr">
        <x:is>
          <x:t>R</x:t>
        </x:is>
      </x:c>
      <x:c r="I18" s="6" t="inlineStr">
        <x:is>
          <x:t>C</x:t>
        </x:is>
      </x:c>
      <x:c r="J18" s="6" t="inlineStr">
        <x:is>
          <x:t>I</x:t>
        </x:is>
      </x:c>
      <x:c r="K18" s="6" t="inlineStr">
        <x:is>
          <x:t>C</x:t>
        </x:is>
      </x:c>
      <x:c r="L18" s="6" t="inlineStr">
        <x:is>
          <x:t>Baseada em evidência e unit economics</x:t>
        </x:is>
      </x:c>
    </x:row>
  </x:sheetData>
  <x:autoFilter ref="A5:L18"/>
  <x:mergeCells count="2">
    <x:mergeCell ref="A3:L3"/>
    <x:mergeCell ref="A1:L2"/>
  </x:mergeCells>
  <x:pageMargins left="0.25" right="0.25" top="0.45" bottom="0.45" header="0.5" footer="0.5"/>
  <x:pageSetup fitToWidth="1" orientation="landscape"/>
  <x:headerFooter>
    <x:oddHeader/>
    <x:oddFooter>&amp;LArquitetura de inteligência — v1.0&amp;CHUB • Pessoas • Dados • Resultados&amp;RPágina &amp;P de &amp;N</x:oddFooter>
    <x:evenHeader/>
    <x:evenFooter/>
    <x:firstHeader/>
    <x:firstFooter/>
  </x:headerFooter>
  <x:tableParts count="1">
    <x:tablePart xmlns:r="http://schemas.openxmlformats.org/officeDocument/2006/relationships" r:id="rId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cols>
    <x:col min="1" max="1" width="120" customWidth="1"/>
  </x:cols>
  <x:sheetData>
    <x:row r="1" ht="28" customHeight="1">
      <x:c r="A1" s="74" t="str">
        <x:v>Enhanced XLSX v1.1 — Change Log</x:v>
      </x:c>
    </x:row>
    <x:row r="2">
      <x:c r="A2" s="75" t="str">
        <x:v>Status: enhanced draft v1.1 — reviewed and structurally validated; not a production data system</x:v>
      </x:c>
    </x:row>
    <x:row r="3">
      <x:c r="A3" s="75" t="str">
        <x:v>Source: immutable HUB_Mapa_Inteligencia_Dados_Indicadores.xlsx | Date: 2026-08-20 | Build source: original workbook plus approved display refinements</x:v>
      </x:c>
    </x:row>
    <x:row r="5" ht="22" customHeight="1">
      <x:c r="A5" s="76" t="str">
        <x:v>Included changes</x:v>
      </x:c>
    </x:row>
    <x:row r="6">
      <x:c r="A6" s="75" t="str">
        <x:v>INC-001–INC-005 — pt-BR display wording, ROI premise labels, glossary distinctions, and dashboard/catalog clarification notes.</x:v>
      </x:c>
    </x:row>
    <x:row r="7">
      <x:c r="A7" s="75" t="str">
        <x:v>INC-006 — original 15-sheet structure, 13 tables, ROI chart/drawing, merges, formulas, styles, dimensions, panes, hyperlinks, print settings, and number formats preserved.</x:v>
      </x:c>
    </x:row>
    <x:row r="8">
      <x:c r="A8" s="75" t="str">
        <x:v>INC-007 — this change-log sheet added for provenance and explicit non-production status.</x:v>
      </x:c>
    </x:row>
    <x:row r="10" ht="22" customHeight="1">
      <x:c r="A10" s="76" t="str">
        <x:v>Deferred changes</x:v>
      </x:c>
    </x:row>
    <x:row r="11">
      <x:c r="A11" s="75" t="str">
        <x:v>CORR-REG-002 — operational event/integration readiness, replay, reconciliation, and publication evidence.</x:v>
      </x:c>
    </x:row>
    <x:row r="12">
      <x:c r="A12" s="75" t="str">
        <x:v>CORR-REG-003 — governance execution, deletion/access/revocation evidence, and legal approval.</x:v>
      </x:c>
    </x:row>
    <x:row r="13">
      <x:c r="A13" s="75" t="str">
        <x:v>CORR-REG-004 — recognized ROI/savings, attribution evidence, and client sign-off; all 24 assumptions remain illustrative.</x:v>
      </x:c>
    </x:row>
    <x:row r="14">
      <x:c r="A14" s="75" t="str">
        <x:v>CORR-REG-005 — proposed roadmap/RACI thresholds and signed accountable ownership.</x:v>
      </x:c>
    </x:row>
    <x:row r="16" ht="22" customHeight="1">
      <x:c r="A16" s="76" t="str">
        <x:v>Explicitly excluded</x:v>
      </x:c>
    </x:row>
    <x:row r="17">
      <x:c r="A17" s="75" t="str">
        <x:v>New indicators, entities, events, integrations, architecture modules, speculative formulas, production claims, and replacement of the original workbook.</x:v>
      </x:c>
    </x:row>
    <x:row r="19" ht="22" customHeight="1">
      <x:c r="A19" s="76" t="str">
        <x:v>Analysis reports</x:v>
      </x:c>
    </x:row>
    <x:row r="20">
      <x:c r="A20" s="75" t="str">
        <x:v>07-enhanced-v11-analysis/baseline-inventory.md</x:v>
      </x:c>
    </x:row>
    <x:row r="21">
      <x:c r="A21" s="75" t="str">
        <x:v>07-enhanced-v11-analysis/semantic-difference-analysis.md</x:v>
      </x:c>
    </x:row>
    <x:row r="22">
      <x:c r="A22" s="75" t="str">
        <x:v>07-enhanced-v11-analysis/visual-structural-audit.md</x:v>
      </x:c>
    </x:row>
    <x:row r="23">
      <x:c r="A23" s="75" t="str">
        <x:v>07-enhanced-v11-analysis/editorial-consistency-review.md</x:v>
      </x:c>
    </x:row>
    <x:row r="24">
      <x:c r="A24" s="75" t="str">
        <x:v>07-enhanced-v11-analysis/formula-roi-review.md</x:v>
      </x:c>
    </x:row>
    <x:row r="25">
      <x:c r="A25" s="75" t="str">
        <x:v>07-enhanced-v11-analysis/change-matrix.md</x:v>
      </x:c>
    </x:row>
  </x:sheetData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HUB</dc:creator>
  <dc:title xmlns:dc="http://purl.org/dc/elements/1.1/">HUB — Mapa de Inteligência de Dados e Indicadores</dc:title>
  <dc:subject xmlns:dc="http://purl.org/dc/elements/1.1/">Arquitetura de métricas, mapa neural, ROI e integração da plataforma</dc:subject>
  <dcterms:created xmlns:dcterms="http://purl.org/dc/terms/" xmlns:xsi="http://www.w3.org/2001/XMLSchema-instance" xsi:type="dcterms:W3CDTF">2026-08-17T19:53:25Z</dcterms:created>
  <dcterms:modified xmlns:dcterms="http://purl.org/dc/terms/" xmlns:xsi="http://www.w3.org/2001/XMLSchema-instance" xsi:type="dcterms:W3CDTF">2026-08-18T01:53:25Z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1.0.144</vt:lpwstr>
  </op:property>
  <op:property fmtid="{D5CDD505-2E9C-101B-9397-08002B2CF9AE}" pid="3" name="OfficeCLI.LastModified">
    <vt:lpwstr xmlns:vt="http://schemas.openxmlformats.org/officeDocument/2006/docPropsVTypes">2026-08-20T19:48:34Z</vt:lpwstr>
  </op:property>
</op:Properties>
</file>