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fbdea69444de8" /><Relationship Type="http://schemas.openxmlformats.org/package/2006/relationships/metadata/core-properties" Target="/docProps/core.xml" Id="Rc422374b16324d4f" /><Relationship Type="http://schemas.openxmlformats.org/officeDocument/2006/relationships/extended-properties" Target="/docProps/app.xml" Id="R8665d00702d746b6" /><Relationship Type="http://schemas.openxmlformats.org/officeDocument/2006/relationships/custom-properties" Target="/docProps/custom.xml" Id="R862b143b9863495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00_DRAFT_NOTICE" sheetId="1" r:id="rId1"/>
    <x:sheet name="00_Leia-me" sheetId="2" r:id="Re26699e0a5b34498"/>
    <x:sheet name="01_Mapa_Visual" sheetId="3" r:id="Rc54e651ba90d45e4"/>
    <x:sheet name="02_Nos_de_Dados" sheetId="4" r:id="R519f9d3df1b94a05"/>
    <x:sheet name="03_Conexoes" sheetId="5" r:id="R8e6222d416f24824"/>
    <x:sheet name="04_Indicadores_Master" sheetId="6" r:id="R6dbede0d65014a85"/>
    <x:sheet name="05_Arvore_de_Valor" sheetId="7" r:id="R2a6b071213de45c0"/>
    <x:sheet name="06_Simulador_ROI" sheetId="8" r:id="Re44beb1913fb4011"/>
    <x:sheet name="07_Visoes_Dashboard" sheetId="9" r:id="R14ca1c997a9c4e29"/>
    <x:sheet name="08_Dicionario_Dados" sheetId="10" r:id="R2d2fc83b7d36473b"/>
    <x:sheet name="09_Eventos_Produto" sheetId="11" r:id="R8736d409dd3c49d5"/>
    <x:sheet name="10_Integracoes" sheetId="12" r:id="R90e485049def41e6"/>
    <x:sheet name="11_Governanca_LGPD" sheetId="13" r:id="Rc03fd9cc611245eb"/>
    <x:sheet name="12_Roadmap" sheetId="14" r:id="R29c023f8e2c749db"/>
    <x:sheet name="13_Matriz_Integracao" sheetId="15" r:id="Rd72d4f0ccca4497d"/>
    <x:sheet name="14_RACI" sheetId="16" r:id="R9261d0903b654968"/>
  </x:sheets>
  <x:definedNames>
    <x:definedName name="_xlnm.Print_Titles" localSheetId="1">'00_Leia-me'!$1:$1</x:definedName>
    <x:definedName name="_xlnm.Print_Titles" localSheetId="2">'01_Mapa_Visual'!$1:$1</x:definedName>
    <x:definedName name="_xlnm.Print_Titles" localSheetId="3">'02_Nos_de_Dados'!$1:$1</x:definedName>
    <x:definedName name="_xlnm.Print_Titles" localSheetId="4">'03_Conexoes'!$1:$1</x:definedName>
    <x:definedName name="_xlnm.Print_Titles" localSheetId="5">'04_Indicadores_Master'!$1:$1</x:definedName>
    <x:definedName name="_xlnm.Print_Titles" localSheetId="6">'05_Arvore_de_Valor'!$1:$1</x:definedName>
    <x:definedName name="_xlnm.Print_Titles" localSheetId="7">'06_Simulador_ROI'!$1:$1</x:definedName>
    <x:definedName name="_xlnm.Print_Titles" localSheetId="8">'07_Visoes_Dashboard'!$1:$1</x:definedName>
    <x:definedName name="_xlnm.Print_Titles" localSheetId="9">'08_Dicionario_Dados'!$1:$1</x:definedName>
    <x:definedName name="_xlnm.Print_Titles" localSheetId="10">'09_Eventos_Produto'!$1:$1</x:definedName>
    <x:definedName name="_xlnm.Print_Titles" localSheetId="11">'10_Integracoes'!$1:$1</x:definedName>
    <x:definedName name="_xlnm.Print_Titles" localSheetId="12">'11_Governanca_LGPD'!$1:$1</x:definedName>
    <x:definedName name="_xlnm.Print_Titles" localSheetId="13">'12_Roadmap'!$1:$1</x:definedName>
    <x:definedName name="_xlnm.Print_Titles" localSheetId="14">'13_Matriz_Integracao'!$1:$1</x:definedName>
    <x:definedName name="_xlnm.Print_Titles" localSheetId="15">'14_RACI'!$1:$1</x:definedName>
  </x:definedNames>
  <x:calcPr fullCalcOnLoad="1"/>
</x:workbook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0" fontId="1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8b4460997fbe45dd" /><Relationship Type="http://schemas.openxmlformats.org/officeDocument/2006/relationships/styles" Target="/xl/styles.xml" Id="R667d1a46758c47d2" /><Relationship Type="http://schemas.openxmlformats.org/officeDocument/2006/relationships/worksheet" Target="/xl/worksheets/sheet2.xml" Id="Re26699e0a5b34498" /><Relationship Type="http://schemas.openxmlformats.org/officeDocument/2006/relationships/worksheet" Target="/xl/worksheets/sheet3.xml" Id="Rc54e651ba90d45e4" /><Relationship Type="http://schemas.openxmlformats.org/officeDocument/2006/relationships/worksheet" Target="/xl/worksheets/sheet4.xml" Id="R519f9d3df1b94a05" /><Relationship Type="http://schemas.openxmlformats.org/officeDocument/2006/relationships/worksheet" Target="/xl/worksheets/sheet5.xml" Id="R8e6222d416f24824" /><Relationship Type="http://schemas.openxmlformats.org/officeDocument/2006/relationships/worksheet" Target="/xl/worksheets/sheet6.xml" Id="R6dbede0d65014a85" /><Relationship Type="http://schemas.openxmlformats.org/officeDocument/2006/relationships/worksheet" Target="/xl/worksheets/sheet7.xml" Id="R2a6b071213de45c0" /><Relationship Type="http://schemas.openxmlformats.org/officeDocument/2006/relationships/worksheet" Target="/xl/worksheets/sheet8.xml" Id="Re44beb1913fb4011" /><Relationship Type="http://schemas.openxmlformats.org/officeDocument/2006/relationships/worksheet" Target="/xl/worksheets/sheet9.xml" Id="R14ca1c997a9c4e29" /><Relationship Type="http://schemas.openxmlformats.org/officeDocument/2006/relationships/worksheet" Target="/xl/worksheets/sheet10.xml" Id="R2d2fc83b7d36473b" /><Relationship Type="http://schemas.openxmlformats.org/officeDocument/2006/relationships/worksheet" Target="/xl/worksheets/sheet11.xml" Id="R8736d409dd3c49d5" /><Relationship Type="http://schemas.openxmlformats.org/officeDocument/2006/relationships/worksheet" Target="/xl/worksheets/sheet12.xml" Id="R90e485049def41e6" /><Relationship Type="http://schemas.openxmlformats.org/officeDocument/2006/relationships/worksheet" Target="/xl/worksheets/sheet13.xml" Id="Rc03fd9cc611245eb" /><Relationship Type="http://schemas.openxmlformats.org/officeDocument/2006/relationships/worksheet" Target="/xl/worksheets/sheet14.xml" Id="R29c023f8e2c749db" /><Relationship Type="http://schemas.openxmlformats.org/officeDocument/2006/relationships/worksheet" Target="/xl/worksheets/sheet15.xml" Id="Rd72d4f0ccca4497d" /><Relationship Type="http://schemas.openxmlformats.org/officeDocument/2006/relationships/worksheet" Target="/xl/worksheets/sheet16.xml" Id="R9261d0903b6549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cols>
    <x:col min="1" max="1" width="110" customWidth="1"/>
  </x:cols>
  <x:sheetData>
    <x:row r="1">
      <x:c r="A1" s="1" t="str">
        <x:v>UNAPPROVED DRAFT — NOT FOR PUBLICATION</x:v>
      </x:c>
    </x:row>
    <x:row r="2">
      <x:c r="A2" t="str">
        <x:v>Generated from current corrected CSVs despite rejected Phase 6 approval gate.</x:v>
      </x:c>
    </x:row>
    <x:row r="3">
      <x:c r="A3" t="str">
        <x:v>Source layer: run-01-source/ (read-only). Draft output: run-02-execution/30-models/indicadores-xlsx/05-draft-workbooks/</x:v>
      </x:c>
    </x:row>
    <x:row r="4">
      <x:c r="A4" t="str">
        <x:v>Approval status: REJECTED — CORR-REG-002..005 remain unresolved.</x:v>
      </x:c>
    </x:row>
    <x:row r="5">
      <x:c r="A5" t="str">
        <x:v>This workbook is for inspection only and must not replace or overwrite the original workbook.</x:v>
      </x:c>
    </x:row>
    <x:row r="6">
      <x:c r="A6" t="str">
        <x:v>Created: 2026-08-20</x:v>
      </x:c>
    </x:row>
  </x:sheetData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22" customWidth="1"/>
    <x:col min="3" max="3" width="22" customWidth="1"/>
  </x:cols>
  <x:sheetData>
    <x:row r="1">
      <x:c r="A1" t="str">
        <x:v>HUB | Mapa de inteligência de dados e indicadores</x:v>
      </x:c>
    </x:row>
    <x:row r="3">
      <x:c r="A3" t="str">
        <x:v>Arquitetura-base para provar valor: pessoas → decisões → resultados → impacto financeiro.</x:v>
      </x:c>
    </x:row>
    <x:row r="5">
      <x:c r="A5" t="str">
        <x:v>Este arquivo organiza a lógica de mensuração da HUB para que cada módulo gere evidências de valor. Ele separa sinais operacionais, resultados de negócio e impacto financeiro; também mostra quais dados precisam se conectar para atribuir lucro, redução de custo, produtividade, retenção, receita e risco evitado.</x:v>
      </x:c>
    </x:row>
    <x:row r="9">
      <x:c r="A9" t="str">
        <x:v>Como navegar</x:v>
      </x:c>
    </x:row>
    <x:row r="11">
      <x:c r="A11" t="str">
        <x:v>01_Mapa_Visual</x:v>
      </x:c>
      <x:c r="B11" t="str">
        <x:v>Visão em camadas do mapa neural e da cadeia de valor.</x:v>
      </x:c>
    </x:row>
    <x:row r="12">
      <x:c r="A12" t="str">
        <x:v>02_Nos_de_Dados</x:v>
      </x:c>
      <x:c r="B12" t="str">
        <x:v>Entidades que formam o grafo de inteligência da plataforma.</x:v>
      </x:c>
    </x:row>
    <x:row r="13">
      <x:c r="A13" t="str">
        <x:v>03_Conexoes</x:v>
      </x:c>
      <x:c r="B13" t="str">
        <x:v>Relações entre pessoas, empresas, entidades, oportunidades e resultados.</x:v>
      </x:c>
    </x:row>
    <x:row r="14">
      <x:c r="A14" t="str">
        <x:v>04_Indicadores_Master</x:v>
      </x:c>
      <x:c r="B14" t="str">
        <x:v>Catálogo central: fórmula, fonte, frequência, alavanca financeira e evidência.</x:v>
      </x:c>
    </x:row>
    <x:row r="15">
      <x:c r="A15" t="str">
        <x:v>05_Arvore_de_Valor</x:v>
      </x:c>
      <x:c r="B15" t="str">
        <x:v>Como cada indicador chega a receita, margem, custo, produtividade e risco.</x:v>
      </x:c>
    </x:row>
    <x:row r="16">
      <x:c r="A16" t="str">
        <x:v>06_Simulador_ROI</x:v>
      </x:c>
      <x:c r="B16" t="str">
        <x:v>Simulador editável com fórmulas financeiras e cenários.</x:v>
      </x:c>
    </x:row>
    <x:row r="17">
      <x:c r="A17" t="str">
        <x:v>07_Visoes_Dashboard</x:v>
      </x:c>
      <x:c r="B17" t="str">
        <x:v>O que cada público precisa enxergar e decidir.</x:v>
      </x:c>
    </x:row>
    <x:row r="18">
      <x:c r="A18" t="str">
        <x:v>08_Dicionario_Dados</x:v>
      </x:c>
      <x:c r="B18" t="str">
        <x:v>Estrutura mínima de tabelas, campos, chaves e sensibilidade.</x:v>
      </x:c>
    </x:row>
    <x:row r="19">
      <x:c r="A19" t="str">
        <x:v>09_Eventos_Produto</x:v>
      </x:c>
      <x:c r="B19" t="str">
        <x:v>Taxonomia de eventos para instrumentação da plataforma.</x:v>
      </x:c>
    </x:row>
    <x:row r="20">
      <x:c r="A20" t="str">
        <x:v>10_Integracoes</x:v>
      </x:c>
      <x:c r="B20" t="str">
        <x:v>Integrações de dados, APIs, chaves e SLAs.</x:v>
      </x:c>
    </x:row>
    <x:row r="21">
      <x:c r="A21" t="str">
        <x:v>11_Governanca_LGPD</x:v>
      </x:c>
      <x:c r="B21" t="str">
        <x:v>Qualidade, consentimento, segurança, atribuição e auditoria.</x:v>
      </x:c>
    </x:row>
    <x:row r="22">
      <x:c r="A22" t="str">
        <x:v>12_Roadmap</x:v>
      </x:c>
      <x:c r="B22" t="str">
        <x:v>Fases para sair de atividade medida até impacto financeiro provado.</x:v>
      </x:c>
    </x:row>
    <x:row r="23">
      <x:c r="A23" t="str">
        <x:v>13_Matriz_Integracao</x:v>
      </x:c>
      <x:c r="B23" t="str">
        <x:v>Dependências entre módulos e famílias de indicadores.</x:v>
      </x:c>
    </x:row>
    <x:row r="24">
      <x:c r="A24" t="str">
        <x:v>14_RACI</x:v>
      </x:c>
      <x:c r="B24" t="str">
        <x:v>Responsabilidade sobre dados, métricas e decisões.</x:v>
      </x:c>
    </x:row>
    <x:row r="27">
      <x:c r="A27" t="str">
        <x:v>Princípios que evitam métricas bonitas e decisões erradas</x:v>
      </x:c>
    </x:row>
    <x:row r="29">
      <x:c r="B29" t="str">
        <x:v>Baseline antes da ação</x:v>
      </x:c>
      <x:c r="C29" t="str">
        <x:v>Nenhum ganho é calculado sem situação inicial e janela de comparação.</x:v>
      </x:c>
    </x:row>
    <x:row r="30">
      <x:c r="B30" t="str">
        <x:v>Atividade não é impacto</x:v>
      </x:c>
      <x:c r="C30" t="str">
        <x:v>Acesso, clique e conclusão são sinais; não substituem produtividade, receita ou custo.</x:v>
      </x:c>
    </x:row>
    <x:row r="31">
      <x:c r="B31" t="str">
        <x:v>Atribuição explícita</x:v>
      </x:c>
      <x:c r="C31" t="str">
        <x:v>Todo valor monetizado deve registrar percentual atribuído à HUB e método de evidência.</x:v>
      </x:c>
    </x:row>
    <x:row r="32">
      <x:c r="B32" t="str">
        <x:v>Evitar dupla contagem</x:v>
      </x:c>
      <x:c r="C32" t="str">
        <x:v>Receita influenciada, margem e lucro não podem ser somados como benefícios independentes.</x:v>
      </x:c>
    </x:row>
    <x:row r="33">
      <x:c r="B33" t="str">
        <x:v>Cohorts e tempo</x:v>
      </x:c>
      <x:c r="C33" t="str">
        <x:v>Comparar grupos equivalentes e respeitar o intervalo necessário para o resultado aparecer.</x:v>
      </x:c>
    </x:row>
    <x:row r="34">
      <x:c r="B34" t="str">
        <x:v>Cortes responsáveis</x:v>
      </x:c>
      <x:c r="C34" t="str">
        <x:v>Recortes demográficos entram como dimensão analítica, com finalidade, base legal e proteção.</x:v>
      </x:c>
    </x:row>
    <x:row r="35">
      <x:c r="B35" t="str">
        <x:v>Valor para cada parte</x:v>
      </x:c>
      <x:c r="C35" t="str">
        <x:v>Pessoa, empresa, entidade e HUB possuem objetivos distintos e conectados.</x:v>
      </x:c>
    </x:row>
    <x:row r="38">
      <x:c r="A38" t="str">
        <x:v>Definições financeiras usadas no arquivo</x:v>
      </x:c>
    </x:row>
    <x:row r="40">
      <x:c r="A40" t="str">
        <x:v>Benefício bruto</x:v>
      </x:c>
      <x:c r="B40" t="str">
        <x:v>Soma dos benefícios monetizados após fator de atribuição e antes do investimento.</x:v>
      </x:c>
    </x:row>
    <x:row r="41">
      <x:c r="A41" t="str">
        <x:v>Benefício líquido</x:v>
      </x:c>
      <x:c r="B41" t="str">
        <x:v>Benefício bruto menos investimento total do cliente.</x:v>
      </x:c>
    </x:row>
    <x:row r="42">
      <x:c r="A42" t="str">
        <x:v>ROI</x:v>
      </x:c>
      <x:c r="B42" t="str">
        <x:v>(Benefício bruto − investimento total) ÷ investimento total.</x:v>
      </x:c>
    </x:row>
    <x:row r="43">
      <x:c r="A43" t="str">
        <x:v>Payback</x:v>
      </x:c>
      <x:c r="B43" t="str">
        <x:v>Meses necessários para que o benefício acumulado cubra o investimento.</x:v>
      </x:c>
    </x:row>
    <x:row r="44">
      <x:c r="A44" t="str">
        <x:v>Receita influenciada</x:v>
      </x:c>
      <x:c r="B44" t="str">
        <x:v>Receita associada a oportunidades tocadas pela HUB; não equivale automaticamente a receita incremental.</x:v>
      </x:c>
    </x:row>
    <x:row r="45">
      <x:c r="A45" t="str">
        <x:v>Risco evitado</x:v>
      </x:c>
      <x:c r="B45" t="str">
        <x:v>Redução de perda esperada: probabilidade × impacto × redução do risco × atribuição.</x:v>
      </x:c>
    </x:row>
  </x:sheetData>
  <x:pageSetup fitToWidth="1" fitToHeight="0" orientation="landscape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22" customWidth="1"/>
    <x:col min="17" max="17" width="22" customWidth="1"/>
    <x:col min="18" max="18" width="22" customWidth="1"/>
  </x:cols>
  <x:sheetData>
    <x:row r="1">
      <x:c r="A1" t="str">
        <x:v>Mapa neural da inteligência HUB</x:v>
      </x:c>
    </x:row>
    <x:row r="3">
      <x:c r="A3" t="str">
        <x:v>A plataforma conecta dados fragmentados até que possam sustentar uma decisão e provar valor financeiro.</x:v>
      </x:c>
    </x:row>
    <x:row r="5">
      <x:c r="A5" t="str">
        <x:v>FONTES</x:v>
      </x:c>
      <x:c r="D5" t="str">
        <x:v>IDENTIDADES</x:v>
      </x:c>
      <x:c r="G5" t="str">
        <x:v>SINAIS</x:v>
      </x:c>
      <x:c r="J5" t="str">
        <x:v>INTELIGÊNCIA</x:v>
      </x:c>
      <x:c r="M5" t="str">
        <x:v>AÇÃO</x:v>
      </x:c>
      <x:c r="P5" t="str">
        <x:v>RESULTADO</x:v>
      </x:c>
      <x:c r="R5" t="str">
        <x:v>VALOR FINANCEIRO</x:v>
      </x:c>
    </x:row>
    <x:row r="7">
      <x:c r="A7" t="str">
        <x:v>RH / ERP / ATS</x:v>
      </x:c>
      <x:c r="D7" t="str">
        <x:v>Pessoa</x:v>
      </x:c>
      <x:c r="G7" t="str">
        <x:v>Capacidades</x:v>
      </x:c>
      <x:c r="J7" t="str">
        <x:v>Score de prontidão</x:v>
      </x:c>
      <x:c r="M7" t="str">
        <x:v>Jornada recomendada</x:v>
      </x:c>
      <x:c r="P7" t="str">
        <x:v>Produtividade</x:v>
      </x:c>
      <x:c r="R7" t="str">
        <x:v>Horas e custo evitados</x:v>
      </x:c>
    </x:row>
    <x:row r="8">
      <x:c r="A8" t="str">
        <x:v>LMS / trilhas</x:v>
      </x:c>
      <x:c r="D8" t="str">
        <x:v>Empresa</x:v>
      </x:c>
      <x:c r="G8" t="str">
        <x:v>Lacunas</x:v>
      </x:c>
      <x:c r="J8" t="str">
        <x:v>Prioridade de desenvolvimento</x:v>
      </x:c>
      <x:c r="M8" t="str">
        <x:v>Formação / mobilidade</x:v>
      </x:c>
      <x:c r="P8" t="str">
        <x:v>Retenção</x:v>
      </x:c>
      <x:c r="R8" t="str">
        <x:v>Turnover evitado</x:v>
      </x:c>
    </x:row>
    <x:row r="9">
      <x:c r="A9" t="str">
        <x:v>CRM / marketing</x:v>
      </x:c>
      <x:c r="D9" t="str">
        <x:v>Entidade</x:v>
      </x:c>
      <x:c r="G9" t="str">
        <x:v>Interesses</x:v>
      </x:c>
      <x:c r="J9" t="str">
        <x:v>Propensão / segmento</x:v>
      </x:c>
      <x:c r="M9" t="str">
        <x:v>Campanha / conexão</x:v>
      </x:c>
      <x:c r="P9" t="str">
        <x:v>Receita e contratos</x:v>
      </x:c>
      <x:c r="R9" t="str">
        <x:v>Margem incremental</x:v>
      </x:c>
    </x:row>
    <x:row r="10">
      <x:c r="A10" t="str">
        <x:v>Compras / contratos</x:v>
      </x:c>
      <x:c r="D10" t="str">
        <x:v>Fornecedor</x:v>
      </x:c>
      <x:c r="G10" t="str">
        <x:v>Desempenho</x:v>
      </x:c>
      <x:c r="J10" t="str">
        <x:v>Risco / compatibilidade</x:v>
      </x:c>
      <x:c r="M10" t="str">
        <x:v>Match / homologação</x:v>
      </x:c>
      <x:c r="P10" t="str">
        <x:v>Eficiência de compras</x:v>
      </x:c>
      <x:c r="R10" t="str">
        <x:v>Saving e ciclo reduzido</x:v>
      </x:c>
    </x:row>
    <x:row r="11">
      <x:c r="A11" t="str">
        <x:v>Eventos da plataforma</x:v>
      </x:c>
      <x:c r="D11" t="str">
        <x:v>Oportunidade</x:v>
      </x:c>
      <x:c r="G11" t="str">
        <x:v>Comportamento</x:v>
      </x:c>
      <x:c r="J11" t="str">
        <x:v>Recomendação</x:v>
      </x:c>
      <x:c r="M11" t="str">
        <x:v>Projeto / solução</x:v>
      </x:c>
      <x:c r="P11" t="str">
        <x:v>Inovação</x:v>
      </x:c>
      <x:c r="R11" t="str">
        <x:v>Novos mercados</x:v>
      </x:c>
    </x:row>
    <x:row r="12">
      <x:c r="A12" t="str">
        <x:v>Financeiro / BI</x:v>
      </x:c>
      <x:c r="D12" t="str">
        <x:v>Programa</x:v>
      </x:c>
      <x:c r="G12" t="str">
        <x:v>Baseline</x:v>
      </x:c>
      <x:c r="J12" t="str">
        <x:v>Atribuição causal</x:v>
      </x:c>
      <x:c r="M12" t="str">
        <x:v>Decisão executiva</x:v>
      </x:c>
      <x:c r="P12" t="str">
        <x:v>Risco reduzido</x:v>
      </x:c>
      <x:c r="R12" t="str">
        <x:v>Perda esperada evitada</x:v>
      </x:c>
    </x:row>
    <x:row r="15">
      <x:c r="A15" t="str">
        <x:v>Loop de aprendizagem: o resultado realimenta o modelo</x:v>
      </x:c>
    </x:row>
    <x:row r="17">
      <x:c r="A17" t="str">
        <x:v>1. Observar</x:v>
      </x:c>
      <x:c r="D17" t="str">
        <x:v>2. Explicar</x:v>
      </x:c>
      <x:c r="G17" t="str">
        <x:v>3. Recomendar</x:v>
      </x:c>
      <x:c r="J17" t="str">
        <x:v>4. Experimentar</x:v>
      </x:c>
      <x:c r="M17" t="str">
        <x:v>5. Monetizar</x:v>
      </x:c>
      <x:c r="P17" t="str">
        <x:v>6. Aprender</x:v>
      </x:c>
    </x:row>
    <x:row r="18">
      <x:c r="A18" t="str">
        <x:v>Registrar contexto, exposição e comportamento.</x:v>
      </x:c>
      <x:c r="D18" t="str">
        <x:v>Relacionar sinais a resultados e controlar confundidores.</x:v>
      </x:c>
      <x:c r="G18" t="str">
        <x:v>Priorizar a ação com maior probabilidade de valor.</x:v>
      </x:c>
      <x:c r="J18" t="str">
        <x:v>Comparar baseline, cohort ou grupo de controle.</x:v>
      </x:c>
      <x:c r="M18" t="str">
        <x:v>Converter somente a parcela de efeito atribuível.</x:v>
      </x:c>
      <x:c r="P18" t="str">
        <x:v>Atualizar pesos, regras, benchmark e confiança da recomendação.</x:v>
      </x:c>
    </x:row>
    <x:row r="22">
      <x:c r="A22" t="str">
        <x:v>Quatro visões integradas</x:v>
      </x:c>
    </x:row>
    <x:row r="24">
      <x:c r="A24" t="str">
        <x:v>PESSOA</x:v>
      </x:c>
      <x:c r="F24" t="str">
        <x:v>EMPRESA</x:v>
      </x:c>
      <x:c r="K24" t="str">
        <x:v>ENTIDADE</x:v>
      </x:c>
      <x:c r="P24" t="str">
        <x:v>HUB</x:v>
      </x:c>
    </x:row>
    <x:row r="25">
      <x:c r="A25" t="str">
        <x:v>O que consigo fazer, onde tenho lacuna e qual oportunidade aumenta meu valor?</x:v>
      </x:c>
      <x:c r="F25" t="str">
        <x:v>Quais decisões sobre pessoas, compras e mercado geram resultado?</x:v>
      </x:c>
      <x:c r="K25" t="str">
        <x:v>Que padrões do ecossistema merecem ação coletiva e novos serviços?</x:v>
      </x:c>
      <x:c r="P25" t="str">
        <x:v>Onde existe valor recorrente, prova de impacto e possibilidade de escala?</x:v>
      </x:c>
    </x:row>
  </x:sheetData>
  <x:pageSetup fitToWidth="1" fitToHeight="0" orientation="landscape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</x:cols>
  <x:sheetData>
    <x:row r="1">
      <x:c r="A1" t="str">
        <x:v>Nós do mapa neural</x:v>
      </x:c>
    </x:row>
    <x:row r="3">
      <x:c r="A3" t="str">
        <x:v>Cada nó é uma entidade analítica com identidade, histórico e relações rastreáveis.</x:v>
      </x:c>
    </x:row>
    <x:row r="5">
      <x:c r="A5" t="str">
        <x:v>ID</x:v>
      </x:c>
      <x:c r="B5" t="str">
        <x:v>Camada</x:v>
      </x:c>
      <x:c r="C5" t="str">
        <x:v>Nó</x:v>
      </x:c>
      <x:c r="D5" t="str">
        <x:v>Definição de negócio</x:v>
      </x:c>
      <x:c r="E5" t="str">
        <x:v>Chave primária</x:v>
      </x:c>
      <x:c r="F5" t="str">
        <x:v>Granularidade</x:v>
      </x:c>
      <x:c r="G5" t="str">
        <x:v>Atributos mínimos</x:v>
      </x:c>
      <x:c r="H5" t="str">
        <x:v>Origem</x:v>
      </x:c>
      <x:c r="I5" t="str">
        <x:v>Sensibilidade</x:v>
      </x:c>
      <x:c r="J5" t="str">
        <x:v>Atualização</x:v>
      </x:c>
      <x:c r="K5" t="str">
        <x:v>Contribuição para valor</x:v>
      </x:c>
    </x:row>
    <x:row r="6">
      <x:c r="A6" t="str">
        <x:v>N01</x:v>
      </x:c>
      <x:c r="B6" t="str">
        <x:v>Identidade</x:v>
      </x:c>
      <x:c r="C6" t="str">
        <x:v>Pessoa</x:v>
      </x:c>
      <x:c r="D6" t="str">
        <x:v>Indivíduo que participa, trabalha, aprende ou se conecta.</x:v>
      </x:c>
      <x:c r="E6" t="str">
        <x:v>person_id</x:v>
      </x:c>
      <x:c r="F6" t="str">
        <x:v>1 pessoa</x:v>
      </x:c>
      <x:c r="G6" t="str">
        <x:v>status, perfil, localização, consentimentos</x:v>
      </x:c>
      <x:c r="H6" t="str">
        <x:v>Cadastro / HRIS</x:v>
      </x:c>
      <x:c r="I6" t="str">
        <x:v>Alta</x:v>
      </x:c>
      <x:c r="J6" t="str">
        <x:v>Diária</x:v>
      </x:c>
      <x:c r="K6" t="str">
        <x:v>Base para capacidade, retenção, produtividade e matching</x:v>
      </x:c>
    </x:row>
    <x:row r="7">
      <x:c r="A7" t="str">
        <x:v>N02</x:v>
      </x:c>
      <x:c r="B7" t="str">
        <x:v>Identidade</x:v>
      </x:c>
      <x:c r="C7" t="str">
        <x:v>Empresa</x:v>
      </x:c>
      <x:c r="D7" t="str">
        <x:v>Organização cliente, compradora, empregadora ou parceira.</x:v>
      </x:c>
      <x:c r="E7" t="str">
        <x:v>company_id</x:v>
      </x:c>
      <x:c r="F7" t="str">
        <x:v>1 empresa</x:v>
      </x:c>
      <x:c r="G7" t="str">
        <x:v>setor, porte, região, carteira, contrato</x:v>
      </x:c>
      <x:c r="H7" t="str">
        <x:v>CRM / ERP</x:v>
      </x:c>
      <x:c r="I7" t="str">
        <x:v>Média</x:v>
      </x:c>
      <x:c r="J7" t="str">
        <x:v>Diária</x:v>
      </x:c>
      <x:c r="K7" t="str">
        <x:v>Receita, expansão, benchmark e valor por cliente</x:v>
      </x:c>
    </x:row>
    <x:row r="8">
      <x:c r="A8" t="str">
        <x:v>N03</x:v>
      </x:c>
      <x:c r="B8" t="str">
        <x:v>Identidade</x:v>
      </x:c>
      <x:c r="C8" t="str">
        <x:v>Entidade</x:v>
      </x:c>
      <x:c r="D8" t="str">
        <x:v>Federação, associação, rede ou instituição que organiza um ecossistema.</x:v>
      </x:c>
      <x:c r="E8" t="str">
        <x:v>entity_id</x:v>
      </x:c>
      <x:c r="F8" t="str">
        <x:v>1 entidade</x:v>
      </x:c>
      <x:c r="G8" t="str">
        <x:v>tipo, território, associados, programas</x:v>
      </x:c>
      <x:c r="H8" t="str">
        <x:v>CRM</x:v>
      </x:c>
      <x:c r="I8" t="str">
        <x:v>Média</x:v>
      </x:c>
      <x:c r="J8" t="str">
        <x:v>Semanal</x:v>
      </x:c>
      <x:c r="K8" t="str">
        <x:v>Valor do ecossistema, adesão e retenção de associados</x:v>
      </x:c>
    </x:row>
    <x:row r="9">
      <x:c r="A9" t="str">
        <x:v>N04</x:v>
      </x:c>
      <x:c r="B9" t="str">
        <x:v>Identidade</x:v>
      </x:c>
      <x:c r="C9" t="str">
        <x:v>Fornecedor / solução</x:v>
      </x:c>
      <x:c r="D9" t="str">
        <x:v>Organização ou profissional capaz de entregar uma solução.</x:v>
      </x:c>
      <x:c r="E9" t="str">
        <x:v>supplier_id</x:v>
      </x:c>
      <x:c r="F9" t="str">
        <x:v>1 fornecedor</x:v>
      </x:c>
      <x:c r="G9" t="str">
        <x:v>categorias, capacidade, homologação, desempenho</x:v>
      </x:c>
      <x:c r="H9" t="str">
        <x:v>Compras / Marketplace</x:v>
      </x:c>
      <x:c r="I9" t="str">
        <x:v>Média</x:v>
      </x:c>
      <x:c r="J9" t="str">
        <x:v>Diária</x:v>
      </x:c>
      <x:c r="K9" t="str">
        <x:v>Eficiência de compras, saving, risco e receita de marketplace</x:v>
      </x:c>
    </x:row>
    <x:row r="10">
      <x:c r="A10" t="str">
        <x:v>N05</x:v>
      </x:c>
      <x:c r="B10" t="str">
        <x:v>Estrutura</x:v>
      </x:c>
      <x:c r="C10" t="str">
        <x:v>Vínculo</x:v>
      </x:c>
      <x:c r="D10" t="str">
        <x:v>Relação temporal entre pessoa, empresa, entidade e programa.</x:v>
      </x:c>
      <x:c r="E10" t="str">
        <x:v>relationship_id</x:v>
      </x:c>
      <x:c r="F10" t="str">
        <x:v>1 vínculo por período</x:v>
      </x:c>
      <x:c r="G10" t="str">
        <x:v>papel, início, fim, status</x:v>
      </x:c>
      <x:c r="H10" t="str">
        <x:v>HRIS / CRM</x:v>
      </x:c>
      <x:c r="I10" t="str">
        <x:v>Alta</x:v>
      </x:c>
      <x:c r="J10" t="str">
        <x:v>Diária</x:v>
      </x:c>
      <x:c r="K10" t="str">
        <x:v>Cohorts, elegibilidade e atribuição</x:v>
      </x:c>
    </x:row>
    <x:row r="11">
      <x:c r="A11" t="str">
        <x:v>N06</x:v>
      </x:c>
      <x:c r="B11" t="str">
        <x:v>Demanda</x:v>
      </x:c>
      <x:c r="C11" t="str">
        <x:v>Oportunidade</x:v>
      </x:c>
      <x:c r="D11" t="str">
        <x:v>Demanda de trabalho, negócio, compra, desenvolvimento ou conexão.</x:v>
      </x:c>
      <x:c r="E11" t="str">
        <x:v>opportunity_id</x:v>
      </x:c>
      <x:c r="F11" t="str">
        <x:v>1 oportunidade</x:v>
      </x:c>
      <x:c r="G11" t="str">
        <x:v>tipo, requisitos, valor, prazo, estágio</x:v>
      </x:c>
      <x:c r="H11" t="str">
        <x:v>ATS / CRM / Compras</x:v>
      </x:c>
      <x:c r="I11" t="str">
        <x:v>Média</x:v>
      </x:c>
      <x:c r="J11" t="str">
        <x:v>Tempo real</x:v>
      </x:c>
      <x:c r="K11" t="str">
        <x:v>Pipeline, contratação, GMV e receita influenciada</x:v>
      </x:c>
    </x:row>
    <x:row r="12">
      <x:c r="A12" t="str">
        <x:v>N07</x:v>
      </x:c>
      <x:c r="B12" t="str">
        <x:v>Capacidade</x:v>
      </x:c>
      <x:c r="C12" t="str">
        <x:v>Competência</x:v>
      </x:c>
      <x:c r="D12" t="str">
        <x:v>Conhecimento, habilidade, repertório ou capacidade organizacional.</x:v>
      </x:c>
      <x:c r="E12" t="str">
        <x:v>skill_id</x:v>
      </x:c>
      <x:c r="F12" t="str">
        <x:v>1 competência</x:v>
      </x:c>
      <x:c r="G12" t="str">
        <x:v>taxonomia, nível, evidência, validade</x:v>
      </x:c>
      <x:c r="H12" t="str">
        <x:v>Diagnóstico / LMS</x:v>
      </x:c>
      <x:c r="I12" t="str">
        <x:v>Média</x:v>
      </x:c>
      <x:c r="J12" t="str">
        <x:v>Mensal</x:v>
      </x:c>
      <x:c r="K12" t="str">
        <x:v>Gap, prontidão, mobilidade e produtividade</x:v>
      </x:c>
    </x:row>
    <x:row r="13">
      <x:c r="A13" t="str">
        <x:v>N08</x:v>
      </x:c>
      <x:c r="B13" t="str">
        <x:v>Capacidade</x:v>
      </x:c>
      <x:c r="C13" t="str">
        <x:v>Evidência de competência</x:v>
      </x:c>
      <x:c r="D13" t="str">
        <x:v>Prova observável que sustenta um nível de capacidade.</x:v>
      </x:c>
      <x:c r="E13" t="str">
        <x:v>evidence_id</x:v>
      </x:c>
      <x:c r="F13" t="str">
        <x:v>1 evidência</x:v>
      </x:c>
      <x:c r="G13" t="str">
        <x:v>tipo, emissor, data, score, validade</x:v>
      </x:c>
      <x:c r="H13" t="str">
        <x:v>Upload / avaliação</x:v>
      </x:c>
      <x:c r="I13" t="str">
        <x:v>Alta</x:v>
      </x:c>
      <x:c r="J13" t="str">
        <x:v>Evento</x:v>
      </x:c>
      <x:c r="K13" t="str">
        <x:v>Confiança do matching e redução de risco</x:v>
      </x:c>
    </x:row>
    <x:row r="14">
      <x:c r="A14" t="str">
        <x:v>N09</x:v>
      </x:c>
      <x:c r="B14" t="str">
        <x:v>Sinal</x:v>
      </x:c>
      <x:c r="C14" t="str">
        <x:v>Diagnóstico</x:v>
      </x:c>
      <x:c r="D14" t="str">
        <x:v>Medição estruturada de maturidade, prontidão, necessidade ou risco.</x:v>
      </x:c>
      <x:c r="E14" t="str">
        <x:v>assessment_id</x:v>
      </x:c>
      <x:c r="F14" t="str">
        <x:v>1 resposta/rodada</x:v>
      </x:c>
      <x:c r="G14" t="str">
        <x:v>instrumento, dimensão, score, versão</x:v>
      </x:c>
      <x:c r="H14" t="str">
        <x:v>Plataforma</x:v>
      </x:c>
      <x:c r="I14" t="str">
        <x:v>Alta</x:v>
      </x:c>
      <x:c r="J14" t="str">
        <x:v>Evento</x:v>
      </x:c>
      <x:c r="K14" t="str">
        <x:v>Baseline, priorização e benchmark</x:v>
      </x:c>
    </x:row>
    <x:row r="15">
      <x:c r="A15" t="str">
        <x:v>N10</x:v>
      </x:c>
      <x:c r="B15" t="str">
        <x:v>Sinal</x:v>
      </x:c>
      <x:c r="C15" t="str">
        <x:v>Interação</x:v>
      </x:c>
      <x:c r="D15" t="str">
        <x:v>Ação executada por um usuário em qualquer canal.</x:v>
      </x:c>
      <x:c r="E15" t="str">
        <x:v>event_id</x:v>
      </x:c>
      <x:c r="F15" t="str">
        <x:v>1 evento</x:v>
      </x:c>
      <x:c r="G15" t="str">
        <x:v>evento, timestamp, contexto, objeto, sessão</x:v>
      </x:c>
      <x:c r="H15" t="str">
        <x:v>Tracking</x:v>
      </x:c>
      <x:c r="I15" t="str">
        <x:v>Média</x:v>
      </x:c>
      <x:c r="J15" t="str">
        <x:v>Tempo real</x:v>
      </x:c>
      <x:c r="K15" t="str">
        <x:v>Adoção, conversão e propensão</x:v>
      </x:c>
    </x:row>
    <x:row r="16">
      <x:c r="A16" t="str">
        <x:v>N11</x:v>
      </x:c>
      <x:c r="B16" t="str">
        <x:v>Ação</x:v>
      </x:c>
      <x:c r="C16" t="str">
        <x:v>Jornada</x:v>
      </x:c>
      <x:c r="D16" t="str">
        <x:v>Sequência recomendada de experiências para mudar um resultado.</x:v>
      </x:c>
      <x:c r="E16" t="str">
        <x:v>journey_id</x:v>
      </x:c>
      <x:c r="F16" t="str">
        <x:v>1 jornada</x:v>
      </x:c>
      <x:c r="G16" t="str">
        <x:v>objetivo, etapas, início, conclusão</x:v>
      </x:c>
      <x:c r="H16" t="str">
        <x:v>Plataforma / LMS</x:v>
      </x:c>
      <x:c r="I16" t="str">
        <x:v>Média</x:v>
      </x:c>
      <x:c r="J16" t="str">
        <x:v>Diária</x:v>
      </x:c>
      <x:c r="K16" t="str">
        <x:v>Desenvolvimento, ativação e time-to-value</x:v>
      </x:c>
    </x:row>
    <x:row r="17">
      <x:c r="A17" t="str">
        <x:v>N12</x:v>
      </x:c>
      <x:c r="B17" t="str">
        <x:v>Ação</x:v>
      </x:c>
      <x:c r="C17" t="str">
        <x:v>Recomendação</x:v>
      </x:c>
      <x:c r="D17" t="str">
        <x:v>Ação sugerida por regra, analista ou modelo.</x:v>
      </x:c>
      <x:c r="E17" t="str">
        <x:v>recommendation_id</x:v>
      </x:c>
      <x:c r="F17" t="str">
        <x:v>1 recomendação</x:v>
      </x:c>
      <x:c r="G17" t="str">
        <x:v>tipo, score, explicação, versão, status</x:v>
      </x:c>
      <x:c r="H17" t="str">
        <x:v>Motor de inteligência</x:v>
      </x:c>
      <x:c r="I17" t="str">
        <x:v>Média</x:v>
      </x:c>
      <x:c r="J17" t="str">
        <x:v>Tempo real</x:v>
      </x:c>
      <x:c r="K17" t="str">
        <x:v>Uplift, aceitação e valor das decisões</x:v>
      </x:c>
    </x:row>
    <x:row r="18">
      <x:c r="A18" t="str">
        <x:v>N13</x:v>
      </x:c>
      <x:c r="B18" t="str">
        <x:v>Ação</x:v>
      </x:c>
      <x:c r="C18" t="str">
        <x:v>Match</x:v>
      </x:c>
      <x:c r="D18" t="str">
        <x:v>Compatibilidade calculada entre demanda e oferta.</x:v>
      </x:c>
      <x:c r="E18" t="str">
        <x:v>match_id</x:v>
      </x:c>
      <x:c r="F18" t="str">
        <x:v>1 par oportunidade-oferta</x:v>
      </x:c>
      <x:c r="G18" t="str">
        <x:v>score, critérios, posição, decisão</x:v>
      </x:c>
      <x:c r="H18" t="str">
        <x:v>Motor de matching</x:v>
      </x:c>
      <x:c r="I18" t="str">
        <x:v>Média</x:v>
      </x:c>
      <x:c r="J18" t="str">
        <x:v>Tempo real</x:v>
      </x:c>
      <x:c r="K18" t="str">
        <x:v>Conversão, ciclo, contratação e conexão</x:v>
      </x:c>
    </x:row>
    <x:row r="19">
      <x:c r="A19" t="str">
        <x:v>N14</x:v>
      </x:c>
      <x:c r="B19" t="str">
        <x:v>Execução</x:v>
      </x:c>
      <x:c r="C19" t="str">
        <x:v>Participação</x:v>
      </x:c>
      <x:c r="D19" t="str">
        <x:v>Exposição de pessoa ou empresa a programa, evento ou ação.</x:v>
      </x:c>
      <x:c r="E19" t="str">
        <x:v>participation_id</x:v>
      </x:c>
      <x:c r="F19" t="str">
        <x:v>1 participante por ação</x:v>
      </x:c>
      <x:c r="G19" t="str">
        <x:v>convite, presença, dose, conclusão</x:v>
      </x:c>
      <x:c r="H19" t="str">
        <x:v>Eventos / LMS</x:v>
      </x:c>
      <x:c r="I19" t="str">
        <x:v>Alta</x:v>
      </x:c>
      <x:c r="J19" t="str">
        <x:v>Evento</x:v>
      </x:c>
      <x:c r="K19" t="str">
        <x:v>Atribuição e análise de efeito</x:v>
      </x:c>
    </x:row>
    <x:row r="20">
      <x:c r="A20" t="str">
        <x:v>N15</x:v>
      </x:c>
      <x:c r="B20" t="str">
        <x:v>Execução</x:v>
      </x:c>
      <x:c r="C20" t="str">
        <x:v>Programa / projeto</x:v>
      </x:c>
      <x:c r="D20" t="str">
        <x:v>Unidade organizada de intervenção, serviço ou campanha.</x:v>
      </x:c>
      <x:c r="E20" t="str">
        <x:v>program_id</x:v>
      </x:c>
      <x:c r="F20" t="str">
        <x:v>1 programa</x:v>
      </x:c>
      <x:c r="G20" t="str">
        <x:v>escopo, público, custo, metas, owner</x:v>
      </x:c>
      <x:c r="H20" t="str">
        <x:v>PMO / CRM</x:v>
      </x:c>
      <x:c r="I20" t="str">
        <x:v>Média</x:v>
      </x:c>
      <x:c r="J20" t="str">
        <x:v>Semanal</x:v>
      </x:c>
      <x:c r="K20" t="str">
        <x:v>Custo por resultado e portfólio</x:v>
      </x:c>
    </x:row>
    <x:row r="21">
      <x:c r="A21" t="str">
        <x:v>N16</x:v>
      </x:c>
      <x:c r="B21" t="str">
        <x:v>Negócio</x:v>
      </x:c>
      <x:c r="C21" t="str">
        <x:v>Contrato</x:v>
      </x:c>
      <x:c r="D21" t="str">
        <x:v>Acordo comercial da HUB, cliente ou fornecedor.</x:v>
      </x:c>
      <x:c r="E21" t="str">
        <x:v>contract_id</x:v>
      </x:c>
      <x:c r="F21" t="str">
        <x:v>1 contrato</x:v>
      </x:c>
      <x:c r="G21" t="str">
        <x:v>valor, margem, vigência, origem, estágio</x:v>
      </x:c>
      <x:c r="H21" t="str">
        <x:v>CRM / ERP</x:v>
      </x:c>
      <x:c r="I21" t="str">
        <x:v>Alta</x:v>
      </x:c>
      <x:c r="J21" t="str">
        <x:v>Diária</x:v>
      </x:c>
      <x:c r="K21" t="str">
        <x:v>ARR, MRR, margem e receita influenciada</x:v>
      </x:c>
    </x:row>
    <x:row r="22">
      <x:c r="A22" t="str">
        <x:v>N17</x:v>
      </x:c>
      <x:c r="B22" t="str">
        <x:v>Negócio</x:v>
      </x:c>
      <x:c r="C22" t="str">
        <x:v>Transação</x:v>
      </x:c>
      <x:c r="D22" t="str">
        <x:v>Movimento financeiro associado a contrato, compra ou marketplace.</x:v>
      </x:c>
      <x:c r="E22" t="str">
        <x:v>transaction_id</x:v>
      </x:c>
      <x:c r="F22" t="str">
        <x:v>1 lançamento</x:v>
      </x:c>
      <x:c r="G22" t="str">
        <x:v>valor, moeda, data, natureza, centro de custo</x:v>
      </x:c>
      <x:c r="H22" t="str">
        <x:v>ERP / Financeiro</x:v>
      </x:c>
      <x:c r="I22" t="str">
        <x:v>Alta</x:v>
      </x:c>
      <x:c r="J22" t="str">
        <x:v>Diária</x:v>
      </x:c>
      <x:c r="K22" t="str">
        <x:v>Receita, custo, saving, GMV e margem</x:v>
      </x:c>
    </x:row>
    <x:row r="23">
      <x:c r="A23" t="str">
        <x:v>N18</x:v>
      </x:c>
      <x:c r="B23" t="str">
        <x:v>Resultado</x:v>
      </x:c>
      <x:c r="C23" t="str">
        <x:v>Indicador de negócio</x:v>
      </x:c>
      <x:c r="D23" t="str">
        <x:v>Medição de resultado da empresa ou entidade.</x:v>
      </x:c>
      <x:c r="E23" t="str">
        <x:v>business_metric_id</x:v>
      </x:c>
      <x:c r="F23" t="str">
        <x:v>1 indicador por período</x:v>
      </x:c>
      <x:c r="G23" t="str">
        <x:v>nome, valor, período, unidade, baseline</x:v>
      </x:c>
      <x:c r="H23" t="str">
        <x:v>BI / ERP</x:v>
      </x:c>
      <x:c r="I23" t="str">
        <x:v>Alta</x:v>
      </x:c>
      <x:c r="J23" t="str">
        <x:v>Mensal</x:v>
      </x:c>
      <x:c r="K23" t="str">
        <x:v>Produtividade, retenção, receita, custo e risco</x:v>
      </x:c>
    </x:row>
    <x:row r="24">
      <x:c r="A24" t="str">
        <x:v>N19</x:v>
      </x:c>
      <x:c r="B24" t="str">
        <x:v>Resultado</x:v>
      </x:c>
      <x:c r="C24" t="str">
        <x:v>Outcome individual</x:v>
      </x:c>
      <x:c r="D24" t="str">
        <x:v>Mudança observada na pessoa após uma ação.</x:v>
      </x:c>
      <x:c r="E24" t="str">
        <x:v>outcome_id</x:v>
      </x:c>
      <x:c r="F24" t="str">
        <x:v>1 pessoa-resultado-período</x:v>
      </x:c>
      <x:c r="G24" t="str">
        <x:v>dimensão, antes, depois, confiança</x:v>
      </x:c>
      <x:c r="H24" t="str">
        <x:v>Pesquisa / HRIS</x:v>
      </x:c>
      <x:c r="I24" t="str">
        <x:v>Alta</x:v>
      </x:c>
      <x:c r="J24" t="str">
        <x:v>Mensal</x:v>
      </x:c>
      <x:c r="K24" t="str">
        <x:v>Efeito em capacidade, mobilidade e retenção</x:v>
      </x:c>
    </x:row>
    <x:row r="25">
      <x:c r="A25" t="str">
        <x:v>N20</x:v>
      </x:c>
      <x:c r="B25" t="str">
        <x:v>Contexto</x:v>
      </x:c>
      <x:c r="C25" t="str">
        <x:v>Cohort</x:v>
      </x:c>
      <x:c r="D25" t="str">
        <x:v>Grupo comparável usado para mensuração e benchmark.</x:v>
      </x:c>
      <x:c r="E25" t="str">
        <x:v>cohort_id</x:v>
      </x:c>
      <x:c r="F25" t="str">
        <x:v>1 definição de grupo</x:v>
      </x:c>
      <x:c r="G25" t="str">
        <x:v>critérios, janela, tamanho, versão</x:v>
      </x:c>
      <x:c r="H25" t="str">
        <x:v>Camada analítica</x:v>
      </x:c>
      <x:c r="I25" t="str">
        <x:v>Média</x:v>
      </x:c>
      <x:c r="J25" t="str">
        <x:v>Mensal</x:v>
      </x:c>
      <x:c r="K25" t="str">
        <x:v>Atribuição, controle e fairness</x:v>
      </x:c>
    </x:row>
    <x:row r="26">
      <x:c r="A26" t="str">
        <x:v>N21</x:v>
      </x:c>
      <x:c r="B26" t="str">
        <x:v>Contexto</x:v>
      </x:c>
      <x:c r="C26" t="str">
        <x:v>Benchmark</x:v>
      </x:c>
      <x:c r="D26" t="str">
        <x:v>Referência agregada interna ou do ecossistema.</x:v>
      </x:c>
      <x:c r="E26" t="str">
        <x:v>benchmark_id</x:v>
      </x:c>
      <x:c r="F26" t="str">
        <x:v>1 métrica-segmento-período</x:v>
      </x:c>
      <x:c r="G26" t="str">
        <x:v>percentis, amostra, regras de anonimização</x:v>
      </x:c>
      <x:c r="H26" t="str">
        <x:v>Data mart</x:v>
      </x:c>
      <x:c r="I26" t="str">
        <x:v>Média</x:v>
      </x:c>
      <x:c r="J26" t="str">
        <x:v>Mensal</x:v>
      </x:c>
      <x:c r="K26" t="str">
        <x:v>Prioridade, comparação e serviços de inteligência</x:v>
      </x:c>
    </x:row>
    <x:row r="27">
      <x:c r="A27" t="str">
        <x:v>N22</x:v>
      </x:c>
      <x:c r="B27" t="str">
        <x:v>Risco</x:v>
      </x:c>
      <x:c r="C27" t="str">
        <x:v>Risco / controle</x:v>
      </x:c>
      <x:c r="D27" t="str">
        <x:v>Evento potencial, exposição e mecanismo de mitigação.</x:v>
      </x:c>
      <x:c r="E27" t="str">
        <x:v>risk_id</x:v>
      </x:c>
      <x:c r="F27" t="str">
        <x:v>1 risco por contexto</x:v>
      </x:c>
      <x:c r="G27" t="str">
        <x:v>probabilidade, impacto, controle, residual</x:v>
      </x:c>
      <x:c r="H27" t="str">
        <x:v>GRC / Jurídico</x:v>
      </x:c>
      <x:c r="I27" t="str">
        <x:v>Alta</x:v>
      </x:c>
      <x:c r="J27" t="str">
        <x:v>Mensal</x:v>
      </x:c>
      <x:c r="K27" t="str">
        <x:v>Perda esperada e risco evitado</x:v>
      </x:c>
    </x:row>
    <x:row r="28">
      <x:c r="A28" t="str">
        <x:v>N23</x:v>
      </x:c>
      <x:c r="B28" t="str">
        <x:v>Comunicação</x:v>
      </x:c>
      <x:c r="C28" t="str">
        <x:v>Conteúdo / campanha</x:v>
      </x:c>
      <x:c r="D28" t="str">
        <x:v>Ativo de mídia usado para gerar atenção, demanda ou ação.</x:v>
      </x:c>
      <x:c r="E28" t="str">
        <x:v>content_id</x:v>
      </x:c>
      <x:c r="F28" t="str">
        <x:v>1 ativo/campanha</x:v>
      </x:c>
      <x:c r="G28" t="str">
        <x:v>canal, audiência, custo, objetivo, criativo</x:v>
      </x:c>
      <x:c r="H28" t="str">
        <x:v>Marketing</x:v>
      </x:c>
      <x:c r="I28" t="str">
        <x:v>Baixa</x:v>
      </x:c>
      <x:c r="J28" t="str">
        <x:v>Diária</x:v>
      </x:c>
      <x:c r="K28" t="str">
        <x:v>CAC, pipeline, ROAS e conversão</x:v>
      </x:c>
    </x:row>
    <x:row r="29">
      <x:c r="A29" t="str">
        <x:v>N24</x:v>
      </x:c>
      <x:c r="B29" t="str">
        <x:v>Qualidade</x:v>
      </x:c>
      <x:c r="C29" t="str">
        <x:v>Consentimento</x:v>
      </x:c>
      <x:c r="D29" t="str">
        <x:v>Permissão, finalidade e base legal aplicável ao tratamento.</x:v>
      </x:c>
      <x:c r="E29" t="str">
        <x:v>consent_id</x:v>
      </x:c>
      <x:c r="F29" t="str">
        <x:v>1 finalidade por titular</x:v>
      </x:c>
      <x:c r="G29" t="str">
        <x:v>base legal, versão, data, revogação</x:v>
      </x:c>
      <x:c r="H29" t="str">
        <x:v>CMP / cadastro</x:v>
      </x:c>
      <x:c r="I29" t="str">
        <x:v>Crítica</x:v>
      </x:c>
      <x:c r="J29" t="str">
        <x:v>Tempo real</x:v>
      </x:c>
      <x:c r="K29" t="str">
        <x:v>Uso legítimo e auditável dos dados</x:v>
      </x:c>
    </x:row>
    <x:row r="30">
      <x:c r="A30" t="str">
        <x:v>N25</x:v>
      </x:c>
      <x:c r="B30" t="str">
        <x:v>Qualidade</x:v>
      </x:c>
      <x:c r="C30" t="str">
        <x:v>Versão de modelo</x:v>
      </x:c>
      <x:c r="D30" t="str">
        <x:v>Configuração do algoritmo, regra ou score em produção.</x:v>
      </x:c>
      <x:c r="E30" t="str">
        <x:v>model_version_id</x:v>
      </x:c>
      <x:c r="F30" t="str">
        <x:v>1 versão</x:v>
      </x:c>
      <x:c r="G30" t="str">
        <x:v>features, pesos, data, performance, fairness</x:v>
      </x:c>
      <x:c r="H30" t="str">
        <x:v>MLOps</x:v>
      </x:c>
      <x:c r="I30" t="str">
        <x:v>Média</x:v>
      </x:c>
      <x:c r="J30" t="str">
        <x:v>Release</x:v>
      </x:c>
      <x:c r="K30" t="str">
        <x:v>Reprodutibilidade e confiança</x:v>
      </x:c>
    </x:row>
  </x:sheetData>
  <x:pageSetup fitToWidth="1" fitToHeight="0" orientation="landscape"/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</x:cols>
  <x:sheetData>
    <x:row r="1">
      <x:c r="A1" t="str">
        <x:v>Conexões do mapa neural</x:v>
      </x:c>
    </x:row>
    <x:row r="3">
      <x:c r="A3" t="str">
        <x:v>As relações são temporais, direcionais e auditáveis; são elas que permitem explicar valor.</x:v>
      </x:c>
    </x:row>
    <x:row r="5">
      <x:c r="A5" t="str">
        <x:v>ID</x:v>
      </x:c>
      <x:c r="B5" t="str">
        <x:v>Nó origem</x:v>
      </x:c>
      <x:c r="C5" t="str">
        <x:v>Relação</x:v>
      </x:c>
      <x:c r="D5" t="str">
        <x:v>Nó destino</x:v>
      </x:c>
      <x:c r="E5" t="str">
        <x:v>Direção</x:v>
      </x:c>
      <x:c r="F5" t="str">
        <x:v>Peso / score</x:v>
      </x:c>
      <x:c r="G5" t="str">
        <x:v>Janela temporal</x:v>
      </x:c>
      <x:c r="H5" t="str">
        <x:v>Evidência</x:v>
      </x:c>
      <x:c r="I5" t="str">
        <x:v>Indicadores derivados</x:v>
      </x:c>
      <x:c r="J5" t="str">
        <x:v>Uso de negócio</x:v>
      </x:c>
      <x:c r="K5" t="str">
        <x:v>Regra de qualidade</x:v>
      </x:c>
    </x:row>
    <x:row r="6">
      <x:c r="A6" t="str">
        <x:v>E01</x:v>
      </x:c>
      <x:c r="B6" t="str">
        <x:v>Pessoa</x:v>
      </x:c>
      <x:c r="C6" t="str">
        <x:v>possui vínculo com</x:v>
      </x:c>
      <x:c r="D6" t="str">
        <x:v>Empresa</x:v>
      </x:c>
      <x:c r="E6" t="str">
        <x:v>Pessoa → Empresa</x:v>
      </x:c>
      <x:c r="F6" t="str">
        <x:v>papel / FTE</x:v>
      </x:c>
      <x:c r="G6" t="str">
        <x:v>vigência</x:v>
      </x:c>
      <x:c r="H6" t="str">
        <x:v>HRIS</x:v>
      </x:c>
      <x:c r="I6" t="str">
        <x:v>headcount, retenção, custo</x:v>
      </x:c>
      <x:c r="J6" t="str">
        <x:v>segmentar outcomes por empresa</x:v>
      </x:c>
      <x:c r="K6" t="str">
        <x:v>sem sobreposição de vínculos ativos incompatíveis</x:v>
      </x:c>
    </x:row>
    <x:row r="7">
      <x:c r="A7" t="str">
        <x:v>E02</x:v>
      </x:c>
      <x:c r="B7" t="str">
        <x:v>Empresa</x:v>
      </x:c>
      <x:c r="C7" t="str">
        <x:v>é associada a</x:v>
      </x:c>
      <x:c r="D7" t="str">
        <x:v>Entidade</x:v>
      </x:c>
      <x:c r="E7" t="str">
        <x:v>Empresa → Entidade</x:v>
      </x:c>
      <x:c r="F7" t="str">
        <x:v>status / tier</x:v>
      </x:c>
      <x:c r="G7" t="str">
        <x:v>vigência</x:v>
      </x:c>
      <x:c r="H7" t="str">
        <x:v>CRM</x:v>
      </x:c>
      <x:c r="I7" t="str">
        <x:v>adesão, renovação, valor por associado</x:v>
      </x:c>
      <x:c r="J7" t="str">
        <x:v>medir valor entregue pela entidade</x:v>
      </x:c>
      <x:c r="K7" t="str">
        <x:v>vigência e situação contratual válidas</x:v>
      </x:c>
    </x:row>
    <x:row r="8">
      <x:c r="A8" t="str">
        <x:v>E03</x:v>
      </x:c>
      <x:c r="B8" t="str">
        <x:v>Pessoa</x:v>
      </x:c>
      <x:c r="C8" t="str">
        <x:v>demonstra</x:v>
      </x:c>
      <x:c r="D8" t="str">
        <x:v>Competência</x:v>
      </x:c>
      <x:c r="E8" t="str">
        <x:v>Pessoa → Competência</x:v>
      </x:c>
      <x:c r="F8" t="str">
        <x:v>nível + confiança</x:v>
      </x:c>
      <x:c r="G8" t="str">
        <x:v>validade</x:v>
      </x:c>
      <x:c r="H8" t="str">
        <x:v>Evidência</x:v>
      </x:c>
      <x:c r="I8" t="str">
        <x:v>prontidão, gap, mobilidade</x:v>
      </x:c>
      <x:c r="J8" t="str">
        <x:v>recomendar oportunidades e jornadas</x:v>
      </x:c>
      <x:c r="K8" t="str">
        <x:v>score com fonte e data</x:v>
      </x:c>
    </x:row>
    <x:row r="9">
      <x:c r="A9" t="str">
        <x:v>E04</x:v>
      </x:c>
      <x:c r="B9" t="str">
        <x:v>Oportunidade</x:v>
      </x:c>
      <x:c r="C9" t="str">
        <x:v>requer</x:v>
      </x:c>
      <x:c r="D9" t="str">
        <x:v>Competência</x:v>
      </x:c>
      <x:c r="E9" t="str">
        <x:v>Oportunidade → Competência</x:v>
      </x:c>
      <x:c r="F9" t="str">
        <x:v>peso do requisito</x:v>
      </x:c>
      <x:c r="G9" t="str">
        <x:v>até fechamento</x:v>
      </x:c>
      <x:c r="H9" t="str">
        <x:v>Descrição estruturada</x:v>
      </x:c>
      <x:c r="I9" t="str">
        <x:v>fit, cobertura de requisitos</x:v>
      </x:c>
      <x:c r="J9" t="str">
        <x:v>matching explicável</x:v>
      </x:c>
      <x:c r="K9" t="str">
        <x:v>taxonomia compatível</x:v>
      </x:c>
    </x:row>
    <x:row r="10">
      <x:c r="A10" t="str">
        <x:v>E05</x:v>
      </x:c>
      <x:c r="B10" t="str">
        <x:v>Pessoa</x:v>
      </x:c>
      <x:c r="C10" t="str">
        <x:v>recebe</x:v>
      </x:c>
      <x:c r="D10" t="str">
        <x:v>Recomendação</x:v>
      </x:c>
      <x:c r="E10" t="str">
        <x:v>Pessoa → Recomendação</x:v>
      </x:c>
      <x:c r="F10" t="str">
        <x:v>propensão</x:v>
      </x:c>
      <x:c r="G10" t="str">
        <x:v>7–30 dias</x:v>
      </x:c>
      <x:c r="H10" t="str">
        <x:v>Modelo/regra</x:v>
      </x:c>
      <x:c r="I10" t="str">
        <x:v>aceitação, uplift</x:v>
      </x:c>
      <x:c r="J10" t="str">
        <x:v>next best action</x:v>
      </x:c>
      <x:c r="K10" t="str">
        <x:v>versão do modelo registrada</x:v>
      </x:c>
    </x:row>
    <x:row r="11">
      <x:c r="A11" t="str">
        <x:v>E06</x:v>
      </x:c>
      <x:c r="B11" t="str">
        <x:v>Recomendação</x:v>
      </x:c>
      <x:c r="C11" t="str">
        <x:v>propõe</x:v>
      </x:c>
      <x:c r="D11" t="str">
        <x:v>Jornada</x:v>
      </x:c>
      <x:c r="E11" t="str">
        <x:v>Recomendação → Jornada</x:v>
      </x:c>
      <x:c r="F11" t="str">
        <x:v>prioridade</x:v>
      </x:c>
      <x:c r="G11" t="str">
        <x:v>janela sugerida</x:v>
      </x:c>
      <x:c r="H11" t="str">
        <x:v>Motor</x:v>
      </x:c>
      <x:c r="I11" t="str">
        <x:v>conversão e time-to-value</x:v>
      </x:c>
      <x:c r="J11" t="str">
        <x:v>orquestrar desenvolvimento</x:v>
      </x:c>
      <x:c r="K11" t="str">
        <x:v>explicação disponível</x:v>
      </x:c>
    </x:row>
    <x:row r="12">
      <x:c r="A12" t="str">
        <x:v>E07</x:v>
      </x:c>
      <x:c r="B12" t="str">
        <x:v>Pessoa</x:v>
      </x:c>
      <x:c r="C12" t="str">
        <x:v>participa de</x:v>
      </x:c>
      <x:c r="D12" t="str">
        <x:v>Programa / projeto</x:v>
      </x:c>
      <x:c r="E12" t="str">
        <x:v>Pessoa → Programa</x:v>
      </x:c>
      <x:c r="F12" t="str">
        <x:v>dose / presença</x:v>
      </x:c>
      <x:c r="G12" t="str">
        <x:v>data e duração</x:v>
      </x:c>
      <x:c r="H12" t="str">
        <x:v>Participação</x:v>
      </x:c>
      <x:c r="I12" t="str">
        <x:v>alcance, conclusão, efeito</x:v>
      </x:c>
      <x:c r="J12" t="str">
        <x:v>atribuição por exposição</x:v>
      </x:c>
      <x:c r="K12" t="str">
        <x:v>deduplicação por evento</x:v>
      </x:c>
    </x:row>
    <x:row r="13">
      <x:c r="A13" t="str">
        <x:v>E08</x:v>
      </x:c>
      <x:c r="B13" t="str">
        <x:v>Programa / projeto</x:v>
      </x:c>
      <x:c r="C13" t="str">
        <x:v>altera</x:v>
      </x:c>
      <x:c r="D13" t="str">
        <x:v>Outcome individual</x:v>
      </x:c>
      <x:c r="E13" t="str">
        <x:v>Programa → Outcome</x:v>
      </x:c>
      <x:c r="F13" t="str">
        <x:v>efeito estimado</x:v>
      </x:c>
      <x:c r="G13" t="str">
        <x:v>pré / pós</x:v>
      </x:c>
      <x:c r="H13" t="str">
        <x:v>Análise</x:v>
      </x:c>
      <x:c r="I13" t="str">
        <x:v>uplift, variação</x:v>
      </x:c>
      <x:c r="J13" t="str">
        <x:v>provar eficácia</x:v>
      </x:c>
      <x:c r="K13" t="str">
        <x:v>baseline comparável</x:v>
      </x:c>
    </x:row>
    <x:row r="14">
      <x:c r="A14" t="str">
        <x:v>E09</x:v>
      </x:c>
      <x:c r="B14" t="str">
        <x:v>Outcome individual</x:v>
      </x:c>
      <x:c r="C14" t="str">
        <x:v>contribui para</x:v>
      </x:c>
      <x:c r="D14" t="str">
        <x:v>Indicador de negócio</x:v>
      </x:c>
      <x:c r="E14" t="str">
        <x:v>Outcome → KPI</x:v>
      </x:c>
      <x:c r="F14" t="str">
        <x:v>elasticidade</x:v>
      </x:c>
      <x:c r="G14" t="str">
        <x:v>1–12 meses</x:v>
      </x:c>
      <x:c r="H14" t="str">
        <x:v>Modelo causal</x:v>
      </x:c>
      <x:c r="I14" t="str">
        <x:v>produtividade, retenção</x:v>
      </x:c>
      <x:c r="J14" t="str">
        <x:v>monetização</x:v>
      </x:c>
      <x:c r="K14" t="str">
        <x:v>não declarar causalidade sem método</x:v>
      </x:c>
    </x:row>
    <x:row r="15">
      <x:c r="A15" t="str">
        <x:v>E10</x:v>
      </x:c>
      <x:c r="B15" t="str">
        <x:v>Fornecedor / solução</x:v>
      </x:c>
      <x:c r="C15" t="str">
        <x:v>responde a</x:v>
      </x:c>
      <x:c r="D15" t="str">
        <x:v>Oportunidade</x:v>
      </x:c>
      <x:c r="E15" t="str">
        <x:v>Fornecedor → Oportunidade</x:v>
      </x:c>
      <x:c r="F15" t="str">
        <x:v>fit / elegibilidade</x:v>
      </x:c>
      <x:c r="G15" t="str">
        <x:v>até fechamento</x:v>
      </x:c>
      <x:c r="H15" t="str">
        <x:v>Match</x:v>
      </x:c>
      <x:c r="I15" t="str">
        <x:v>ciclo, conversão, GMV</x:v>
      </x:c>
      <x:c r="J15" t="str">
        <x:v>compras e marketplace</x:v>
      </x:c>
      <x:c r="K15" t="str">
        <x:v>requisitos obrigatórios atendidos</x:v>
      </x:c>
    </x:row>
    <x:row r="16">
      <x:c r="A16" t="str">
        <x:v>E11</x:v>
      </x:c>
      <x:c r="B16" t="str">
        <x:v>Match</x:v>
      </x:c>
      <x:c r="C16" t="str">
        <x:v>gera</x:v>
      </x:c>
      <x:c r="D16" t="str">
        <x:v>Contrato</x:v>
      </x:c>
      <x:c r="E16" t="str">
        <x:v>Match → Contrato</x:v>
      </x:c>
      <x:c r="F16" t="str">
        <x:v>atribuição</x:v>
      </x:c>
      <x:c r="G16" t="str">
        <x:v>até 180 dias</x:v>
      </x:c>
      <x:c r="H16" t="str">
        <x:v>CRM / Compras</x:v>
      </x:c>
      <x:c r="I16" t="str">
        <x:v>receita influenciada, take rate</x:v>
      </x:c>
      <x:c r="J16" t="str">
        <x:v>provar conversão da rede</x:v>
      </x:c>
      <x:c r="K16" t="str">
        <x:v>origem e touchpoints registrados</x:v>
      </x:c>
    </x:row>
    <x:row r="17">
      <x:c r="A17" t="str">
        <x:v>E12</x:v>
      </x:c>
      <x:c r="B17" t="str">
        <x:v>Contrato</x:v>
      </x:c>
      <x:c r="C17" t="str">
        <x:v>gera</x:v>
      </x:c>
      <x:c r="D17" t="str">
        <x:v>Transação</x:v>
      </x:c>
      <x:c r="E17" t="str">
        <x:v>Contrato → Transação</x:v>
      </x:c>
      <x:c r="F17" t="str">
        <x:v>valor reconhecido</x:v>
      </x:c>
      <x:c r="G17" t="str">
        <x:v>competência</x:v>
      </x:c>
      <x:c r="H17" t="str">
        <x:v>ERP</x:v>
      </x:c>
      <x:c r="I17" t="str">
        <x:v>receita, margem, MRR</x:v>
      </x:c>
      <x:c r="J17" t="str">
        <x:v>unit economics</x:v>
      </x:c>
      <x:c r="K17" t="str">
        <x:v>conciliação financeira</x:v>
      </x:c>
    </x:row>
    <x:row r="18">
      <x:c r="A18" t="str">
        <x:v>E13</x:v>
      </x:c>
      <x:c r="B18" t="str">
        <x:v>Conteúdo / campanha</x:v>
      </x:c>
      <x:c r="C18" t="str">
        <x:v>influencia</x:v>
      </x:c>
      <x:c r="D18" t="str">
        <x:v>Oportunidade</x:v>
      </x:c>
      <x:c r="E18" t="str">
        <x:v>Campanha → Oportunidade</x:v>
      </x:c>
      <x:c r="F18" t="str">
        <x:v>modelo de atribuição</x:v>
      </x:c>
      <x:c r="G18" t="str">
        <x:v>30–180 dias</x:v>
      </x:c>
      <x:c r="H18" t="str">
        <x:v>UTM / CRM</x:v>
      </x:c>
      <x:c r="I18" t="str">
        <x:v>pipeline, CAC, ROAS</x:v>
      </x:c>
      <x:c r="J18" t="str">
        <x:v>mídia de conversão</x:v>
      </x:c>
      <x:c r="K18" t="str">
        <x:v>janela e modelo explícitos</x:v>
      </x:c>
    </x:row>
    <x:row r="19">
      <x:c r="A19" t="str">
        <x:v>E14</x:v>
      </x:c>
      <x:c r="B19" t="str">
        <x:v>Diagnóstico</x:v>
      </x:c>
      <x:c r="C19" t="str">
        <x:v>identifica</x:v>
      </x:c>
      <x:c r="D19" t="str">
        <x:v>Risco / controle</x:v>
      </x:c>
      <x:c r="E19" t="str">
        <x:v>Diagnóstico → Risco</x:v>
      </x:c>
      <x:c r="F19" t="str">
        <x:v>severidade</x:v>
      </x:c>
      <x:c r="G19" t="str">
        <x:v>até revisão</x:v>
      </x:c>
      <x:c r="H19" t="str">
        <x:v>Instrumento</x:v>
      </x:c>
      <x:c r="I19" t="str">
        <x:v>exposição, risco residual</x:v>
      </x:c>
      <x:c r="J19" t="str">
        <x:v>priorizar mitigação</x:v>
      </x:c>
      <x:c r="K19" t="str">
        <x:v>instrumento versionado</x:v>
      </x:c>
    </x:row>
    <x:row r="20">
      <x:c r="A20" t="str">
        <x:v>E15</x:v>
      </x:c>
      <x:c r="B20" t="str">
        <x:v>Risco / controle</x:v>
      </x:c>
      <x:c r="C20" t="str">
        <x:v>afeta</x:v>
      </x:c>
      <x:c r="D20" t="str">
        <x:v>Indicador de negócio</x:v>
      </x:c>
      <x:c r="E20" t="str">
        <x:v>Risco → KPI</x:v>
      </x:c>
      <x:c r="F20" t="str">
        <x:v>perda esperada</x:v>
      </x:c>
      <x:c r="G20" t="str">
        <x:v>12 meses</x:v>
      </x:c>
      <x:c r="H20" t="str">
        <x:v>GRC / Financeiro</x:v>
      </x:c>
      <x:c r="I20" t="str">
        <x:v>risco evitado</x:v>
      </x:c>
      <x:c r="J20" t="str">
        <x:v>business case</x:v>
      </x:c>
      <x:c r="K20" t="str">
        <x:v>probabilidade e impacto validados</x:v>
      </x:c>
    </x:row>
    <x:row r="21">
      <x:c r="A21" t="str">
        <x:v>E16</x:v>
      </x:c>
      <x:c r="B21" t="str">
        <x:v>Empresa</x:v>
      </x:c>
      <x:c r="C21" t="str">
        <x:v>é comparada em</x:v>
      </x:c>
      <x:c r="D21" t="str">
        <x:v>Benchmark</x:v>
      </x:c>
      <x:c r="E21" t="str">
        <x:v>Empresa → Benchmark</x:v>
      </x:c>
      <x:c r="F21" t="str">
        <x:v>percentil</x:v>
      </x:c>
      <x:c r="G21" t="str">
        <x:v>mesmo período</x:v>
      </x:c>
      <x:c r="H21" t="str">
        <x:v>Data mart</x:v>
      </x:c>
      <x:c r="I21" t="str">
        <x:v>posição, gap</x:v>
      </x:c>
      <x:c r="J21" t="str">
        <x:v>priorizar serviços</x:v>
      </x:c>
      <x:c r="K21" t="str">
        <x:v>mínimo de amostra e anonimização</x:v>
      </x:c>
    </x:row>
    <x:row r="22">
      <x:c r="A22" t="str">
        <x:v>E17</x:v>
      </x:c>
      <x:c r="B22" t="str">
        <x:v>Interação</x:v>
      </x:c>
      <x:c r="C22" t="str">
        <x:v>atualiza</x:v>
      </x:c>
      <x:c r="D22" t="str">
        <x:v>Recomendação</x:v>
      </x:c>
      <x:c r="E22" t="str">
        <x:v>Evento → Recomendação</x:v>
      </x:c>
      <x:c r="F22" t="str">
        <x:v>recência / frequência</x:v>
      </x:c>
      <x:c r="G22" t="str">
        <x:v>tempo real</x:v>
      </x:c>
      <x:c r="H22" t="str">
        <x:v>Tracking</x:v>
      </x:c>
      <x:c r="I22" t="str">
        <x:v>CTR, aceitação, propensão</x:v>
      </x:c>
      <x:c r="J22" t="str">
        <x:v>personalização</x:v>
      </x:c>
      <x:c r="K22" t="str">
        <x:v>evento válido e consentido</x:v>
      </x:c>
    </x:row>
    <x:row r="23">
      <x:c r="A23" t="str">
        <x:v>E18</x:v>
      </x:c>
      <x:c r="B23" t="str">
        <x:v>Versão de modelo</x:v>
      </x:c>
      <x:c r="C23" t="str">
        <x:v>produz</x:v>
      </x:c>
      <x:c r="D23" t="str">
        <x:v>Match</x:v>
      </x:c>
      <x:c r="E23" t="str">
        <x:v>Modelo → Match</x:v>
      </x:c>
      <x:c r="F23" t="str">
        <x:v>score</x:v>
      </x:c>
      <x:c r="G23" t="str">
        <x:v>release</x:v>
      </x:c>
      <x:c r="H23" t="str">
        <x:v>MLOps</x:v>
      </x:c>
      <x:c r="I23" t="str">
        <x:v>precisão, fairness</x:v>
      </x:c>
      <x:c r="J23" t="str">
        <x:v>governança algorítmica</x:v>
      </x:c>
      <x:c r="K23" t="str">
        <x:v>log de features e versão</x:v>
      </x:c>
    </x:row>
    <x:row r="24">
      <x:c r="A24" t="str">
        <x:v>E19</x:v>
      </x:c>
      <x:c r="B24" t="str">
        <x:v>Cohort</x:v>
      </x:c>
      <x:c r="C24" t="str">
        <x:v>contém</x:v>
      </x:c>
      <x:c r="D24" t="str">
        <x:v>Pessoa</x:v>
      </x:c>
      <x:c r="E24" t="str">
        <x:v>Cohort → Pessoa</x:v>
      </x:c>
      <x:c r="F24" t="str">
        <x:v>elegibilidade</x:v>
      </x:c>
      <x:c r="G24" t="str">
        <x:v>janela analítica</x:v>
      </x:c>
      <x:c r="H24" t="str">
        <x:v>Camada analítica</x:v>
      </x:c>
      <x:c r="I24" t="str">
        <x:v>efeito, comparação</x:v>
      </x:c>
      <x:c r="J24" t="str">
        <x:v>mensuração quase-experimental</x:v>
      </x:c>
      <x:c r="K24" t="str">
        <x:v>critérios imutáveis na análise</x:v>
      </x:c>
    </x:row>
    <x:row r="25">
      <x:c r="A25" t="str">
        <x:v>E20</x:v>
      </x:c>
      <x:c r="B25" t="str">
        <x:v>Consentimento</x:v>
      </x:c>
      <x:c r="C25" t="str">
        <x:v>autoriza finalidade para</x:v>
      </x:c>
      <x:c r="D25" t="str">
        <x:v>Pessoa</x:v>
      </x:c>
      <x:c r="E25" t="str">
        <x:v>Consentimento → Pessoa</x:v>
      </x:c>
      <x:c r="F25" t="str">
        <x:v>status</x:v>
      </x:c>
      <x:c r="G25" t="str">
        <x:v>vigência</x:v>
      </x:c>
      <x:c r="H25" t="str">
        <x:v>CMP</x:v>
      </x:c>
      <x:c r="I25" t="str">
        <x:v>cobertura de consentimento</x:v>
      </x:c>
      <x:c r="J25" t="str">
        <x:v>LGPD</x:v>
      </x:c>
      <x:c r="K25" t="str">
        <x:v>revogação aplicada imediatamente</x:v>
      </x:c>
    </x:row>
  </x:sheetData>
  <x:pageSetup fitToWidth="1" fitToHeight="0" orientation="landscape"/>
</x:worksheet>
</file>

<file path=xl/worksheets/sheet6.xml><?xml version="1.0" encoding="utf-8"?>
<x:worksheet xmlns:x="http://schemas.openxmlformats.org/spreadsheetml/2006/main">
  <x:sheetPr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22" customWidth="1"/>
    <x:col min="17" max="17" width="22" customWidth="1"/>
    <x:col min="18" max="18" width="22" customWidth="1"/>
    <x:col min="19" max="19" width="22" customWidth="1"/>
    <x:col min="20" max="20" width="22" customWidth="1"/>
  </x:cols>
  <x:sheetData>
    <x:row r="1">
      <x:c r="A1" t="str">
        <x:v>Catálogo mestre de indicadores</x:v>
      </x:c>
    </x:row>
    <x:row r="3">
      <x:c r="A3" t="str">
        <x:v>Cada indicador inclui pergunta, fórmula, fonte e como pode chegar a valor financeiro.</x:v>
      </x:c>
    </x:row>
    <x:row r="5">
      <x:c r="A5" t="str">
        <x:v>ID</x:v>
      </x:c>
      <x:c r="B5" t="str">
        <x:v>Vertente</x:v>
      </x:c>
      <x:c r="C5" t="str">
        <x:v>Visão</x:v>
      </x:c>
      <x:c r="D5" t="str">
        <x:v>Camada</x:v>
      </x:c>
      <x:c r="E5" t="str">
        <x:v>Indicador</x:v>
      </x:c>
      <x:c r="F5" t="str">
        <x:v>Pergunta de gestão</x:v>
      </x:c>
      <x:c r="G5" t="str">
        <x:v>Definição</x:v>
      </x:c>
      <x:c r="H5" t="str">
        <x:v>Fórmula</x:v>
      </x:c>
      <x:c r="I5" t="str">
        <x:v>Unidade</x:v>
      </x:c>
      <x:c r="J5" t="str">
        <x:v>Polaridade</x:v>
      </x:c>
      <x:c r="K5" t="str">
        <x:v>Frequência</x:v>
      </x:c>
      <x:c r="L5" t="str">
        <x:v>Fonte mínima</x:v>
      </x:c>
      <x:c r="M5" t="str">
        <x:v>Dimensões / cortes</x:v>
      </x:c>
      <x:c r="N5" t="str">
        <x:v>Owner</x:v>
      </x:c>
      <x:c r="O5" t="str">
        <x:v>Tipo</x:v>
      </x:c>
      <x:c r="P5" t="str">
        <x:v>Alavanca financeira</x:v>
      </x:c>
      <x:c r="Q5" t="str">
        <x:v>Conversão financeira</x:v>
      </x:c>
      <x:c r="R5" t="str">
        <x:v>Nível de evidência</x:v>
      </x:c>
      <x:c r="S5" t="str">
        <x:v>Prioridade</x:v>
      </x:c>
      <x:c r="T5" t="str">
        <x:v>Fase</x:v>
      </x:c>
    </x:row>
    <x:row r="6">
      <x:c r="A6" t="str">
        <x:v>PES-01</x:v>
      </x:c>
      <x:c r="B6" t="str">
        <x:v>Pessoas</x:v>
      </x:c>
      <x:c r="C6" t="str">
        <x:v>Pessoa</x:v>
      </x:c>
      <x:c r="D6" t="str">
        <x:v>Insumo</x:v>
      </x:c>
      <x:c r="E6" t="str">
        <x:v>Completude do perfil</x:v>
      </x:c>
      <x:c r="F6" t="str">
        <x:v>Temos dados suficientes para orientar a pessoa?</x:v>
      </x:c>
      <x:c r="G6" t="str">
        <x:v>Percentual de campos essenciais válidos.</x:v>
      </x:c>
      <x:c r="H6" t="str">
        <x:v>campos essenciais preenchidos / campos essenciais esperados</x:v>
      </x:c>
      <x:c r="I6" t="str">
        <x:v>%</x:v>
      </x:c>
      <x:c r="J6" t="str">
        <x:v>Maior é melhor</x:v>
      </x:c>
      <x:c r="K6" t="str">
        <x:v>Diária</x:v>
      </x:c>
      <x:c r="L6" t="str">
        <x:v>Pessoa + consentimento</x:v>
      </x:c>
      <x:c r="M6" t="str">
        <x:v>empresa, região, persona</x:v>
      </x:c>
      <x:c r="N6" t="str">
        <x:v>Produto</x:v>
      </x:c>
      <x:c r="O6" t="str">
        <x:v>Leading</x:v>
      </x:c>
      <x:c r="P6" t="str">
        <x:v>Qualidade / conversão</x:v>
      </x:c>
      <x:c r="Q6" t="str">
        <x:v>Não monetizar isoladamente</x:v>
      </x:c>
      <x:c r="R6" t="str">
        <x:v>Descritivo</x:v>
      </x:c>
      <x:c r="S6" t="str">
        <x:v>Alta</x:v>
      </x:c>
      <x:c r="T6" t="str">
        <x:v>M0</x:v>
      </x:c>
    </x:row>
    <x:row r="7">
      <x:c r="A7" t="str">
        <x:v>PES-02</x:v>
      </x:c>
      <x:c r="B7" t="str">
        <x:v>Pessoas</x:v>
      </x:c>
      <x:c r="C7" t="str">
        <x:v>Pessoa</x:v>
      </x:c>
      <x:c r="D7" t="str">
        <x:v>Sinal</x:v>
      </x:c>
      <x:c r="E7" t="str">
        <x:v>Índice de prontidão</x:v>
      </x:c>
      <x:c r="F7" t="str">
        <x:v>Quão preparada a pessoa está para a oportunidade-alvo?</x:v>
      </x:c>
      <x:c r="G7" t="str">
        <x:v>Score ponderado de requisitos, evidências e recência.</x:v>
      </x:c>
      <x:c r="H7" t="str">
        <x:v>Σ(nível × peso × confiança × recência) / Σ pesos</x:v>
      </x:c>
      <x:c r="I7" t="str">
        <x:v>score 0–100</x:v>
      </x:c>
      <x:c r="J7" t="str">
        <x:v>Maior é melhor</x:v>
      </x:c>
      <x:c r="K7" t="str">
        <x:v>Evento</x:v>
      </x:c>
      <x:c r="L7" t="str">
        <x:v>Competência + evidência + oportunidade</x:v>
      </x:c>
      <x:c r="M7" t="str">
        <x:v>competência, papel, cohort</x:v>
      </x:c>
      <x:c r="N7" t="str">
        <x:v>Inteligência</x:v>
      </x:c>
      <x:c r="O7" t="str">
        <x:v>Leading</x:v>
      </x:c>
      <x:c r="P7" t="str">
        <x:v>Produtividade / contratação</x:v>
      </x:c>
      <x:c r="Q7" t="str">
        <x:v>Usar como driver; monetizar somente via resultado posterior</x:v>
      </x:c>
      <x:c r="R7" t="str">
        <x:v>Descritivo</x:v>
      </x:c>
      <x:c r="S7" t="str">
        <x:v>Alta</x:v>
      </x:c>
      <x:c r="T7" t="str">
        <x:v>M0</x:v>
      </x:c>
    </x:row>
    <x:row r="8">
      <x:c r="A8" t="str">
        <x:v>PES-03</x:v>
      </x:c>
      <x:c r="B8" t="str">
        <x:v>Pessoas</x:v>
      </x:c>
      <x:c r="C8" t="str">
        <x:v>Pessoa</x:v>
      </x:c>
      <x:c r="D8" t="str">
        <x:v>Sinal</x:v>
      </x:c>
      <x:c r="E8" t="str">
        <x:v>Gap crítico de capacidade</x:v>
      </x:c>
      <x:c r="F8" t="str">
        <x:v>Quais lacunas bloqueiam resultado?</x:v>
      </x:c>
      <x:c r="G8" t="str">
        <x:v>Peso dos requisitos não atendidos.</x:v>
      </x:c>
      <x:c r="H8" t="str">
        <x:v>Σ pesos dos requisitos abaixo do nível mínimo</x:v>
      </x:c>
      <x:c r="I8" t="str">
        <x:v>pontos</x:v>
      </x:c>
      <x:c r="J8" t="str">
        <x:v>Menor é melhor</x:v>
      </x:c>
      <x:c r="K8" t="str">
        <x:v>Semanal</x:v>
      </x:c>
      <x:c r="L8" t="str">
        <x:v>Competência + oportunidade</x:v>
      </x:c>
      <x:c r="M8" t="str">
        <x:v>competência, função, empresa</x:v>
      </x:c>
      <x:c r="N8" t="str">
        <x:v>RH</x:v>
      </x:c>
      <x:c r="O8" t="str">
        <x:v>Leading</x:v>
      </x:c>
      <x:c r="P8" t="str">
        <x:v>Produtividade / risco</x:v>
      </x:c>
      <x:c r="Q8" t="str">
        <x:v>horas de improdutividade associadas × custo-hora</x:v>
      </x:c>
      <x:c r="R8" t="str">
        <x:v>Descritivo</x:v>
      </x:c>
      <x:c r="S8" t="str">
        <x:v>Alta</x:v>
      </x:c>
      <x:c r="T8" t="str">
        <x:v>M1</x:v>
      </x:c>
    </x:row>
    <x:row r="9">
      <x:c r="A9" t="str">
        <x:v>PES-04</x:v>
      </x:c>
      <x:c r="B9" t="str">
        <x:v>Pessoas</x:v>
      </x:c>
      <x:c r="C9" t="str">
        <x:v>Pessoa</x:v>
      </x:c>
      <x:c r="D9" t="str">
        <x:v>Ação</x:v>
      </x:c>
      <x:c r="E9" t="str">
        <x:v>Aceitação de recomendação</x:v>
      </x:c>
      <x:c r="F9" t="str">
        <x:v>A recomendação leva a uma ação?</x:v>
      </x:c>
      <x:c r="G9" t="str">
        <x:v>Recomendações aceitas no prazo.</x:v>
      </x:c>
      <x:c r="H9" t="str">
        <x:v>recomendações aceitas / recomendações entregues</x:v>
      </x:c>
      <x:c r="I9" t="str">
        <x:v>%</x:v>
      </x:c>
      <x:c r="J9" t="str">
        <x:v>Maior é melhor</x:v>
      </x:c>
      <x:c r="K9" t="str">
        <x:v>Semanal</x:v>
      </x:c>
      <x:c r="L9" t="str">
        <x:v>Recomendação + evento</x:v>
      </x:c>
      <x:c r="M9" t="str">
        <x:v>modelo, tipo, canal</x:v>
      </x:c>
      <x:c r="N9" t="str">
        <x:v>Produto</x:v>
      </x:c>
      <x:c r="O9" t="str">
        <x:v>Leading</x:v>
      </x:c>
      <x:c r="P9" t="str">
        <x:v>Conversão</x:v>
      </x:c>
      <x:c r="Q9" t="str">
        <x:v>valor médio do outcome × uplift de aceitação</x:v>
      </x:c>
      <x:c r="R9" t="str">
        <x:v>Descritivo</x:v>
      </x:c>
      <x:c r="S9" t="str">
        <x:v>Alta</x:v>
      </x:c>
      <x:c r="T9" t="str">
        <x:v>M0</x:v>
      </x:c>
    </x:row>
    <x:row r="10">
      <x:c r="A10" t="str">
        <x:v>PES-05</x:v>
      </x:c>
      <x:c r="B10" t="str">
        <x:v>Pessoas</x:v>
      </x:c>
      <x:c r="C10" t="str">
        <x:v>Pessoa</x:v>
      </x:c>
      <x:c r="D10" t="str">
        <x:v>Ação</x:v>
      </x:c>
      <x:c r="E10" t="str">
        <x:v>Conclusão de jornada</x:v>
      </x:c>
      <x:c r="F10" t="str">
        <x:v>A pessoa completa o caminho proposto?</x:v>
      </x:c>
      <x:c r="G10" t="str">
        <x:v>Jornadas concluídas entre as iniciadas.</x:v>
      </x:c>
      <x:c r="H10" t="str">
        <x:v>jornadas concluídas / jornadas iniciadas</x:v>
      </x:c>
      <x:c r="I10" t="str">
        <x:v>%</x:v>
      </x:c>
      <x:c r="J10" t="str">
        <x:v>Maior é melhor</x:v>
      </x:c>
      <x:c r="K10" t="str">
        <x:v>Semanal</x:v>
      </x:c>
      <x:c r="L10" t="str">
        <x:v>Jornada + eventos</x:v>
      </x:c>
      <x:c r="M10" t="str">
        <x:v>jornada, cohort, empresa</x:v>
      </x:c>
      <x:c r="N10" t="str">
        <x:v>Produto / LMS</x:v>
      </x:c>
      <x:c r="O10" t="str">
        <x:v>Leading</x:v>
      </x:c>
      <x:c r="P10" t="str">
        <x:v>Produtividade / retenção</x:v>
      </x:c>
      <x:c r="Q10" t="str">
        <x:v>concluintes × efeito médio monetizado</x:v>
      </x:c>
      <x:c r="R10" t="str">
        <x:v>Descritivo</x:v>
      </x:c>
      <x:c r="S10" t="str">
        <x:v>Alta</x:v>
      </x:c>
      <x:c r="T10" t="str">
        <x:v>M0</x:v>
      </x:c>
    </x:row>
    <x:row r="11">
      <x:c r="A11" t="str">
        <x:v>PES-06</x:v>
      </x:c>
      <x:c r="B11" t="str">
        <x:v>Pessoas</x:v>
      </x:c>
      <x:c r="C11" t="str">
        <x:v>Pessoa</x:v>
      </x:c>
      <x:c r="D11" t="str">
        <x:v>Resultado</x:v>
      </x:c>
      <x:c r="E11" t="str">
        <x:v>Evolução de capacidade</x:v>
      </x:c>
      <x:c r="F11" t="str">
        <x:v>A capacidade mudou após a jornada?</x:v>
      </x:c>
      <x:c r="G11" t="str">
        <x:v>Variação padronizada pré e pós.</x:v>
      </x:c>
      <x:c r="H11" t="str">
        <x:v>score pós − score pré</x:v>
      </x:c>
      <x:c r="I11" t="str">
        <x:v>p.p. ou score</x:v>
      </x:c>
      <x:c r="J11" t="str">
        <x:v>Maior é melhor</x:v>
      </x:c>
      <x:c r="K11" t="str">
        <x:v>Mensal</x:v>
      </x:c>
      <x:c r="L11" t="str">
        <x:v>Diagnóstico + cohort</x:v>
      </x:c>
      <x:c r="M11" t="str">
        <x:v>competência, jornada, empresa</x:v>
      </x:c>
      <x:c r="N11" t="str">
        <x:v>Inteligência</x:v>
      </x:c>
      <x:c r="O11" t="str">
        <x:v>Lagging</x:v>
      </x:c>
      <x:c r="P11" t="str">
        <x:v>Produtividade</x:v>
      </x:c>
      <x:c r="Q11" t="str">
        <x:v>pessoas × custo anual × ganho produtividade × atribuição</x:v>
      </x:c>
      <x:c r="R11" t="str">
        <x:v>Quase-experimental</x:v>
      </x:c>
      <x:c r="S11" t="str">
        <x:v>Alta</x:v>
      </x:c>
      <x:c r="T11" t="str">
        <x:v>M1</x:v>
      </x:c>
    </x:row>
    <x:row r="12">
      <x:c r="A12" t="str">
        <x:v>PES-07</x:v>
      </x:c>
      <x:c r="B12" t="str">
        <x:v>Pessoas</x:v>
      </x:c>
      <x:c r="C12" t="str">
        <x:v>Pessoa</x:v>
      </x:c>
      <x:c r="D12" t="str">
        <x:v>Resultado</x:v>
      </x:c>
      <x:c r="E12" t="str">
        <x:v>Tempo até oportunidade</x:v>
      </x:c>
      <x:c r="F12" t="str">
        <x:v>Quanto tempo leva para gerar oportunidade relevante?</x:v>
      </x:c>
      <x:c r="G12" t="str">
        <x:v>Dias do cadastro/prontidão até primeira oportunidade aceita.</x:v>
      </x:c>
      <x:c r="H12" t="str">
        <x:v>data oportunidade − data elegibilidade</x:v>
      </x:c>
      <x:c r="I12" t="str">
        <x:v>dias</x:v>
      </x:c>
      <x:c r="J12" t="str">
        <x:v>Menor é melhor</x:v>
      </x:c>
      <x:c r="K12" t="str">
        <x:v>Mensal</x:v>
      </x:c>
      <x:c r="L12" t="str">
        <x:v>Pessoa + oportunidade + match</x:v>
      </x:c>
      <x:c r="M12" t="str">
        <x:v>cohort, canal, empresa</x:v>
      </x:c>
      <x:c r="N12" t="str">
        <x:v>Operações</x:v>
      </x:c>
      <x:c r="O12" t="str">
        <x:v>Lagging</x:v>
      </x:c>
      <x:c r="P12" t="str">
        <x:v>Receita / empregabilidade</x:v>
      </x:c>
      <x:c r="Q12" t="str">
        <x:v>dias reduzidos × custo diário da vacância ou oportunidade</x:v>
      </x:c>
      <x:c r="R12" t="str">
        <x:v>Correlação</x:v>
      </x:c>
      <x:c r="S12" t="str">
        <x:v>Média</x:v>
      </x:c>
      <x:c r="T12" t="str">
        <x:v>M1</x:v>
      </x:c>
    </x:row>
    <x:row r="13">
      <x:c r="A13" t="str">
        <x:v>PES-08</x:v>
      </x:c>
      <x:c r="B13" t="str">
        <x:v>Pessoas</x:v>
      </x:c>
      <x:c r="C13" t="str">
        <x:v>Pessoa</x:v>
      </x:c>
      <x:c r="D13" t="str">
        <x:v>Resultado</x:v>
      </x:c>
      <x:c r="E13" t="str">
        <x:v>Mobilidade / conexão efetiva</x:v>
      </x:c>
      <x:c r="F13" t="str">
        <x:v>A conexão virou movimentação, projeto ou contrato?</x:v>
      </x:c>
      <x:c r="G13" t="str">
        <x:v>Pessoas com outcome confirmado após match.</x:v>
      </x:c>
      <x:c r="H13" t="str">
        <x:v>pessoas com outcome / pessoas com match aceito</x:v>
      </x:c>
      <x:c r="I13" t="str">
        <x:v>%</x:v>
      </x:c>
      <x:c r="J13" t="str">
        <x:v>Maior é melhor</x:v>
      </x:c>
      <x:c r="K13" t="str">
        <x:v>Mensal</x:v>
      </x:c>
      <x:c r="L13" t="str">
        <x:v>Match + outcome</x:v>
      </x:c>
      <x:c r="M13" t="str">
        <x:v>tipo de outcome, cohort</x:v>
      </x:c>
      <x:c r="N13" t="str">
        <x:v>Operações</x:v>
      </x:c>
      <x:c r="O13" t="str">
        <x:v>Lagging</x:v>
      </x:c>
      <x:c r="P13" t="str">
        <x:v>Receita / retenção</x:v>
      </x:c>
      <x:c r="Q13" t="str">
        <x:v>outcomes incrementais × valor médio</x:v>
      </x:c>
      <x:c r="R13" t="str">
        <x:v>Quase-experimental</x:v>
      </x:c>
      <x:c r="S13" t="str">
        <x:v>Alta</x:v>
      </x:c>
      <x:c r="T13" t="str">
        <x:v>M1</x:v>
      </x:c>
    </x:row>
    <x:row r="14">
      <x:c r="A14" t="str">
        <x:v>PES-09</x:v>
      </x:c>
      <x:c r="B14" t="str">
        <x:v>Pessoas</x:v>
      </x:c>
      <x:c r="C14" t="str">
        <x:v>Pessoa</x:v>
      </x:c>
      <x:c r="D14" t="str">
        <x:v>Resultado</x:v>
      </x:c>
      <x:c r="E14" t="str">
        <x:v>NPS da jornada</x:v>
      </x:c>
      <x:c r="F14" t="str">
        <x:v>A experiência gerou valor percebido?</x:v>
      </x:c>
      <x:c r="G14" t="str">
        <x:v>Net Promoter Score por jornada.</x:v>
      </x:c>
      <x:c r="H14" t="str">
        <x:v>% promotores − % detratores</x:v>
      </x:c>
      <x:c r="I14" t="str">
        <x:v>NPS</x:v>
      </x:c>
      <x:c r="J14" t="str">
        <x:v>Maior é melhor</x:v>
      </x:c>
      <x:c r="K14" t="str">
        <x:v>Mensal</x:v>
      </x:c>
      <x:c r="L14" t="str">
        <x:v>Pesquisa</x:v>
      </x:c>
      <x:c r="M14" t="str">
        <x:v>jornada, etapa, persona</x:v>
      </x:c>
      <x:c r="N14" t="str">
        <x:v>CX</x:v>
      </x:c>
      <x:c r="O14" t="str">
        <x:v>Lagging</x:v>
      </x:c>
      <x:c r="P14" t="str">
        <x:v>Retenção / indicação</x:v>
      </x:c>
      <x:c r="Q14" t="str">
        <x:v>não monetizar sem relação validada com churn</x:v>
      </x:c>
      <x:c r="R14" t="str">
        <x:v>Descritivo</x:v>
      </x:c>
      <x:c r="S14" t="str">
        <x:v>Média</x:v>
      </x:c>
      <x:c r="T14" t="str">
        <x:v>M1</x:v>
      </x:c>
    </x:row>
    <x:row r="15">
      <x:c r="A15" t="str">
        <x:v>PES-10</x:v>
      </x:c>
      <x:c r="B15" t="str">
        <x:v>Pessoas</x:v>
      </x:c>
      <x:c r="C15" t="str">
        <x:v>Pessoa</x:v>
      </x:c>
      <x:c r="D15" t="str">
        <x:v>Impacto</x:v>
      </x:c>
      <x:c r="E15" t="str">
        <x:v>Valor gerado por pessoa</x:v>
      </x:c>
      <x:c r="F15" t="str">
        <x:v>Quanto benefício comprovado foi associado a cada pessoa impactada?</x:v>
      </x:c>
      <x:c r="G15" t="str">
        <x:v>Benefício atribuído dividido pelo público elegível.</x:v>
      </x:c>
      <x:c r="H15" t="str">
        <x:v>benefício financeiro atribuído / pessoas impactadas</x:v>
      </x:c>
      <x:c r="I15" t="str">
        <x:v>R$/pessoa</x:v>
      </x:c>
      <x:c r="J15" t="str">
        <x:v>Maior é melhor</x:v>
      </x:c>
      <x:c r="K15" t="str">
        <x:v>Trimestral</x:v>
      </x:c>
      <x:c r="L15" t="str">
        <x:v>Outcomes + financeiro</x:v>
      </x:c>
      <x:c r="M15" t="str">
        <x:v>empresa, programa, cohort</x:v>
      </x:c>
      <x:c r="N15" t="str">
        <x:v>Financeiro</x:v>
      </x:c>
      <x:c r="O15" t="str">
        <x:v>Lagging</x:v>
      </x:c>
      <x:c r="P15" t="str">
        <x:v>Lucro / custo</x:v>
      </x:c>
      <x:c r="Q15" t="str">
        <x:v>benefícios atribuídos após deduplicação</x:v>
      </x:c>
      <x:c r="R15" t="str">
        <x:v>Quase-experimental</x:v>
      </x:c>
      <x:c r="S15" t="str">
        <x:v>Alta</x:v>
      </x:c>
      <x:c r="T15" t="str">
        <x:v>M2</x:v>
      </x:c>
    </x:row>
    <x:row r="16">
      <x:c r="A16" t="str">
        <x:v>RH-01</x:v>
      </x:c>
      <x:c r="B16" t="str">
        <x:v>Empresas / RH</x:v>
      </x:c>
      <x:c r="C16" t="str">
        <x:v>RH</x:v>
      </x:c>
      <x:c r="D16" t="str">
        <x:v>Insumo</x:v>
      </x:c>
      <x:c r="E16" t="str">
        <x:v>Cobertura de capacidades</x:v>
      </x:c>
      <x:c r="F16" t="str">
        <x:v>Quanto da força de trabalho possui capacidades mapeadas?</x:v>
      </x:c>
      <x:c r="G16" t="str">
        <x:v>Pessoas ativas com taxonomia válida.</x:v>
      </x:c>
      <x:c r="H16" t="str">
        <x:v>pessoas mapeadas / pessoas elegíveis</x:v>
      </x:c>
      <x:c r="I16" t="str">
        <x:v>%</x:v>
      </x:c>
      <x:c r="J16" t="str">
        <x:v>Maior é melhor</x:v>
      </x:c>
      <x:c r="K16" t="str">
        <x:v>Mensal</x:v>
      </x:c>
      <x:c r="L16" t="str">
        <x:v>HRIS + competência</x:v>
      </x:c>
      <x:c r="M16" t="str">
        <x:v>função, unidade, região</x:v>
      </x:c>
      <x:c r="N16" t="str">
        <x:v>RH</x:v>
      </x:c>
      <x:c r="O16" t="str">
        <x:v>Leading</x:v>
      </x:c>
      <x:c r="P16" t="str">
        <x:v>Risco / planejamento</x:v>
      </x:c>
      <x:c r="Q16" t="str">
        <x:v>não monetizar isoladamente</x:v>
      </x:c>
      <x:c r="R16" t="str">
        <x:v>Descritivo</x:v>
      </x:c>
      <x:c r="S16" t="str">
        <x:v>Alta</x:v>
      </x:c>
      <x:c r="T16" t="str">
        <x:v>M0</x:v>
      </x:c>
    </x:row>
    <x:row r="17">
      <x:c r="A17" t="str">
        <x:v>RH-02</x:v>
      </x:c>
      <x:c r="B17" t="str">
        <x:v>Empresas / RH</x:v>
      </x:c>
      <x:c r="C17" t="str">
        <x:v>RH</x:v>
      </x:c>
      <x:c r="D17" t="str">
        <x:v>Sinal</x:v>
      </x:c>
      <x:c r="E17" t="str">
        <x:v>Risco de lacuna crítica</x:v>
      </x:c>
      <x:c r="F17" t="str">
        <x:v>Onde faltam capacidades para a estratégia?</x:v>
      </x:c>
      <x:c r="G17" t="str">
        <x:v>Exposição ponderada a gaps críticos.</x:v>
      </x:c>
      <x:c r="H17" t="str">
        <x:v>Σ(gap × criticidade × população exposta)</x:v>
      </x:c>
      <x:c r="I17" t="str">
        <x:v>índice</x:v>
      </x:c>
      <x:c r="J17" t="str">
        <x:v>Menor é melhor</x:v>
      </x:c>
      <x:c r="K17" t="str">
        <x:v>Mensal</x:v>
      </x:c>
      <x:c r="L17" t="str">
        <x:v>Capacidade + estratégia</x:v>
      </x:c>
      <x:c r="M17" t="str">
        <x:v>função, unidade, capacidade</x:v>
      </x:c>
      <x:c r="N17" t="str">
        <x:v>RH / Estratégia</x:v>
      </x:c>
      <x:c r="O17" t="str">
        <x:v>Leading</x:v>
      </x:c>
      <x:c r="P17" t="str">
        <x:v>Risco / produtividade</x:v>
      </x:c>
      <x:c r="Q17" t="str">
        <x:v>probabilidade × impacto × redução atribuída</x:v>
      </x:c>
      <x:c r="R17" t="str">
        <x:v>Descritivo</x:v>
      </x:c>
      <x:c r="S17" t="str">
        <x:v>Alta</x:v>
      </x:c>
      <x:c r="T17" t="str">
        <x:v>M1</x:v>
      </x:c>
    </x:row>
    <x:row r="18">
      <x:c r="A18" t="str">
        <x:v>RH-03</x:v>
      </x:c>
      <x:c r="B18" t="str">
        <x:v>Empresas / RH</x:v>
      </x:c>
      <x:c r="C18" t="str">
        <x:v>RH</x:v>
      </x:c>
      <x:c r="D18" t="str">
        <x:v>Processo</x:v>
      </x:c>
      <x:c r="E18" t="str">
        <x:v>Time-to-fill</x:v>
      </x:c>
      <x:c r="F18" t="str">
        <x:v>Quanto tempo uma vaga crítica permanece aberta?</x:v>
      </x:c>
      <x:c r="G18" t="str">
        <x:v>Dias entre abertura e aceite.</x:v>
      </x:c>
      <x:c r="H18" t="str">
        <x:v>data aceite − data abertura</x:v>
      </x:c>
      <x:c r="I18" t="str">
        <x:v>dias</x:v>
      </x:c>
      <x:c r="J18" t="str">
        <x:v>Menor é melhor</x:v>
      </x:c>
      <x:c r="K18" t="str">
        <x:v>Mensal</x:v>
      </x:c>
      <x:c r="L18" t="str">
        <x:v>ATS</x:v>
      </x:c>
      <x:c r="M18" t="str">
        <x:v>função, senioridade, canal</x:v>
      </x:c>
      <x:c r="N18" t="str">
        <x:v>Talent Acquisition</x:v>
      </x:c>
      <x:c r="O18" t="str">
        <x:v>Lagging</x:v>
      </x:c>
      <x:c r="P18" t="str">
        <x:v>Custo</x:v>
      </x:c>
      <x:c r="Q18" t="str">
        <x:v>dias evitados × custo diário da vacância × atribuição</x:v>
      </x:c>
      <x:c r="R18" t="str">
        <x:v>Quase-experimental</x:v>
      </x:c>
      <x:c r="S18" t="str">
        <x:v>Alta</x:v>
      </x:c>
      <x:c r="T18" t="str">
        <x:v>M1</x:v>
      </x:c>
    </x:row>
    <x:row r="19">
      <x:c r="A19" t="str">
        <x:v>RH-04</x:v>
      </x:c>
      <x:c r="B19" t="str">
        <x:v>Empresas / RH</x:v>
      </x:c>
      <x:c r="C19" t="str">
        <x:v>RH</x:v>
      </x:c>
      <x:c r="D19" t="str">
        <x:v>Processo</x:v>
      </x:c>
      <x:c r="E19" t="str">
        <x:v>Custo por contratação</x:v>
      </x:c>
      <x:c r="F19" t="str">
        <x:v>Quanto custa cada contratação concluída?</x:v>
      </x:c>
      <x:c r="G19" t="str">
        <x:v>Custos de recrutamento divididos pelas admissões.</x:v>
      </x:c>
      <x:c r="H19" t="str">
        <x:v>custos atribuíveis / admissões</x:v>
      </x:c>
      <x:c r="I19" t="str">
        <x:v>R$/contratação</x:v>
      </x:c>
      <x:c r="J19" t="str">
        <x:v>Menor é melhor</x:v>
      </x:c>
      <x:c r="K19" t="str">
        <x:v>Mensal</x:v>
      </x:c>
      <x:c r="L19" t="str">
        <x:v>ATS + financeiro</x:v>
      </x:c>
      <x:c r="M19" t="str">
        <x:v>canal, função, cohort</x:v>
      </x:c>
      <x:c r="N19" t="str">
        <x:v>Talent Acquisition</x:v>
      </x:c>
      <x:c r="O19" t="str">
        <x:v>Lagging</x:v>
      </x:c>
      <x:c r="P19" t="str">
        <x:v>Custo</x:v>
      </x:c>
      <x:c r="Q19" t="str">
        <x:v>custo baseline − custo após HUB</x:v>
      </x:c>
      <x:c r="R19" t="str">
        <x:v>Quase-experimental</x:v>
      </x:c>
      <x:c r="S19" t="str">
        <x:v>Alta</x:v>
      </x:c>
      <x:c r="T19" t="str">
        <x:v>M1</x:v>
      </x:c>
    </x:row>
    <x:row r="20">
      <x:c r="A20" t="str">
        <x:v>RH-05</x:v>
      </x:c>
      <x:c r="B20" t="str">
        <x:v>Empresas / RH</x:v>
      </x:c>
      <x:c r="C20" t="str">
        <x:v>RH</x:v>
      </x:c>
      <x:c r="D20" t="str">
        <x:v>Resultado</x:v>
      </x:c>
      <x:c r="E20" t="str">
        <x:v>Qualidade da contratação</x:v>
      </x:c>
      <x:c r="F20" t="str">
        <x:v>A contratação permanece e performa?</x:v>
      </x:c>
      <x:c r="G20" t="str">
        <x:v>Score composto de desempenho, retenção e fit em 6/12 meses.</x:v>
      </x:c>
      <x:c r="H20" t="str">
        <x:v>média ponderada(performance, retenção, fit)</x:v>
      </x:c>
      <x:c r="I20" t="str">
        <x:v>score</x:v>
      </x:c>
      <x:c r="J20" t="str">
        <x:v>Maior é melhor</x:v>
      </x:c>
      <x:c r="K20" t="str">
        <x:v>Trimestral</x:v>
      </x:c>
      <x:c r="L20" t="str">
        <x:v>ATS + HRIS + performance</x:v>
      </x:c>
      <x:c r="M20" t="str">
        <x:v>função, canal, cohort</x:v>
      </x:c>
      <x:c r="N20" t="str">
        <x:v>RH</x:v>
      </x:c>
      <x:c r="O20" t="str">
        <x:v>Lagging</x:v>
      </x:c>
      <x:c r="P20" t="str">
        <x:v>Produtividade / retenção</x:v>
      </x:c>
      <x:c r="Q20" t="str">
        <x:v>uplift × custo de reposição ou valor de produtividade</x:v>
      </x:c>
      <x:c r="R20" t="str">
        <x:v>Quase-experimental</x:v>
      </x:c>
      <x:c r="S20" t="str">
        <x:v>Alta</x:v>
      </x:c>
      <x:c r="T20" t="str">
        <x:v>M2</x:v>
      </x:c>
    </x:row>
    <x:row r="21">
      <x:c r="A21" t="str">
        <x:v>RH-06</x:v>
      </x:c>
      <x:c r="B21" t="str">
        <x:v>Empresas / RH</x:v>
      </x:c>
      <x:c r="C21" t="str">
        <x:v>RH</x:v>
      </x:c>
      <x:c r="D21" t="str">
        <x:v>Resultado</x:v>
      </x:c>
      <x:c r="E21" t="str">
        <x:v>Time-to-productivity</x:v>
      </x:c>
      <x:c r="F21" t="str">
        <x:v>Em quanto tempo a pessoa atinge a performance esperada?</x:v>
      </x:c>
      <x:c r="G21" t="str">
        <x:v>Dias da admissão até marco de produtividade.</x:v>
      </x:c>
      <x:c r="H21" t="str">
        <x:v>data marco − data admissão</x:v>
      </x:c>
      <x:c r="I21" t="str">
        <x:v>dias</x:v>
      </x:c>
      <x:c r="J21" t="str">
        <x:v>Menor é melhor</x:v>
      </x:c>
      <x:c r="K21" t="str">
        <x:v>Mensal</x:v>
      </x:c>
      <x:c r="L21" t="str">
        <x:v>HRIS + performance</x:v>
      </x:c>
      <x:c r="M21" t="str">
        <x:v>função, jornada, cohort</x:v>
      </x:c>
      <x:c r="N21" t="str">
        <x:v>RH / Operação</x:v>
      </x:c>
      <x:c r="O21" t="str">
        <x:v>Lagging</x:v>
      </x:c>
      <x:c r="P21" t="str">
        <x:v>Produtividade</x:v>
      </x:c>
      <x:c r="Q21" t="str">
        <x:v>dias reduzidos × custo diário carregado × pessoas</x:v>
      </x:c>
      <x:c r="R21" t="str">
        <x:v>Quase-experimental</x:v>
      </x:c>
      <x:c r="S21" t="str">
        <x:v>Alta</x:v>
      </x:c>
      <x:c r="T21" t="str">
        <x:v>M2</x:v>
      </x:c>
    </x:row>
    <x:row r="22">
      <x:c r="A22" t="str">
        <x:v>RH-07</x:v>
      </x:c>
      <x:c r="B22" t="str">
        <x:v>Empresas / RH</x:v>
      </x:c>
      <x:c r="C22" t="str">
        <x:v>RH</x:v>
      </x:c>
      <x:c r="D22" t="str">
        <x:v>Resultado</x:v>
      </x:c>
      <x:c r="E22" t="str">
        <x:v>Turnover evitável</x:v>
      </x:c>
      <x:c r="F22" t="str">
        <x:v>A intervenção reduz saídas evitáveis?</x:v>
      </x:c>
      <x:c r="G22" t="str">
        <x:v>Diferença ajustada de turnover entre expostos e comparáveis.</x:v>
      </x:c>
      <x:c r="H22" t="str">
        <x:v>turnover controle − turnover exposto</x:v>
      </x:c>
      <x:c r="I22" t="str">
        <x:v>p.p.</x:v>
      </x:c>
      <x:c r="J22" t="str">
        <x:v>Maior é melhor</x:v>
      </x:c>
      <x:c r="K22" t="str">
        <x:v>Trimestral</x:v>
      </x:c>
      <x:c r="L22" t="str">
        <x:v>HRIS + cohort</x:v>
      </x:c>
      <x:c r="M22" t="str">
        <x:v>função, gestor, jornada</x:v>
      </x:c>
      <x:c r="N22" t="str">
        <x:v>People Analytics</x:v>
      </x:c>
      <x:c r="O22" t="str">
        <x:v>Lagging</x:v>
      </x:c>
      <x:c r="P22" t="str">
        <x:v>Custo / retenção</x:v>
      </x:c>
      <x:c r="Q22" t="str">
        <x:v>pessoas × redução turnover × custo reposição × atribuição</x:v>
      </x:c>
      <x:c r="R22" t="str">
        <x:v>Quase-experimental</x:v>
      </x:c>
      <x:c r="S22" t="str">
        <x:v>Alta</x:v>
      </x:c>
      <x:c r="T22" t="str">
        <x:v>M2</x:v>
      </x:c>
    </x:row>
    <x:row r="23">
      <x:c r="A23" t="str">
        <x:v>RH-08</x:v>
      </x:c>
      <x:c r="B23" t="str">
        <x:v>Empresas / RH</x:v>
      </x:c>
      <x:c r="C23" t="str">
        <x:v>RH</x:v>
      </x:c>
      <x:c r="D23" t="str">
        <x:v>Resultado</x:v>
      </x:c>
      <x:c r="E23" t="str">
        <x:v>Absenteísmo evitado</x:v>
      </x:c>
      <x:c r="F23" t="str">
        <x:v>A ação reduz dias perdidos?</x:v>
      </x:c>
      <x:c r="G23" t="str">
        <x:v>Diferença de dias de ausência ajustada.</x:v>
      </x:c>
      <x:c r="H23" t="str">
        <x:v>dias baseline − dias após</x:v>
      </x:c>
      <x:c r="I23" t="str">
        <x:v>dias</x:v>
      </x:c>
      <x:c r="J23" t="str">
        <x:v>Maior é melhor</x:v>
      </x:c>
      <x:c r="K23" t="str">
        <x:v>Mensal</x:v>
      </x:c>
      <x:c r="L23" t="str">
        <x:v>HRIS / saúde</x:v>
      </x:c>
      <x:c r="M23" t="str">
        <x:v>unidade, cohort, causa</x:v>
      </x:c>
      <x:c r="N23" t="str">
        <x:v>RH</x:v>
      </x:c>
      <x:c r="O23" t="str">
        <x:v>Lagging</x:v>
      </x:c>
      <x:c r="P23" t="str">
        <x:v>Produtividade / custo</x:v>
      </x:c>
      <x:c r="Q23" t="str">
        <x:v>dias evitados × custo diário × atribuição</x:v>
      </x:c>
      <x:c r="R23" t="str">
        <x:v>Quase-experimental</x:v>
      </x:c>
      <x:c r="S23" t="str">
        <x:v>Média</x:v>
      </x:c>
      <x:c r="T23" t="str">
        <x:v>M2</x:v>
      </x:c>
    </x:row>
    <x:row r="24">
      <x:c r="A24" t="str">
        <x:v>RH-09</x:v>
      </x:c>
      <x:c r="B24" t="str">
        <x:v>Empresas / RH</x:v>
      </x:c>
      <x:c r="C24" t="str">
        <x:v>Executiva</x:v>
      </x:c>
      <x:c r="D24" t="str">
        <x:v>Impacto</x:v>
      </x:c>
      <x:c r="E24" t="str">
        <x:v>Ganho de produtividade</x:v>
      </x:c>
      <x:c r="F24" t="str">
        <x:v>Qual valor do tempo ou output adicional?</x:v>
      </x:c>
      <x:c r="G24" t="str">
        <x:v>Valor monetizado da melhoria atribuída.</x:v>
      </x:c>
      <x:c r="H24" t="str">
        <x:v>pessoas × custo anual × % ganho × atribuição</x:v>
      </x:c>
      <x:c r="I24" t="str">
        <x:v>R$</x:v>
      </x:c>
      <x:c r="J24" t="str">
        <x:v>Maior é melhor</x:v>
      </x:c>
      <x:c r="K24" t="str">
        <x:v>Trimestral</x:v>
      </x:c>
      <x:c r="L24" t="str">
        <x:v>Performance + financeiro</x:v>
      </x:c>
      <x:c r="M24" t="str">
        <x:v>unidade, programa, cohort</x:v>
      </x:c>
      <x:c r="N24" t="str">
        <x:v>Financeiro</x:v>
      </x:c>
      <x:c r="O24" t="str">
        <x:v>Lagging</x:v>
      </x:c>
      <x:c r="P24" t="str">
        <x:v>Lucro / produtividade</x:v>
      </x:c>
      <x:c r="Q24" t="str">
        <x:v>fórmula direta com teto de atribuição</x:v>
      </x:c>
      <x:c r="R24" t="str">
        <x:v>Quase-experimental</x:v>
      </x:c>
      <x:c r="S24" t="str">
        <x:v>Alta</x:v>
      </x:c>
      <x:c r="T24" t="str">
        <x:v>M2</x:v>
      </x:c>
    </x:row>
    <x:row r="25">
      <x:c r="A25" t="str">
        <x:v>RH-10</x:v>
      </x:c>
      <x:c r="B25" t="str">
        <x:v>Empresas / RH</x:v>
      </x:c>
      <x:c r="C25" t="str">
        <x:v>Executiva</x:v>
      </x:c>
      <x:c r="D25" t="str">
        <x:v>Impacto</x:v>
      </x:c>
      <x:c r="E25" t="str">
        <x:v>ROI de desenvolvimento</x:v>
      </x:c>
      <x:c r="F25" t="str">
        <x:v>O desenvolvimento compensa o investimento?</x:v>
      </x:c>
      <x:c r="G25" t="str">
        <x:v>Retorno financeiro líquido das jornadas.</x:v>
      </x:c>
      <x:c r="H25" t="str">
        <x:v>(benefícios atribuídos − custo total) / custo total</x:v>
      </x:c>
      <x:c r="I25" t="str">
        <x:v>%</x:v>
      </x:c>
      <x:c r="J25" t="str">
        <x:v>Maior é melhor</x:v>
      </x:c>
      <x:c r="K25" t="str">
        <x:v>Trimestral</x:v>
      </x:c>
      <x:c r="L25" t="str">
        <x:v>Financeiro + outcomes</x:v>
      </x:c>
      <x:c r="M25" t="str">
        <x:v>programa, unidade, cohort</x:v>
      </x:c>
      <x:c r="N25" t="str">
        <x:v>Financeiro / RH</x:v>
      </x:c>
      <x:c r="O25" t="str">
        <x:v>Lagging</x:v>
      </x:c>
      <x:c r="P25" t="str">
        <x:v>ROI</x:v>
      </x:c>
      <x:c r="Q25" t="str">
        <x:v>benefício líquido / investimento</x:v>
      </x:c>
      <x:c r="R25" t="str">
        <x:v>Quase-experimental</x:v>
      </x:c>
      <x:c r="S25" t="str">
        <x:v>Alta</x:v>
      </x:c>
      <x:c r="T25" t="str">
        <x:v>M2</x:v>
      </x:c>
    </x:row>
    <x:row r="26">
      <x:c r="A26" t="str">
        <x:v>COM-01</x:v>
      </x:c>
      <x:c r="B26" t="str">
        <x:v>Compras / Fornecedores</x:v>
      </x:c>
      <x:c r="C26" t="str">
        <x:v>Compras</x:v>
      </x:c>
      <x:c r="D26" t="str">
        <x:v>Insumo</x:v>
      </x:c>
      <x:c r="E26" t="str">
        <x:v>Cobertura de categorias</x:v>
      </x:c>
      <x:c r="F26" t="str">
        <x:v>Há oferta qualificada para as demandas críticas?</x:v>
      </x:c>
      <x:c r="G26" t="str">
        <x:v>Categorias com fornecedores elegíveis.</x:v>
      </x:c>
      <x:c r="H26" t="str">
        <x:v>categorias cobertas / categorias prioritárias</x:v>
      </x:c>
      <x:c r="I26" t="str">
        <x:v>%</x:v>
      </x:c>
      <x:c r="J26" t="str">
        <x:v>Maior é melhor</x:v>
      </x:c>
      <x:c r="K26" t="str">
        <x:v>Mensal</x:v>
      </x:c>
      <x:c r="L26" t="str">
        <x:v>Fornecedor + categoria</x:v>
      </x:c>
      <x:c r="M26" t="str">
        <x:v>categoria, região, porte</x:v>
      </x:c>
      <x:c r="N26" t="str">
        <x:v>Compras</x:v>
      </x:c>
      <x:c r="O26" t="str">
        <x:v>Leading</x:v>
      </x:c>
      <x:c r="P26" t="str">
        <x:v>Risco / continuidade</x:v>
      </x:c>
      <x:c r="Q26" t="str">
        <x:v>não monetizar isoladamente</x:v>
      </x:c>
      <x:c r="R26" t="str">
        <x:v>Descritivo</x:v>
      </x:c>
      <x:c r="S26" t="str">
        <x:v>Alta</x:v>
      </x:c>
      <x:c r="T26" t="str">
        <x:v>M0</x:v>
      </x:c>
    </x:row>
    <x:row r="27">
      <x:c r="A27" t="str">
        <x:v>COM-02</x:v>
      </x:c>
      <x:c r="B27" t="str">
        <x:v>Compras / Fornecedores</x:v>
      </x:c>
      <x:c r="C27" t="str">
        <x:v>Compras</x:v>
      </x:c>
      <x:c r="D27" t="str">
        <x:v>Processo</x:v>
      </x:c>
      <x:c r="E27" t="str">
        <x:v>Tempo de homologação</x:v>
      </x:c>
      <x:c r="F27" t="str">
        <x:v>Quanto tempo leva para qualificar oferta?</x:v>
      </x:c>
      <x:c r="G27" t="str">
        <x:v>Dias entre início e aprovação.</x:v>
      </x:c>
      <x:c r="H27" t="str">
        <x:v>data aprovação − data início</x:v>
      </x:c>
      <x:c r="I27" t="str">
        <x:v>dias</x:v>
      </x:c>
      <x:c r="J27" t="str">
        <x:v>Menor é melhor</x:v>
      </x:c>
      <x:c r="K27" t="str">
        <x:v>Mensal</x:v>
      </x:c>
      <x:c r="L27" t="str">
        <x:v>Compras + fornecedor</x:v>
      </x:c>
      <x:c r="M27" t="str">
        <x:v>categoria, complexidade</x:v>
      </x:c>
      <x:c r="N27" t="str">
        <x:v>Compras</x:v>
      </x:c>
      <x:c r="O27" t="str">
        <x:v>Lagging</x:v>
      </x:c>
      <x:c r="P27" t="str">
        <x:v>Custo / ciclo</x:v>
      </x:c>
      <x:c r="Q27" t="str">
        <x:v>dias reduzidos × custo da equipe + custo de atraso</x:v>
      </x:c>
      <x:c r="R27" t="str">
        <x:v>Quase-experimental</x:v>
      </x:c>
      <x:c r="S27" t="str">
        <x:v>Alta</x:v>
      </x:c>
      <x:c r="T27" t="str">
        <x:v>M1</x:v>
      </x:c>
    </x:row>
    <x:row r="28">
      <x:c r="A28" t="str">
        <x:v>COM-03</x:v>
      </x:c>
      <x:c r="B28" t="str">
        <x:v>Compras / Fornecedores</x:v>
      </x:c>
      <x:c r="C28" t="str">
        <x:v>Compras</x:v>
      </x:c>
      <x:c r="D28" t="str">
        <x:v>Processo</x:v>
      </x:c>
      <x:c r="E28" t="str">
        <x:v>Taxa de match elegível</x:v>
      </x:c>
      <x:c r="F28" t="str">
        <x:v>A plataforma encontra oferta realmente apta?</x:v>
      </x:c>
      <x:c r="G28" t="str">
        <x:v>Matches que atendem requisitos obrigatórios.</x:v>
      </x:c>
      <x:c r="H28" t="str">
        <x:v>matches elegíveis / matches gerados</x:v>
      </x:c>
      <x:c r="I28" t="str">
        <x:v>%</x:v>
      </x:c>
      <x:c r="J28" t="str">
        <x:v>Maior é melhor</x:v>
      </x:c>
      <x:c r="K28" t="str">
        <x:v>Semanal</x:v>
      </x:c>
      <x:c r="L28" t="str">
        <x:v>Match + oportunidade</x:v>
      </x:c>
      <x:c r="M28" t="str">
        <x:v>categoria, modelo, entidade</x:v>
      </x:c>
      <x:c r="N28" t="str">
        <x:v>Inteligência</x:v>
      </x:c>
      <x:c r="O28" t="str">
        <x:v>Leading</x:v>
      </x:c>
      <x:c r="P28" t="str">
        <x:v>Conversão / risco</x:v>
      </x:c>
      <x:c r="Q28" t="str">
        <x:v>valor de ciclo evitado por match inválido</x:v>
      </x:c>
      <x:c r="R28" t="str">
        <x:v>Descritivo</x:v>
      </x:c>
      <x:c r="S28" t="str">
        <x:v>Alta</x:v>
      </x:c>
      <x:c r="T28" t="str">
        <x:v>M0</x:v>
      </x:c>
    </x:row>
    <x:row r="29">
      <x:c r="A29" t="str">
        <x:v>COM-04</x:v>
      </x:c>
      <x:c r="B29" t="str">
        <x:v>Compras / Fornecedores</x:v>
      </x:c>
      <x:c r="C29" t="str">
        <x:v>Compras</x:v>
      </x:c>
      <x:c r="D29" t="str">
        <x:v>Processo</x:v>
      </x:c>
      <x:c r="E29" t="str">
        <x:v>Ciclo de contratação</x:v>
      </x:c>
      <x:c r="F29" t="str">
        <x:v>Quanto tempo do pedido ao contrato?</x:v>
      </x:c>
      <x:c r="G29" t="str">
        <x:v>Dias entre demanda e assinatura.</x:v>
      </x:c>
      <x:c r="H29" t="str">
        <x:v>data contrato − data demanda</x:v>
      </x:c>
      <x:c r="I29" t="str">
        <x:v>dias</x:v>
      </x:c>
      <x:c r="J29" t="str">
        <x:v>Menor é melhor</x:v>
      </x:c>
      <x:c r="K29" t="str">
        <x:v>Mensal</x:v>
      </x:c>
      <x:c r="L29" t="str">
        <x:v>Oportunidade + contrato</x:v>
      </x:c>
      <x:c r="M29" t="str">
        <x:v>categoria, valor, complexidade</x:v>
      </x:c>
      <x:c r="N29" t="str">
        <x:v>Compras</x:v>
      </x:c>
      <x:c r="O29" t="str">
        <x:v>Lagging</x:v>
      </x:c>
      <x:c r="P29" t="str">
        <x:v>Custo / receita</x:v>
      </x:c>
      <x:c r="Q29" t="str">
        <x:v>dias reduzidos × custo do atraso</x:v>
      </x:c>
      <x:c r="R29" t="str">
        <x:v>Quase-experimental</x:v>
      </x:c>
      <x:c r="S29" t="str">
        <x:v>Alta</x:v>
      </x:c>
      <x:c r="T29" t="str">
        <x:v>M1</x:v>
      </x:c>
    </x:row>
    <x:row r="30">
      <x:c r="A30" t="str">
        <x:v>COM-05</x:v>
      </x:c>
      <x:c r="B30" t="str">
        <x:v>Compras / Fornecedores</x:v>
      </x:c>
      <x:c r="C30" t="str">
        <x:v>Compras</x:v>
      </x:c>
      <x:c r="D30" t="str">
        <x:v>Resultado</x:v>
      </x:c>
      <x:c r="E30" t="str">
        <x:v>Conversão match → contrato</x:v>
      </x:c>
      <x:c r="F30" t="str">
        <x:v>Quantas conexões viram negócio?</x:v>
      </x:c>
      <x:c r="G30" t="str">
        <x:v>Contratos originados de matches aceitos.</x:v>
      </x:c>
      <x:c r="H30" t="str">
        <x:v>contratos / matches aceitos</x:v>
      </x:c>
      <x:c r="I30" t="str">
        <x:v>%</x:v>
      </x:c>
      <x:c r="J30" t="str">
        <x:v>Maior é melhor</x:v>
      </x:c>
      <x:c r="K30" t="str">
        <x:v>Mensal</x:v>
      </x:c>
      <x:c r="L30" t="str">
        <x:v>Match + contrato</x:v>
      </x:c>
      <x:c r="M30" t="str">
        <x:v>categoria, entidade, empresa</x:v>
      </x:c>
      <x:c r="N30" t="str">
        <x:v>Marketplace</x:v>
      </x:c>
      <x:c r="O30" t="str">
        <x:v>Lagging</x:v>
      </x:c>
      <x:c r="P30" t="str">
        <x:v>Receita / eficiência</x:v>
      </x:c>
      <x:c r="Q30" t="str">
        <x:v>contratos incrementais × margem média</x:v>
      </x:c>
      <x:c r="R30" t="str">
        <x:v>Quase-experimental</x:v>
      </x:c>
      <x:c r="S30" t="str">
        <x:v>Alta</x:v>
      </x:c>
      <x:c r="T30" t="str">
        <x:v>M1</x:v>
      </x:c>
    </x:row>
    <x:row r="31">
      <x:c r="A31" t="str">
        <x:v>COM-06</x:v>
      </x:c>
      <x:c r="B31" t="str">
        <x:v>Compras / Fornecedores</x:v>
      </x:c>
      <x:c r="C31" t="str">
        <x:v>Executiva</x:v>
      </x:c>
      <x:c r="D31" t="str">
        <x:v>Impacto</x:v>
      </x:c>
      <x:c r="E31" t="str">
        <x:v>Saving comprovado</x:v>
      </x:c>
      <x:c r="F31" t="str">
        <x:v>Quanto custo foi reduzido sem perda de qualidade?</x:v>
      </x:c>
      <x:c r="G31" t="str">
        <x:v>Diferença ajustada entre preço de referência e realizado.</x:v>
      </x:c>
      <x:c r="H31" t="str">
        <x:v>(preço referência − preço realizado) × volume × atribuição</x:v>
      </x:c>
      <x:c r="I31" t="str">
        <x:v>R$</x:v>
      </x:c>
      <x:c r="J31" t="str">
        <x:v>Maior é melhor</x:v>
      </x:c>
      <x:c r="K31" t="str">
        <x:v>Mensal</x:v>
      </x:c>
      <x:c r="L31" t="str">
        <x:v>Compras + financeiro</x:v>
      </x:c>
      <x:c r="M31" t="str">
        <x:v>categoria, contrato, empresa</x:v>
      </x:c>
      <x:c r="N31" t="str">
        <x:v>Compras / Financeiro</x:v>
      </x:c>
      <x:c r="O31" t="str">
        <x:v>Lagging</x:v>
      </x:c>
      <x:c r="P31" t="str">
        <x:v>Custo / margem</x:v>
      </x:c>
      <x:c r="Q31" t="str">
        <x:v>saving validado pela controladoria</x:v>
      </x:c>
      <x:c r="R31" t="str">
        <x:v>Quase-experimental</x:v>
      </x:c>
      <x:c r="S31" t="str">
        <x:v>Alta</x:v>
      </x:c>
      <x:c r="T31" t="str">
        <x:v>M2</x:v>
      </x:c>
    </x:row>
    <x:row r="32">
      <x:c r="A32" t="str">
        <x:v>COM-07</x:v>
      </x:c>
      <x:c r="B32" t="str">
        <x:v>Compras / Fornecedores</x:v>
      </x:c>
      <x:c r="C32" t="str">
        <x:v>Compras</x:v>
      </x:c>
      <x:c r="D32" t="str">
        <x:v>Resultado</x:v>
      </x:c>
      <x:c r="E32" t="str">
        <x:v>Desempenho do fornecedor</x:v>
      </x:c>
      <x:c r="F32" t="str">
        <x:v>A nova oferta entrega qualidade, prazo e serviço?</x:v>
      </x:c>
      <x:c r="G32" t="str">
        <x:v>Score pós-contratação.</x:v>
      </x:c>
      <x:c r="H32" t="str">
        <x:v>média ponderada(qualidade, prazo, SLA, risco)</x:v>
      </x:c>
      <x:c r="I32" t="str">
        <x:v>score</x:v>
      </x:c>
      <x:c r="J32" t="str">
        <x:v>Maior é melhor</x:v>
      </x:c>
      <x:c r="K32" t="str">
        <x:v>Mensal</x:v>
      </x:c>
      <x:c r="L32" t="str">
        <x:v>SRM / contrato</x:v>
      </x:c>
      <x:c r="M32" t="str">
        <x:v>categoria, fornecedor</x:v>
      </x:c>
      <x:c r="N32" t="str">
        <x:v>Compras</x:v>
      </x:c>
      <x:c r="O32" t="str">
        <x:v>Lagging</x:v>
      </x:c>
      <x:c r="P32" t="str">
        <x:v>Risco / custo</x:v>
      </x:c>
      <x:c r="Q32" t="str">
        <x:v>falhas evitadas × custo médio</x:v>
      </x:c>
      <x:c r="R32" t="str">
        <x:v>Correlação</x:v>
      </x:c>
      <x:c r="S32" t="str">
        <x:v>Média</x:v>
      </x:c>
      <x:c r="T32" t="str">
        <x:v>M2</x:v>
      </x:c>
    </x:row>
    <x:row r="33">
      <x:c r="A33" t="str">
        <x:v>COM-08</x:v>
      </x:c>
      <x:c r="B33" t="str">
        <x:v>Compras / Fornecedores</x:v>
      </x:c>
      <x:c r="C33" t="str">
        <x:v>Executiva</x:v>
      </x:c>
      <x:c r="D33" t="str">
        <x:v>Impacto</x:v>
      </x:c>
      <x:c r="E33" t="str">
        <x:v>Spend influenciado pela HUB</x:v>
      </x:c>
      <x:c r="F33" t="str">
        <x:v>Qual volume de compras passou pela inteligência?</x:v>
      </x:c>
      <x:c r="G33" t="str">
        <x:v>Valor de contratos com touchpoint rastreado.</x:v>
      </x:c>
      <x:c r="H33" t="str">
        <x:v>Σ valor dos contratos influenciados</x:v>
      </x:c>
      <x:c r="I33" t="str">
        <x:v>R$</x:v>
      </x:c>
      <x:c r="J33" t="str">
        <x:v>Contextual</x:v>
      </x:c>
      <x:c r="K33" t="str">
        <x:v>Mensal</x:v>
      </x:c>
      <x:c r="L33" t="str">
        <x:v>Contrato + atribuição</x:v>
      </x:c>
      <x:c r="M33" t="str">
        <x:v>categoria, empresa, entidade</x:v>
      </x:c>
      <x:c r="N33" t="str">
        <x:v>Marketplace</x:v>
      </x:c>
      <x:c r="O33" t="str">
        <x:v>Lagging</x:v>
      </x:c>
      <x:c r="P33" t="str">
        <x:v>GMV / take rate</x:v>
      </x:c>
      <x:c r="Q33" t="str">
        <x:v>spend influenciado × take rate</x:v>
      </x:c>
      <x:c r="R33" t="str">
        <x:v>Descritivo</x:v>
      </x:c>
      <x:c r="S33" t="str">
        <x:v>Alta</x:v>
      </x:c>
      <x:c r="T33" t="str">
        <x:v>M1</x:v>
      </x:c>
    </x:row>
    <x:row r="34">
      <x:c r="A34" t="str">
        <x:v>COM-09</x:v>
      </x:c>
      <x:c r="B34" t="str">
        <x:v>Compras / Fornecedores</x:v>
      </x:c>
      <x:c r="C34" t="str">
        <x:v>Executiva</x:v>
      </x:c>
      <x:c r="D34" t="str">
        <x:v>Impacto</x:v>
      </x:c>
      <x:c r="E34" t="str">
        <x:v>Risco de fornecimento evitado</x:v>
      </x:c>
      <x:c r="F34" t="str">
        <x:v>Qual perda esperada foi reduzida?</x:v>
      </x:c>
      <x:c r="G34" t="str">
        <x:v>Redução de probabilidade/impacto após mitigação.</x:v>
      </x:c>
      <x:c r="H34" t="str">
        <x:v>perda esperada baseline × redução × atribuição</x:v>
      </x:c>
      <x:c r="I34" t="str">
        <x:v>R$</x:v>
      </x:c>
      <x:c r="J34" t="str">
        <x:v>Maior é melhor</x:v>
      </x:c>
      <x:c r="K34" t="str">
        <x:v>Trimestral</x:v>
      </x:c>
      <x:c r="L34" t="str">
        <x:v>GRC + SRM</x:v>
      </x:c>
      <x:c r="M34" t="str">
        <x:v>categoria, risco, empresa</x:v>
      </x:c>
      <x:c r="N34" t="str">
        <x:v>Riscos</x:v>
      </x:c>
      <x:c r="O34" t="str">
        <x:v>Lagging</x:v>
      </x:c>
      <x:c r="P34" t="str">
        <x:v>Risco evitado</x:v>
      </x:c>
      <x:c r="Q34" t="str">
        <x:v>probabilidade × impacto × delta × atribuição</x:v>
      </x:c>
      <x:c r="R34" t="str">
        <x:v>Quase-experimental</x:v>
      </x:c>
      <x:c r="S34" t="str">
        <x:v>Média</x:v>
      </x:c>
      <x:c r="T34" t="str">
        <x:v>M2</x:v>
      </x:c>
    </x:row>
    <x:row r="35">
      <x:c r="A35" t="str">
        <x:v>ENT-01</x:v>
      </x:c>
      <x:c r="B35" t="str">
        <x:v>Entidades / Ecossistema</x:v>
      </x:c>
      <x:c r="C35" t="str">
        <x:v>Entidade</x:v>
      </x:c>
      <x:c r="D35" t="str">
        <x:v>Insumo</x:v>
      </x:c>
      <x:c r="E35" t="str">
        <x:v>Cobertura de associados</x:v>
      </x:c>
      <x:c r="F35" t="str">
        <x:v>Quanto do ecossistema possui dados utilizáveis?</x:v>
      </x:c>
      <x:c r="G35" t="str">
        <x:v>Associados ativos integrados.</x:v>
      </x:c>
      <x:c r="H35" t="str">
        <x:v>associados com dados / associados ativos</x:v>
      </x:c>
      <x:c r="I35" t="str">
        <x:v>%</x:v>
      </x:c>
      <x:c r="J35" t="str">
        <x:v>Maior é melhor</x:v>
      </x:c>
      <x:c r="K35" t="str">
        <x:v>Mensal</x:v>
      </x:c>
      <x:c r="L35" t="str">
        <x:v>CRM + vínculo</x:v>
      </x:c>
      <x:c r="M35" t="str">
        <x:v>setor, região, porte</x:v>
      </x:c>
      <x:c r="N35" t="str">
        <x:v>Entidade</x:v>
      </x:c>
      <x:c r="O35" t="str">
        <x:v>Leading</x:v>
      </x:c>
      <x:c r="P35" t="str">
        <x:v>Retenção / inteligência</x:v>
      </x:c>
      <x:c r="Q35" t="str">
        <x:v>não monetizar isoladamente</x:v>
      </x:c>
      <x:c r="R35" t="str">
        <x:v>Descritivo</x:v>
      </x:c>
      <x:c r="S35" t="str">
        <x:v>Alta</x:v>
      </x:c>
      <x:c r="T35" t="str">
        <x:v>M0</x:v>
      </x:c>
    </x:row>
    <x:row r="36">
      <x:c r="A36" t="str">
        <x:v>ENT-02</x:v>
      </x:c>
      <x:c r="B36" t="str">
        <x:v>Entidades / Ecossistema</x:v>
      </x:c>
      <x:c r="C36" t="str">
        <x:v>Entidade</x:v>
      </x:c>
      <x:c r="D36" t="str">
        <x:v>Ação</x:v>
      </x:c>
      <x:c r="E36" t="str">
        <x:v>Ativação de associados</x:v>
      </x:c>
      <x:c r="F36" t="str">
        <x:v>Quantos associados usam ao menos um serviço de valor?</x:v>
      </x:c>
      <x:c r="G36" t="str">
        <x:v>Associados ativos em 30 dias.</x:v>
      </x:c>
      <x:c r="H36" t="str">
        <x:v>associados com evento-chave / associados elegíveis</x:v>
      </x:c>
      <x:c r="I36" t="str">
        <x:v>%</x:v>
      </x:c>
      <x:c r="J36" t="str">
        <x:v>Maior é melhor</x:v>
      </x:c>
      <x:c r="K36" t="str">
        <x:v>Mensal</x:v>
      </x:c>
      <x:c r="L36" t="str">
        <x:v>Eventos + CRM</x:v>
      </x:c>
      <x:c r="M36" t="str">
        <x:v>serviço, segmento</x:v>
      </x:c>
      <x:c r="N36" t="str">
        <x:v>CS</x:v>
      </x:c>
      <x:c r="O36" t="str">
        <x:v>Leading</x:v>
      </x:c>
      <x:c r="P36" t="str">
        <x:v>Retenção / expansão</x:v>
      </x:c>
      <x:c r="Q36" t="str">
        <x:v>uplift de renovação × receita média</x:v>
      </x:c>
      <x:c r="R36" t="str">
        <x:v>Descritivo</x:v>
      </x:c>
      <x:c r="S36" t="str">
        <x:v>Alta</x:v>
      </x:c>
      <x:c r="T36" t="str">
        <x:v>M0</x:v>
      </x:c>
    </x:row>
    <x:row r="37">
      <x:c r="A37" t="str">
        <x:v>ENT-03</x:v>
      </x:c>
      <x:c r="B37" t="str">
        <x:v>Entidades / Ecossistema</x:v>
      </x:c>
      <x:c r="C37" t="str">
        <x:v>Entidade</x:v>
      </x:c>
      <x:c r="D37" t="str">
        <x:v>Resultado</x:v>
      </x:c>
      <x:c r="E37" t="str">
        <x:v>Densidade da rede</x:v>
      </x:c>
      <x:c r="F37" t="str">
        <x:v>O ecossistema cria conexões úteis?</x:v>
      </x:c>
      <x:c r="G37" t="str">
        <x:v>Conexões efetivas sobre conexões possíveis/qualificadas.</x:v>
      </x:c>
      <x:c r="H37" t="str">
        <x:v>conexões efetivas / conexões qualificadas possíveis</x:v>
      </x:c>
      <x:c r="I37" t="str">
        <x:v>%</x:v>
      </x:c>
      <x:c r="J37" t="str">
        <x:v>Maior é melhor</x:v>
      </x:c>
      <x:c r="K37" t="str">
        <x:v>Mensal</x:v>
      </x:c>
      <x:c r="L37" t="str">
        <x:v>Match + vínculo</x:v>
      </x:c>
      <x:c r="M37" t="str">
        <x:v>tipo de conexão, setor</x:v>
      </x:c>
      <x:c r="N37" t="str">
        <x:v>Inteligência</x:v>
      </x:c>
      <x:c r="O37" t="str">
        <x:v>Lagging</x:v>
      </x:c>
      <x:c r="P37" t="str">
        <x:v>Receita / inovação</x:v>
      </x:c>
      <x:c r="Q37" t="str">
        <x:v>conexões incrementais × valor médio</x:v>
      </x:c>
      <x:c r="R37" t="str">
        <x:v>Correlação</x:v>
      </x:c>
      <x:c r="S37" t="str">
        <x:v>Média</x:v>
      </x:c>
      <x:c r="T37" t="str">
        <x:v>M1</x:v>
      </x:c>
    </x:row>
    <x:row r="38">
      <x:c r="A38" t="str">
        <x:v>ENT-04</x:v>
      </x:c>
      <x:c r="B38" t="str">
        <x:v>Entidades / Ecossistema</x:v>
      </x:c>
      <x:c r="C38" t="str">
        <x:v>Entidade</x:v>
      </x:c>
      <x:c r="D38" t="str">
        <x:v>Resultado</x:v>
      </x:c>
      <x:c r="E38" t="str">
        <x:v>Valor entregue por associado</x:v>
      </x:c>
      <x:c r="F38" t="str">
        <x:v>Quanto benefício mensurável chega a cada associado?</x:v>
      </x:c>
      <x:c r="G38" t="str">
        <x:v>Benefício atribuído por associado ativo.</x:v>
      </x:c>
      <x:c r="H38" t="str">
        <x:v>benefício atribuído / associados ativos</x:v>
      </x:c>
      <x:c r="I38" t="str">
        <x:v>R$/associado</x:v>
      </x:c>
      <x:c r="J38" t="str">
        <x:v>Maior é melhor</x:v>
      </x:c>
      <x:c r="K38" t="str">
        <x:v>Trimestral</x:v>
      </x:c>
      <x:c r="L38" t="str">
        <x:v>Outcomes + financeiro</x:v>
      </x:c>
      <x:c r="M38" t="str">
        <x:v>segmento, serviço</x:v>
      </x:c>
      <x:c r="N38" t="str">
        <x:v>Financeiro / Entidade</x:v>
      </x:c>
      <x:c r="O38" t="str">
        <x:v>Lagging</x:v>
      </x:c>
      <x:c r="P38" t="str">
        <x:v>Retenção / receita</x:v>
      </x:c>
      <x:c r="Q38" t="str">
        <x:v>benefício deduplicado / associados</x:v>
      </x:c>
      <x:c r="R38" t="str">
        <x:v>Quase-experimental</x:v>
      </x:c>
      <x:c r="S38" t="str">
        <x:v>Alta</x:v>
      </x:c>
      <x:c r="T38" t="str">
        <x:v>M2</x:v>
      </x:c>
    </x:row>
    <x:row r="39">
      <x:c r="A39" t="str">
        <x:v>ENT-05</x:v>
      </x:c>
      <x:c r="B39" t="str">
        <x:v>Entidades / Ecossistema</x:v>
      </x:c>
      <x:c r="C39" t="str">
        <x:v>Entidade</x:v>
      </x:c>
      <x:c r="D39" t="str">
        <x:v>Resultado</x:v>
      </x:c>
      <x:c r="E39" t="str">
        <x:v>Renovação de associados</x:v>
      </x:c>
      <x:c r="F39" t="str">
        <x:v>O valor percebido aumenta permanência?</x:v>
      </x:c>
      <x:c r="G39" t="str">
        <x:v>Taxa de renovação elegível.</x:v>
      </x:c>
      <x:c r="H39" t="str">
        <x:v>renovações / contratos elegíveis</x:v>
      </x:c>
      <x:c r="I39" t="str">
        <x:v>%</x:v>
      </x:c>
      <x:c r="J39" t="str">
        <x:v>Maior é melhor</x:v>
      </x:c>
      <x:c r="K39" t="str">
        <x:v>Mensal</x:v>
      </x:c>
      <x:c r="L39" t="str">
        <x:v>CRM + contrato</x:v>
      </x:c>
      <x:c r="M39" t="str">
        <x:v>tier, segmento, uso</x:v>
      </x:c>
      <x:c r="N39" t="str">
        <x:v>CS</x:v>
      </x:c>
      <x:c r="O39" t="str">
        <x:v>Lagging</x:v>
      </x:c>
      <x:c r="P39" t="str">
        <x:v>Receita recorrente</x:v>
      </x:c>
      <x:c r="Q39" t="str">
        <x:v>renovações incrementais × ARR médio × margem</x:v>
      </x:c>
      <x:c r="R39" t="str">
        <x:v>Quase-experimental</x:v>
      </x:c>
      <x:c r="S39" t="str">
        <x:v>Alta</x:v>
      </x:c>
      <x:c r="T39" t="str">
        <x:v>M2</x:v>
      </x:c>
    </x:row>
    <x:row r="40">
      <x:c r="A40" t="str">
        <x:v>ENT-06</x:v>
      </x:c>
      <x:c r="B40" t="str">
        <x:v>Entidades / Ecossistema</x:v>
      </x:c>
      <x:c r="C40" t="str">
        <x:v>Executiva</x:v>
      </x:c>
      <x:c r="D40" t="str">
        <x:v>Impacto</x:v>
      </x:c>
      <x:c r="E40" t="str">
        <x:v>Receita de novos serviços</x:v>
      </x:c>
      <x:c r="F40" t="str">
        <x:v>A inteligência cria ofertas monetizáveis?</x:v>
      </x:c>
      <x:c r="G40" t="str">
        <x:v>Receita de serviços originados por insights da plataforma.</x:v>
      </x:c>
      <x:c r="H40" t="str">
        <x:v>Σ receita reconhecida de serviços com origem HUB</x:v>
      </x:c>
      <x:c r="I40" t="str">
        <x:v>R$</x:v>
      </x:c>
      <x:c r="J40" t="str">
        <x:v>Maior é melhor</x:v>
      </x:c>
      <x:c r="K40" t="str">
        <x:v>Mensal</x:v>
      </x:c>
      <x:c r="L40" t="str">
        <x:v>Contrato + origem</x:v>
      </x:c>
      <x:c r="M40" t="str">
        <x:v>serviço, entidade, segmento</x:v>
      </x:c>
      <x:c r="N40" t="str">
        <x:v>Comercial</x:v>
      </x:c>
      <x:c r="O40" t="str">
        <x:v>Lagging</x:v>
      </x:c>
      <x:c r="P40" t="str">
        <x:v>Receita / margem</x:v>
      </x:c>
      <x:c r="Q40" t="str">
        <x:v>receita × margem de contribuição</x:v>
      </x:c>
      <x:c r="R40" t="str">
        <x:v>Descritivo</x:v>
      </x:c>
      <x:c r="S40" t="str">
        <x:v>Alta</x:v>
      </x:c>
      <x:c r="T40" t="str">
        <x:v>M1</x:v>
      </x:c>
    </x:row>
    <x:row r="41">
      <x:c r="A41" t="str">
        <x:v>ENT-07</x:v>
      </x:c>
      <x:c r="B41" t="str">
        <x:v>Entidades / Ecossistema</x:v>
      </x:c>
      <x:c r="C41" t="str">
        <x:v>Entidade</x:v>
      </x:c>
      <x:c r="D41" t="str">
        <x:v>Resultado</x:v>
      </x:c>
      <x:c r="E41" t="str">
        <x:v>Adoção de benchmark</x:v>
      </x:c>
      <x:c r="F41" t="str">
        <x:v>O associado usa inteligência para decidir?</x:v>
      </x:c>
      <x:c r="G41" t="str">
        <x:v>Empresas que consultam e executam ação após benchmark.</x:v>
      </x:c>
      <x:c r="H41" t="str">
        <x:v>associados com ação / associados expostos</x:v>
      </x:c>
      <x:c r="I41" t="str">
        <x:v>%</x:v>
      </x:c>
      <x:c r="J41" t="str">
        <x:v>Maior é melhor</x:v>
      </x:c>
      <x:c r="K41" t="str">
        <x:v>Trimestral</x:v>
      </x:c>
      <x:c r="L41" t="str">
        <x:v>Benchmark + eventos</x:v>
      </x:c>
      <x:c r="M41" t="str">
        <x:v>tema, segmento</x:v>
      </x:c>
      <x:c r="N41" t="str">
        <x:v>Inteligência</x:v>
      </x:c>
      <x:c r="O41" t="str">
        <x:v>Lagging</x:v>
      </x:c>
      <x:c r="P41" t="str">
        <x:v>Produtividade / risco</x:v>
      </x:c>
      <x:c r="Q41" t="str">
        <x:v>ações incrementais × valor médio validado</x:v>
      </x:c>
      <x:c r="R41" t="str">
        <x:v>Correlação</x:v>
      </x:c>
      <x:c r="S41" t="str">
        <x:v>Média</x:v>
      </x:c>
      <x:c r="T41" t="str">
        <x:v>M2</x:v>
      </x:c>
    </x:row>
    <x:row r="42">
      <x:c r="A42" t="str">
        <x:v>ENT-08</x:v>
      </x:c>
      <x:c r="B42" t="str">
        <x:v>Entidades / Ecossistema</x:v>
      </x:c>
      <x:c r="C42" t="str">
        <x:v>Executiva</x:v>
      </x:c>
      <x:c r="D42" t="str">
        <x:v>Impacto</x:v>
      </x:c>
      <x:c r="E42" t="str">
        <x:v>Impacto econômico do ecossistema</x:v>
      </x:c>
      <x:c r="F42" t="str">
        <x:v>Quanto valor total a rede gerou?</x:v>
      </x:c>
      <x:c r="G42" t="str">
        <x:v>Soma deduplicada de margem, saving, produtividade e risco atribuídos.</x:v>
      </x:c>
      <x:c r="H42" t="str">
        <x:v>Σ benefícios atribuídos e deduplicados</x:v>
      </x:c>
      <x:c r="I42" t="str">
        <x:v>R$</x:v>
      </x:c>
      <x:c r="J42" t="str">
        <x:v>Maior é melhor</x:v>
      </x:c>
      <x:c r="K42" t="str">
        <x:v>Semestral</x:v>
      </x:c>
      <x:c r="L42" t="str">
        <x:v>Data mart financeiro</x:v>
      </x:c>
      <x:c r="M42" t="str">
        <x:v>entidade, setor, região</x:v>
      </x:c>
      <x:c r="N42" t="str">
        <x:v>Financeiro</x:v>
      </x:c>
      <x:c r="O42" t="str">
        <x:v>Lagging</x:v>
      </x:c>
      <x:c r="P42" t="str">
        <x:v>Impacto / retenção</x:v>
      </x:c>
      <x:c r="Q42" t="str">
        <x:v>soma por alavanca após regras de não dupla contagem</x:v>
      </x:c>
      <x:c r="R42" t="str">
        <x:v>Quase-experimental</x:v>
      </x:c>
      <x:c r="S42" t="str">
        <x:v>Alta</x:v>
      </x:c>
      <x:c r="T42" t="str">
        <x:v>M2</x:v>
      </x:c>
    </x:row>
    <x:row r="43">
      <x:c r="A43" t="str">
        <x:v>MKT-01</x:v>
      </x:c>
      <x:c r="B43" t="str">
        <x:v>Marketing / Mídia</x:v>
      </x:c>
      <x:c r="C43" t="str">
        <x:v>Marketing</x:v>
      </x:c>
      <x:c r="D43" t="str">
        <x:v>Insumo</x:v>
      </x:c>
      <x:c r="E43" t="str">
        <x:v>Alcance qualificado</x:v>
      </x:c>
      <x:c r="F43" t="str">
        <x:v>A mensagem chegou ao público elegível?</x:v>
      </x:c>
      <x:c r="G43" t="str">
        <x:v>Pessoas/empresas únicas dentro do ICP.</x:v>
      </x:c>
      <x:c r="H43" t="str">
        <x:v>usuários únicos elegíveis alcançados</x:v>
      </x:c>
      <x:c r="I43" t="str">
        <x:v>pessoas/empresas</x:v>
      </x:c>
      <x:c r="J43" t="str">
        <x:v>Maior é melhor</x:v>
      </x:c>
      <x:c r="K43" t="str">
        <x:v>Semanal</x:v>
      </x:c>
      <x:c r="L43" t="str">
        <x:v>Mídia + CRM</x:v>
      </x:c>
      <x:c r="M43" t="str">
        <x:v>canal, campanha, segmento</x:v>
      </x:c>
      <x:c r="N43" t="str">
        <x:v>Marketing</x:v>
      </x:c>
      <x:c r="O43" t="str">
        <x:v>Leading</x:v>
      </x:c>
      <x:c r="P43" t="str">
        <x:v>Pipeline</x:v>
      </x:c>
      <x:c r="Q43" t="str">
        <x:v>não monetizar isoladamente</x:v>
      </x:c>
      <x:c r="R43" t="str">
        <x:v>Descritivo</x:v>
      </x:c>
      <x:c r="S43" t="str">
        <x:v>Média</x:v>
      </x:c>
      <x:c r="T43" t="str">
        <x:v>M0</x:v>
      </x:c>
    </x:row>
    <x:row r="44">
      <x:c r="A44" t="str">
        <x:v>MKT-02</x:v>
      </x:c>
      <x:c r="B44" t="str">
        <x:v>Marketing / Mídia</x:v>
      </x:c>
      <x:c r="C44" t="str">
        <x:v>Marketing</x:v>
      </x:c>
      <x:c r="D44" t="str">
        <x:v>Ação</x:v>
      </x:c>
      <x:c r="E44" t="str">
        <x:v>Custo por lead qualificado</x:v>
      </x:c>
      <x:c r="F44" t="str">
        <x:v>Quanto custa gerar demanda realmente útil?</x:v>
      </x:c>
      <x:c r="G44" t="str">
        <x:v>Investimento por lead que atende ICP.</x:v>
      </x:c>
      <x:c r="H44" t="str">
        <x:v>custo de mídia / leads qualificados</x:v>
      </x:c>
      <x:c r="I44" t="str">
        <x:v>R$/lead</x:v>
      </x:c>
      <x:c r="J44" t="str">
        <x:v>Menor é melhor</x:v>
      </x:c>
      <x:c r="K44" t="str">
        <x:v>Semanal</x:v>
      </x:c>
      <x:c r="L44" t="str">
        <x:v>Mídia + CRM</x:v>
      </x:c>
      <x:c r="M44" t="str">
        <x:v>canal, campanha, ICP</x:v>
      </x:c>
      <x:c r="N44" t="str">
        <x:v>Marketing</x:v>
      </x:c>
      <x:c r="O44" t="str">
        <x:v>Lagging</x:v>
      </x:c>
      <x:c r="P44" t="str">
        <x:v>CAC / custo</x:v>
      </x:c>
      <x:c r="Q44" t="str">
        <x:v>baseline CPL − CPL atual × volume</x:v>
      </x:c>
      <x:c r="R44" t="str">
        <x:v>Descritivo</x:v>
      </x:c>
      <x:c r="S44" t="str">
        <x:v>Alta</x:v>
      </x:c>
      <x:c r="T44" t="str">
        <x:v>M0</x:v>
      </x:c>
    </x:row>
    <x:row r="45">
      <x:c r="A45" t="str">
        <x:v>MKT-03</x:v>
      </x:c>
      <x:c r="B45" t="str">
        <x:v>Marketing / Mídia</x:v>
      </x:c>
      <x:c r="C45" t="str">
        <x:v>Marketing</x:v>
      </x:c>
      <x:c r="D45" t="str">
        <x:v>Resultado</x:v>
      </x:c>
      <x:c r="E45" t="str">
        <x:v>Conversão lead → oportunidade</x:v>
      </x:c>
      <x:c r="F45" t="str">
        <x:v>A demanda vira conversa comercial?</x:v>
      </x:c>
      <x:c r="G45" t="str">
        <x:v>Oportunidades criadas entre leads qualificados.</x:v>
      </x:c>
      <x:c r="H45" t="str">
        <x:v>oportunidades / leads qualificados</x:v>
      </x:c>
      <x:c r="I45" t="str">
        <x:v>%</x:v>
      </x:c>
      <x:c r="J45" t="str">
        <x:v>Maior é melhor</x:v>
      </x:c>
      <x:c r="K45" t="str">
        <x:v>Semanal</x:v>
      </x:c>
      <x:c r="L45" t="str">
        <x:v>CRM</x:v>
      </x:c>
      <x:c r="M45" t="str">
        <x:v>canal, campanha, segmento</x:v>
      </x:c>
      <x:c r="N45" t="str">
        <x:v>Marketing / Vendas</x:v>
      </x:c>
      <x:c r="O45" t="str">
        <x:v>Lagging</x:v>
      </x:c>
      <x:c r="P45" t="str">
        <x:v>Pipeline / receita</x:v>
      </x:c>
      <x:c r="Q45" t="str">
        <x:v>oportunidades incrementais × win rate × margem média</x:v>
      </x:c>
      <x:c r="R45" t="str">
        <x:v>Descritivo</x:v>
      </x:c>
      <x:c r="S45" t="str">
        <x:v>Alta</x:v>
      </x:c>
      <x:c r="T45" t="str">
        <x:v>M0</x:v>
      </x:c>
    </x:row>
    <x:row r="46">
      <x:c r="A46" t="str">
        <x:v>MKT-04</x:v>
      </x:c>
      <x:c r="B46" t="str">
        <x:v>Marketing / Mídia</x:v>
      </x:c>
      <x:c r="C46" t="str">
        <x:v>Executiva</x:v>
      </x:c>
      <x:c r="D46" t="str">
        <x:v>Impacto</x:v>
      </x:c>
      <x:c r="E46" t="str">
        <x:v>Pipeline influenciado</x:v>
      </x:c>
      <x:c r="F46" t="str">
        <x:v>Qual valor de oportunidades recebeu influência rastreada?</x:v>
      </x:c>
      <x:c r="G46" t="str">
        <x:v>Valor ponderado das oportunidades com touchpoint válido.</x:v>
      </x:c>
      <x:c r="H46" t="str">
        <x:v>Σ valor oportunidade × probabilidade × peso de atribuição</x:v>
      </x:c>
      <x:c r="I46" t="str">
        <x:v>R$</x:v>
      </x:c>
      <x:c r="J46" t="str">
        <x:v>Maior é melhor</x:v>
      </x:c>
      <x:c r="K46" t="str">
        <x:v>Mensal</x:v>
      </x:c>
      <x:c r="L46" t="str">
        <x:v>CRM + touchpoint</x:v>
      </x:c>
      <x:c r="M46" t="str">
        <x:v>canal, campanha, produto</x:v>
      </x:c>
      <x:c r="N46" t="str">
        <x:v>RevOps</x:v>
      </x:c>
      <x:c r="O46" t="str">
        <x:v>Lagging</x:v>
      </x:c>
      <x:c r="P46" t="str">
        <x:v>Receita</x:v>
      </x:c>
      <x:c r="Q46" t="str">
        <x:v>pipeline ponderado; não somar à receita fechada</x:v>
      </x:c>
      <x:c r="R46" t="str">
        <x:v>Descritivo</x:v>
      </x:c>
      <x:c r="S46" t="str">
        <x:v>Alta</x:v>
      </x:c>
      <x:c r="T46" t="str">
        <x:v>M1</x:v>
      </x:c>
    </x:row>
    <x:row r="47">
      <x:c r="A47" t="str">
        <x:v>MKT-05</x:v>
      </x:c>
      <x:c r="B47" t="str">
        <x:v>Marketing / Mídia</x:v>
      </x:c>
      <x:c r="C47" t="str">
        <x:v>Executiva</x:v>
      </x:c>
      <x:c r="D47" t="str">
        <x:v>Impacto</x:v>
      </x:c>
      <x:c r="E47" t="str">
        <x:v>Margem incremental de campanha</x:v>
      </x:c>
      <x:c r="F47" t="str">
        <x:v>Qual lucro adicional foi atribuído à campanha?</x:v>
      </x:c>
      <x:c r="G47" t="str">
        <x:v>Margem de negócios incrementais após comparação.</x:v>
      </x:c>
      <x:c r="H47" t="str">
        <x:v>receita incremental × margem × atribuição</x:v>
      </x:c>
      <x:c r="I47" t="str">
        <x:v>R$</x:v>
      </x:c>
      <x:c r="J47" t="str">
        <x:v>Maior é melhor</x:v>
      </x:c>
      <x:c r="K47" t="str">
        <x:v>Mensal</x:v>
      </x:c>
      <x:c r="L47" t="str">
        <x:v>CRM + financeiro</x:v>
      </x:c>
      <x:c r="M47" t="str">
        <x:v>canal, campanha, cohort</x:v>
      </x:c>
      <x:c r="N47" t="str">
        <x:v>Financeiro / Marketing</x:v>
      </x:c>
      <x:c r="O47" t="str">
        <x:v>Lagging</x:v>
      </x:c>
      <x:c r="P47" t="str">
        <x:v>Lucro</x:v>
      </x:c>
      <x:c r="Q47" t="str">
        <x:v>delta de conversão × volume × ticket × margem</x:v>
      </x:c>
      <x:c r="R47" t="str">
        <x:v>Quase-experimental</x:v>
      </x:c>
      <x:c r="S47" t="str">
        <x:v>Alta</x:v>
      </x:c>
      <x:c r="T47" t="str">
        <x:v>M2</x:v>
      </x:c>
    </x:row>
    <x:row r="48">
      <x:c r="A48" t="str">
        <x:v>MKT-06</x:v>
      </x:c>
      <x:c r="B48" t="str">
        <x:v>Marketing / Mídia</x:v>
      </x:c>
      <x:c r="C48" t="str">
        <x:v>Marketing</x:v>
      </x:c>
      <x:c r="D48" t="str">
        <x:v>Impacto</x:v>
      </x:c>
      <x:c r="E48" t="str">
        <x:v>ROAS de margem</x:v>
      </x:c>
      <x:c r="F48" t="str">
        <x:v>O retorno de mídia supera o investimento?</x:v>
      </x:c>
      <x:c r="G48" t="str">
        <x:v>Margem atribuída por real de mídia.</x:v>
      </x:c>
      <x:c r="H48" t="str">
        <x:v>margem atribuída / investimento de mídia</x:v>
      </x:c>
      <x:c r="I48" t="str">
        <x:v>x</x:v>
      </x:c>
      <x:c r="J48" t="str">
        <x:v>Maior é melhor</x:v>
      </x:c>
      <x:c r="K48" t="str">
        <x:v>Mensal</x:v>
      </x:c>
      <x:c r="L48" t="str">
        <x:v>Financeiro + mídia</x:v>
      </x:c>
      <x:c r="M48" t="str">
        <x:v>canal, campanha</x:v>
      </x:c>
      <x:c r="N48" t="str">
        <x:v>Marketing</x:v>
      </x:c>
      <x:c r="O48" t="str">
        <x:v>Lagging</x:v>
      </x:c>
      <x:c r="P48" t="str">
        <x:v>ROI</x:v>
      </x:c>
      <x:c r="Q48" t="str">
        <x:v>usar margem, não receita bruta</x:v>
      </x:c>
      <x:c r="R48" t="str">
        <x:v>Quase-experimental</x:v>
      </x:c>
      <x:c r="S48" t="str">
        <x:v>Alta</x:v>
      </x:c>
      <x:c r="T48" t="str">
        <x:v>M2</x:v>
      </x:c>
    </x:row>
    <x:row r="49">
      <x:c r="A49" t="str">
        <x:v>MKT-07</x:v>
      </x:c>
      <x:c r="B49" t="str">
        <x:v>Marketing / Mídia</x:v>
      </x:c>
      <x:c r="C49" t="str">
        <x:v>Marketing</x:v>
      </x:c>
      <x:c r="D49" t="str">
        <x:v>Resultado</x:v>
      </x:c>
      <x:c r="E49" t="str">
        <x:v>CAC por produto</x:v>
      </x:c>
      <x:c r="F49" t="str">
        <x:v>Quanto custa conquistar um novo cliente?</x:v>
      </x:c>
      <x:c r="G49" t="str">
        <x:v>Custos de aquisição por novo cliente.</x:v>
      </x:c>
      <x:c r="H49" t="str">
        <x:v>custos de marketing e vendas / novos clientes</x:v>
      </x:c>
      <x:c r="I49" t="str">
        <x:v>R$/cliente</x:v>
      </x:c>
      <x:c r="J49" t="str">
        <x:v>Menor é melhor</x:v>
      </x:c>
      <x:c r="K49" t="str">
        <x:v>Mensal</x:v>
      </x:c>
      <x:c r="L49" t="str">
        <x:v>Financeiro + CRM</x:v>
      </x:c>
      <x:c r="M49" t="str">
        <x:v>produto, canal, segmento</x:v>
      </x:c>
      <x:c r="N49" t="str">
        <x:v>RevOps</x:v>
      </x:c>
      <x:c r="O49" t="str">
        <x:v>Lagging</x:v>
      </x:c>
      <x:c r="P49" t="str">
        <x:v>Unit economics</x:v>
      </x:c>
      <x:c r="Q49" t="str">
        <x:v>CAC real por cohort</x:v>
      </x:c>
      <x:c r="R49" t="str">
        <x:v>Descritivo</x:v>
      </x:c>
      <x:c r="S49" t="str">
        <x:v>Alta</x:v>
      </x:c>
      <x:c r="T49" t="str">
        <x:v>M1</x:v>
      </x:c>
    </x:row>
    <x:row r="50">
      <x:c r="A50" t="str">
        <x:v>MKT-08</x:v>
      </x:c>
      <x:c r="B50" t="str">
        <x:v>Marketing / Mídia</x:v>
      </x:c>
      <x:c r="C50" t="str">
        <x:v>Marketing</x:v>
      </x:c>
      <x:c r="D50" t="str">
        <x:v>Resultado</x:v>
      </x:c>
      <x:c r="E50" t="str">
        <x:v>Conteúdo → ação</x:v>
      </x:c>
      <x:c r="F50" t="str">
        <x:v>Que conteúdo provoca comportamento de valor?</x:v>
      </x:c>
      <x:c r="G50" t="str">
        <x:v>Sessões com evento-chave após exposição.</x:v>
      </x:c>
      <x:c r="H50" t="str">
        <x:v>usuários com evento-chave / usuários expostos</x:v>
      </x:c>
      <x:c r="I50" t="str">
        <x:v>%</x:v>
      </x:c>
      <x:c r="J50" t="str">
        <x:v>Maior é melhor</x:v>
      </x:c>
      <x:c r="K50" t="str">
        <x:v>Semanal</x:v>
      </x:c>
      <x:c r="L50" t="str">
        <x:v>Conteúdo + eventos</x:v>
      </x:c>
      <x:c r="M50" t="str">
        <x:v>tema, canal, persona</x:v>
      </x:c>
      <x:c r="N50" t="str">
        <x:v>Conteúdo</x:v>
      </x:c>
      <x:c r="O50" t="str">
        <x:v>Leading</x:v>
      </x:c>
      <x:c r="P50" t="str">
        <x:v>Conversão</x:v>
      </x:c>
      <x:c r="Q50" t="str">
        <x:v>uplift de evento × valor médio</x:v>
      </x:c>
      <x:c r="R50" t="str">
        <x:v>Correlação</x:v>
      </x:c>
      <x:c r="S50" t="str">
        <x:v>Média</x:v>
      </x:c>
      <x:c r="T50" t="str">
        <x:v>M1</x:v>
      </x:c>
    </x:row>
    <x:row r="51">
      <x:c r="A51" t="str">
        <x:v>PRO-01</x:v>
      </x:c>
      <x:c r="B51" t="str">
        <x:v>Produto / Plataforma</x:v>
      </x:c>
      <x:c r="C51" t="str">
        <x:v>Produto</x:v>
      </x:c>
      <x:c r="D51" t="str">
        <x:v>Insumo</x:v>
      </x:c>
      <x:c r="E51" t="str">
        <x:v>Ativação</x:v>
      </x:c>
      <x:c r="F51" t="str">
        <x:v>O usuário chega ao primeiro valor?</x:v>
      </x:c>
      <x:c r="G51" t="str">
        <x:v>Usuários que completam o evento-chave no prazo.</x:v>
      </x:c>
      <x:c r="H51" t="str">
        <x:v>usuários ativados / novos usuários</x:v>
      </x:c>
      <x:c r="I51" t="str">
        <x:v>%</x:v>
      </x:c>
      <x:c r="J51" t="str">
        <x:v>Maior é melhor</x:v>
      </x:c>
      <x:c r="K51" t="str">
        <x:v>Diária</x:v>
      </x:c>
      <x:c r="L51" t="str">
        <x:v>Eventos</x:v>
      </x:c>
      <x:c r="M51" t="str">
        <x:v>persona, origem, empresa</x:v>
      </x:c>
      <x:c r="N51" t="str">
        <x:v>Produto</x:v>
      </x:c>
      <x:c r="O51" t="str">
        <x:v>Leading</x:v>
      </x:c>
      <x:c r="P51" t="str">
        <x:v>Retenção / conversão</x:v>
      </x:c>
      <x:c r="Q51" t="str">
        <x:v>uplift de retenção × LTV</x:v>
      </x:c>
      <x:c r="R51" t="str">
        <x:v>Descritivo</x:v>
      </x:c>
      <x:c r="S51" t="str">
        <x:v>Alta</x:v>
      </x:c>
      <x:c r="T51" t="str">
        <x:v>M0</x:v>
      </x:c>
    </x:row>
    <x:row r="52">
      <x:c r="A52" t="str">
        <x:v>PRO-02</x:v>
      </x:c>
      <x:c r="B52" t="str">
        <x:v>Produto / Plataforma</x:v>
      </x:c>
      <x:c r="C52" t="str">
        <x:v>Produto</x:v>
      </x:c>
      <x:c r="D52" t="str">
        <x:v>Ação</x:v>
      </x:c>
      <x:c r="E52" t="str">
        <x:v>WAU/MAU</x:v>
      </x:c>
      <x:c r="F52" t="str">
        <x:v>O uso é recorrente?</x:v>
      </x:c>
      <x:c r="G52" t="str">
        <x:v>Usuários semanais sobre mensais.</x:v>
      </x:c>
      <x:c r="H52" t="str">
        <x:v>WAU / MAU</x:v>
      </x:c>
      <x:c r="I52" t="str">
        <x:v>%</x:v>
      </x:c>
      <x:c r="J52" t="str">
        <x:v>Faixa ótima</x:v>
      </x:c>
      <x:c r="K52" t="str">
        <x:v>Semanal</x:v>
      </x:c>
      <x:c r="L52" t="str">
        <x:v>Eventos</x:v>
      </x:c>
      <x:c r="M52" t="str">
        <x:v>persona, módulo, empresa</x:v>
      </x:c>
      <x:c r="N52" t="str">
        <x:v>Produto</x:v>
      </x:c>
      <x:c r="O52" t="str">
        <x:v>Leading</x:v>
      </x:c>
      <x:c r="P52" t="str">
        <x:v>Retenção</x:v>
      </x:c>
      <x:c r="Q52" t="str">
        <x:v>relacionar a churn antes de monetizar</x:v>
      </x:c>
      <x:c r="R52" t="str">
        <x:v>Descritivo</x:v>
      </x:c>
      <x:c r="S52" t="str">
        <x:v>Alta</x:v>
      </x:c>
      <x:c r="T52" t="str">
        <x:v>M0</x:v>
      </x:c>
    </x:row>
    <x:row r="53">
      <x:c r="A53" t="str">
        <x:v>PRO-03</x:v>
      </x:c>
      <x:c r="B53" t="str">
        <x:v>Produto / Plataforma</x:v>
      </x:c>
      <x:c r="C53" t="str">
        <x:v>Produto</x:v>
      </x:c>
      <x:c r="D53" t="str">
        <x:v>Ação</x:v>
      </x:c>
      <x:c r="E53" t="str">
        <x:v>Adoção por módulo</x:v>
      </x:c>
      <x:c r="F53" t="str">
        <x:v>Quais módulos geram uso real?</x:v>
      </x:c>
      <x:c r="G53" t="str">
        <x:v>Clientes/usuários com evento-chave do módulo.</x:v>
      </x:c>
      <x:c r="H53" t="str">
        <x:v>ativos no módulo / elegíveis</x:v>
      </x:c>
      <x:c r="I53" t="str">
        <x:v>%</x:v>
      </x:c>
      <x:c r="J53" t="str">
        <x:v>Maior é melhor</x:v>
      </x:c>
      <x:c r="K53" t="str">
        <x:v>Semanal</x:v>
      </x:c>
      <x:c r="L53" t="str">
        <x:v>Eventos + elegibilidade</x:v>
      </x:c>
      <x:c r="M53" t="str">
        <x:v>módulo, persona, plano</x:v>
      </x:c>
      <x:c r="N53" t="str">
        <x:v>Produto</x:v>
      </x:c>
      <x:c r="O53" t="str">
        <x:v>Leading</x:v>
      </x:c>
      <x:c r="P53" t="str">
        <x:v>Expansão / churn</x:v>
      </x:c>
      <x:c r="Q53" t="str">
        <x:v>expansão incremental × ARR</x:v>
      </x:c>
      <x:c r="R53" t="str">
        <x:v>Descritivo</x:v>
      </x:c>
      <x:c r="S53" t="str">
        <x:v>Alta</x:v>
      </x:c>
      <x:c r="T53" t="str">
        <x:v>M0</x:v>
      </x:c>
    </x:row>
    <x:row r="54">
      <x:c r="A54" t="str">
        <x:v>PRO-04</x:v>
      </x:c>
      <x:c r="B54" t="str">
        <x:v>Produto / Plataforma</x:v>
      </x:c>
      <x:c r="C54" t="str">
        <x:v>Produto</x:v>
      </x:c>
      <x:c r="D54" t="str">
        <x:v>Processo</x:v>
      </x:c>
      <x:c r="E54" t="str">
        <x:v>Time-to-value</x:v>
      </x:c>
      <x:c r="F54" t="str">
        <x:v>Quanto tempo até o primeiro resultado?</x:v>
      </x:c>
      <x:c r="G54" t="str">
        <x:v>Dias do onboarding ao outcome mínimo.</x:v>
      </x:c>
      <x:c r="H54" t="str">
        <x:v>data primeiro valor − data início</x:v>
      </x:c>
      <x:c r="I54" t="str">
        <x:v>dias</x:v>
      </x:c>
      <x:c r="J54" t="str">
        <x:v>Menor é melhor</x:v>
      </x:c>
      <x:c r="K54" t="str">
        <x:v>Semanal</x:v>
      </x:c>
      <x:c r="L54" t="str">
        <x:v>Eventos + outcome</x:v>
      </x:c>
      <x:c r="M54" t="str">
        <x:v>persona, produto, implantação</x:v>
      </x:c>
      <x:c r="N54" t="str">
        <x:v>CS / Produto</x:v>
      </x:c>
      <x:c r="O54" t="str">
        <x:v>Lagging</x:v>
      </x:c>
      <x:c r="P54" t="str">
        <x:v>Churn / custo</x:v>
      </x:c>
      <x:c r="Q54" t="str">
        <x:v>redução de churn × ARR + horas de CS evitadas</x:v>
      </x:c>
      <x:c r="R54" t="str">
        <x:v>Correlação</x:v>
      </x:c>
      <x:c r="S54" t="str">
        <x:v>Alta</x:v>
      </x:c>
      <x:c r="T54" t="str">
        <x:v>M1</x:v>
      </x:c>
    </x:row>
    <x:row r="55">
      <x:c r="A55" t="str">
        <x:v>PRO-05</x:v>
      </x:c>
      <x:c r="B55" t="str">
        <x:v>Produto / Plataforma</x:v>
      </x:c>
      <x:c r="C55" t="str">
        <x:v>Produto</x:v>
      </x:c>
      <x:c r="D55" t="str">
        <x:v>Resultado</x:v>
      </x:c>
      <x:c r="E55" t="str">
        <x:v>Retenção de cohort</x:v>
      </x:c>
      <x:c r="F55" t="str">
        <x:v>O usuário continua ativo após receber valor?</x:v>
      </x:c>
      <x:c r="G55" t="str">
        <x:v>Percentual ativo em D30/D90/D180.</x:v>
      </x:c>
      <x:c r="H55" t="str">
        <x:v>ativos no período / cohort inicial</x:v>
      </x:c>
      <x:c r="I55" t="str">
        <x:v>%</x:v>
      </x:c>
      <x:c r="J55" t="str">
        <x:v>Maior é melhor</x:v>
      </x:c>
      <x:c r="K55" t="str">
        <x:v>Mensal</x:v>
      </x:c>
      <x:c r="L55" t="str">
        <x:v>Eventos</x:v>
      </x:c>
      <x:c r="M55" t="str">
        <x:v>cohort, plano, módulo</x:v>
      </x:c>
      <x:c r="N55" t="str">
        <x:v>Produto</x:v>
      </x:c>
      <x:c r="O55" t="str">
        <x:v>Lagging</x:v>
      </x:c>
      <x:c r="P55" t="str">
        <x:v>LTV / receita</x:v>
      </x:c>
      <x:c r="Q55" t="str">
        <x:v>retenção incremental × receita média</x:v>
      </x:c>
      <x:c r="R55" t="str">
        <x:v>Descritivo</x:v>
      </x:c>
      <x:c r="S55" t="str">
        <x:v>Alta</x:v>
      </x:c>
      <x:c r="T55" t="str">
        <x:v>M1</x:v>
      </x:c>
    </x:row>
    <x:row r="56">
      <x:c r="A56" t="str">
        <x:v>PRO-06</x:v>
      </x:c>
      <x:c r="B56" t="str">
        <x:v>Produto / Plataforma</x:v>
      </x:c>
      <x:c r="C56" t="str">
        <x:v>Produto</x:v>
      </x:c>
      <x:c r="D56" t="str">
        <x:v>Resultado</x:v>
      </x:c>
      <x:c r="E56" t="str">
        <x:v>Churn de clientes</x:v>
      </x:c>
      <x:c r="F56" t="str">
        <x:v>Quais clientes cancelam e por quê?</x:v>
      </x:c>
      <x:c r="G56" t="str">
        <x:v>Clientes perdidos sobre base inicial.</x:v>
      </x:c>
      <x:c r="H56" t="str">
        <x:v>clientes cancelados / clientes no início</x:v>
      </x:c>
      <x:c r="I56" t="str">
        <x:v>%</x:v>
      </x:c>
      <x:c r="J56" t="str">
        <x:v>Menor é melhor</x:v>
      </x:c>
      <x:c r="K56" t="str">
        <x:v>Mensal</x:v>
      </x:c>
      <x:c r="L56" t="str">
        <x:v>CRM + contrato</x:v>
      </x:c>
      <x:c r="M56" t="str">
        <x:v>produto, segmento, uso</x:v>
      </x:c>
      <x:c r="N56" t="str">
        <x:v>CS</x:v>
      </x:c>
      <x:c r="O56" t="str">
        <x:v>Lagging</x:v>
      </x:c>
      <x:c r="P56" t="str">
        <x:v>Receita recorrente</x:v>
      </x:c>
      <x:c r="Q56" t="str">
        <x:v>ARR preservado × margem</x:v>
      </x:c>
      <x:c r="R56" t="str">
        <x:v>Descritivo</x:v>
      </x:c>
      <x:c r="S56" t="str">
        <x:v>Alta</x:v>
      </x:c>
      <x:c r="T56" t="str">
        <x:v>M1</x:v>
      </x:c>
    </x:row>
    <x:row r="57">
      <x:c r="A57" t="str">
        <x:v>PRO-07</x:v>
      </x:c>
      <x:c r="B57" t="str">
        <x:v>Produto / Plataforma</x:v>
      </x:c>
      <x:c r="C57" t="str">
        <x:v>Inteligência</x:v>
      </x:c>
      <x:c r="D57" t="str">
        <x:v>Resultado</x:v>
      </x:c>
      <x:c r="E57" t="str">
        <x:v>Precisão do match</x:v>
      </x:c>
      <x:c r="F57" t="str">
        <x:v>O ranking coloca opções relevantes no topo?</x:v>
      </x:c>
      <x:c r="G57" t="str">
        <x:v>Qualidade do ranking por decisão real.</x:v>
      </x:c>
      <x:c r="H57" t="str">
        <x:v>NDCG@k, precision@k ou aceitos/top k</x:v>
      </x:c>
      <x:c r="I57" t="str">
        <x:v>score</x:v>
      </x:c>
      <x:c r="J57" t="str">
        <x:v>Maior é melhor</x:v>
      </x:c>
      <x:c r="K57" t="str">
        <x:v>Semanal</x:v>
      </x:c>
      <x:c r="L57" t="str">
        <x:v>Match + decisão</x:v>
      </x:c>
      <x:c r="M57" t="str">
        <x:v>modelo, oportunidade, segmento</x:v>
      </x:c>
      <x:c r="N57" t="str">
        <x:v>Data Science</x:v>
      </x:c>
      <x:c r="O57" t="str">
        <x:v>Lagging</x:v>
      </x:c>
      <x:c r="P57" t="str">
        <x:v>Conversão / ciclo</x:v>
      </x:c>
      <x:c r="Q57" t="str">
        <x:v>uplift de contratos × margem ou tempo evitado</x:v>
      </x:c>
      <x:c r="R57" t="str">
        <x:v>Quase-experimental</x:v>
      </x:c>
      <x:c r="S57" t="str">
        <x:v>Alta</x:v>
      </x:c>
      <x:c r="T57" t="str">
        <x:v>M1</x:v>
      </x:c>
    </x:row>
    <x:row r="58">
      <x:c r="A58" t="str">
        <x:v>PRO-08</x:v>
      </x:c>
      <x:c r="B58" t="str">
        <x:v>Produto / Plataforma</x:v>
      </x:c>
      <x:c r="C58" t="str">
        <x:v>Inteligência</x:v>
      </x:c>
      <x:c r="D58" t="str">
        <x:v>Resultado</x:v>
      </x:c>
      <x:c r="E58" t="str">
        <x:v>Uplift da recomendação</x:v>
      </x:c>
      <x:c r="F58" t="str">
        <x:v>A recomendação melhora o resultado versus não recomendar?</x:v>
      </x:c>
      <x:c r="G58" t="str">
        <x:v>Diferença de outcome entre tratamento e comparável.</x:v>
      </x:c>
      <x:c r="H58" t="str">
        <x:v>outcome tratamento − outcome controle</x:v>
      </x:c>
      <x:c r="I58" t="str">
        <x:v>p.p.</x:v>
      </x:c>
      <x:c r="J58" t="str">
        <x:v>Maior é melhor</x:v>
      </x:c>
      <x:c r="K58" t="str">
        <x:v>Mensal</x:v>
      </x:c>
      <x:c r="L58" t="str">
        <x:v>Experimento / cohort</x:v>
      </x:c>
      <x:c r="M58" t="str">
        <x:v>modelo, ação, segmento</x:v>
      </x:c>
      <x:c r="N58" t="str">
        <x:v>Data Science</x:v>
      </x:c>
      <x:c r="O58" t="str">
        <x:v>Lagging</x:v>
      </x:c>
      <x:c r="P58" t="str">
        <x:v>Receita / custo</x:v>
      </x:c>
      <x:c r="Q58" t="str">
        <x:v>uplift × população × valor por outcome</x:v>
      </x:c>
      <x:c r="R58" t="str">
        <x:v>Experimental</x:v>
      </x:c>
      <x:c r="S58" t="str">
        <x:v>Alta</x:v>
      </x:c>
      <x:c r="T58" t="str">
        <x:v>M2</x:v>
      </x:c>
    </x:row>
    <x:row r="59">
      <x:c r="A59" t="str">
        <x:v>PRO-09</x:v>
      </x:c>
      <x:c r="B59" t="str">
        <x:v>Produto / Plataforma</x:v>
      </x:c>
      <x:c r="C59" t="str">
        <x:v>Executiva</x:v>
      </x:c>
      <x:c r="D59" t="str">
        <x:v>Impacto</x:v>
      </x:c>
      <x:c r="E59" t="str">
        <x:v>ARR</x:v>
      </x:c>
      <x:c r="F59" t="str">
        <x:v>Qual receita recorrente anual está contratada?</x:v>
      </x:c>
      <x:c r="G59" t="str">
        <x:v>Receita recorrente anualizada.</x:v>
      </x:c>
      <x:c r="H59" t="str">
        <x:v>MRR recorrente × 12</x:v>
      </x:c>
      <x:c r="I59" t="str">
        <x:v>R$</x:v>
      </x:c>
      <x:c r="J59" t="str">
        <x:v>Maior é melhor</x:v>
      </x:c>
      <x:c r="K59" t="str">
        <x:v>Mensal</x:v>
      </x:c>
      <x:c r="L59" t="str">
        <x:v>Contrato + financeiro</x:v>
      </x:c>
      <x:c r="M59" t="str">
        <x:v>produto, entidade, segmento</x:v>
      </x:c>
      <x:c r="N59" t="str">
        <x:v>Financeiro</x:v>
      </x:c>
      <x:c r="O59" t="str">
        <x:v>Lagging</x:v>
      </x:c>
      <x:c r="P59" t="str">
        <x:v>Receita recorrente</x:v>
      </x:c>
      <x:c r="Q59" t="str">
        <x:v>valor contratual anual</x:v>
      </x:c>
      <x:c r="R59" t="str">
        <x:v>Descritivo</x:v>
      </x:c>
      <x:c r="S59" t="str">
        <x:v>Alta</x:v>
      </x:c>
      <x:c r="T59" t="str">
        <x:v>M0</x:v>
      </x:c>
    </x:row>
    <x:row r="60">
      <x:c r="A60" t="str">
        <x:v>PRO-10</x:v>
      </x:c>
      <x:c r="B60" t="str">
        <x:v>Produto / Plataforma</x:v>
      </x:c>
      <x:c r="C60" t="str">
        <x:v>Executiva</x:v>
      </x:c>
      <x:c r="D60" t="str">
        <x:v>Impacto</x:v>
      </x:c>
      <x:c r="E60" t="str">
        <x:v>LTV/CAC</x:v>
      </x:c>
      <x:c r="F60" t="str">
        <x:v>O crescimento gera valor econômico?</x:v>
      </x:c>
      <x:c r="G60" t="str">
        <x:v>Valor de vida do cliente sobre custo de aquisição.</x:v>
      </x:c>
      <x:c r="H60" t="str">
        <x:v>((ARPA × margem bruta) / churn mensal) / CAC</x:v>
      </x:c>
      <x:c r="I60" t="str">
        <x:v>x</x:v>
      </x:c>
      <x:c r="J60" t="str">
        <x:v>Maior é melhor</x:v>
      </x:c>
      <x:c r="K60" t="str">
        <x:v>Mensal</x:v>
      </x:c>
      <x:c r="L60" t="str">
        <x:v>Financeiro + CRM</x:v>
      </x:c>
      <x:c r="M60" t="str">
        <x:v>produto, cohort, segmento</x:v>
      </x:c>
      <x:c r="N60" t="str">
        <x:v>Financeiro</x:v>
      </x:c>
      <x:c r="O60" t="str">
        <x:v>Lagging</x:v>
      </x:c>
      <x:c r="P60" t="str">
        <x:v>Unit economics</x:v>
      </x:c>
      <x:c r="Q60" t="str">
        <x:v>LTV / CAC</x:v>
      </x:c>
      <x:c r="R60" t="str">
        <x:v>Descritivo</x:v>
      </x:c>
      <x:c r="S60" t="str">
        <x:v>Alta</x:v>
      </x:c>
      <x:c r="T60" t="str">
        <x:v>M2</x:v>
      </x:c>
    </x:row>
    <x:row r="61">
      <x:c r="A61" t="str">
        <x:v>FIN-01</x:v>
      </x:c>
      <x:c r="B61" t="str">
        <x:v>Financeiro / Impacto</x:v>
      </x:c>
      <x:c r="C61" t="str">
        <x:v>Executiva</x:v>
      </x:c>
      <x:c r="D61" t="str">
        <x:v>Impacto</x:v>
      </x:c>
      <x:c r="E61" t="str">
        <x:v>Benefício bruto atribuído</x:v>
      </x:c>
      <x:c r="F61" t="str">
        <x:v>Quanto valor total foi provado antes do investimento?</x:v>
      </x:c>
      <x:c r="G61" t="str">
        <x:v>Soma deduplicada dos benefícios após atribuição.</x:v>
      </x:c>
      <x:c r="H61" t="str">
        <x:v>Σ benefícios atribuídos por alavanca</x:v>
      </x:c>
      <x:c r="I61" t="str">
        <x:v>R$</x:v>
      </x:c>
      <x:c r="J61" t="str">
        <x:v>Maior é melhor</x:v>
      </x:c>
      <x:c r="K61" t="str">
        <x:v>Trimestral</x:v>
      </x:c>
      <x:c r="L61" t="str">
        <x:v>Data mart financeiro</x:v>
      </x:c>
      <x:c r="M61" t="str">
        <x:v>cliente, programa, alavanca</x:v>
      </x:c>
      <x:c r="N61" t="str">
        <x:v>Financeiro</x:v>
      </x:c>
      <x:c r="O61" t="str">
        <x:v>Lagging</x:v>
      </x:c>
      <x:c r="P61" t="str">
        <x:v>Valor total</x:v>
      </x:c>
      <x:c r="Q61" t="str">
        <x:v>soma após regras de deduplicação</x:v>
      </x:c>
      <x:c r="R61" t="str">
        <x:v>Quase-experimental</x:v>
      </x:c>
      <x:c r="S61" t="str">
        <x:v>Alta</x:v>
      </x:c>
      <x:c r="T61" t="str">
        <x:v>M2</x:v>
      </x:c>
    </x:row>
    <x:row r="62">
      <x:c r="A62" t="str">
        <x:v>FIN-02</x:v>
      </x:c>
      <x:c r="B62" t="str">
        <x:v>Financeiro / Impacto</x:v>
      </x:c>
      <x:c r="C62" t="str">
        <x:v>Executiva</x:v>
      </x:c>
      <x:c r="D62" t="str">
        <x:v>Impacto</x:v>
      </x:c>
      <x:c r="E62" t="str">
        <x:v>Benefício líquido</x:v>
      </x:c>
      <x:c r="F62" t="str">
        <x:v>Qual valor sobra após o investimento?</x:v>
      </x:c>
      <x:c r="G62" t="str">
        <x:v>Benefício bruto menos investimento total.</x:v>
      </x:c>
      <x:c r="H62" t="str">
        <x:v>benefício bruto − investimento total</x:v>
      </x:c>
      <x:c r="I62" t="str">
        <x:v>R$</x:v>
      </x:c>
      <x:c r="J62" t="str">
        <x:v>Maior é melhor</x:v>
      </x:c>
      <x:c r="K62" t="str">
        <x:v>Trimestral</x:v>
      </x:c>
      <x:c r="L62" t="str">
        <x:v>Financeiro</x:v>
      </x:c>
      <x:c r="M62" t="str">
        <x:v>cliente, programa</x:v>
      </x:c>
      <x:c r="N62" t="str">
        <x:v>Financeiro</x:v>
      </x:c>
      <x:c r="O62" t="str">
        <x:v>Lagging</x:v>
      </x:c>
      <x:c r="P62" t="str">
        <x:v>Lucro / ROI</x:v>
      </x:c>
      <x:c r="Q62" t="str">
        <x:v>benefício bruto − licença − serviços − custo interno</x:v>
      </x:c>
      <x:c r="R62" t="str">
        <x:v>Quase-experimental</x:v>
      </x:c>
      <x:c r="S62" t="str">
        <x:v>Alta</x:v>
      </x:c>
      <x:c r="T62" t="str">
        <x:v>M2</x:v>
      </x:c>
    </x:row>
    <x:row r="63">
      <x:c r="A63" t="str">
        <x:v>FIN-03</x:v>
      </x:c>
      <x:c r="B63" t="str">
        <x:v>Financeiro / Impacto</x:v>
      </x:c>
      <x:c r="C63" t="str">
        <x:v>Executiva</x:v>
      </x:c>
      <x:c r="D63" t="str">
        <x:v>Impacto</x:v>
      </x:c>
      <x:c r="E63" t="str">
        <x:v>ROI do cliente</x:v>
      </x:c>
      <x:c r="F63" t="str">
        <x:v>O investimento na HUB retorna valor?</x:v>
      </x:c>
      <x:c r="G63" t="str">
        <x:v>Retorno líquido sobre o investimento.</x:v>
      </x:c>
      <x:c r="H63" t="str">
        <x:v>(benefício bruto − investimento) / investimento</x:v>
      </x:c>
      <x:c r="I63" t="str">
        <x:v>%</x:v>
      </x:c>
      <x:c r="J63" t="str">
        <x:v>Maior é melhor</x:v>
      </x:c>
      <x:c r="K63" t="str">
        <x:v>Trimestral</x:v>
      </x:c>
      <x:c r="L63" t="str">
        <x:v>Financeiro</x:v>
      </x:c>
      <x:c r="M63" t="str">
        <x:v>cliente, programa, cenário</x:v>
      </x:c>
      <x:c r="N63" t="str">
        <x:v>Financeiro</x:v>
      </x:c>
      <x:c r="O63" t="str">
        <x:v>Lagging</x:v>
      </x:c>
      <x:c r="P63" t="str">
        <x:v>ROI</x:v>
      </x:c>
      <x:c r="Q63" t="str">
        <x:v>benefício líquido / investimento</x:v>
      </x:c>
      <x:c r="R63" t="str">
        <x:v>Quase-experimental</x:v>
      </x:c>
      <x:c r="S63" t="str">
        <x:v>Alta</x:v>
      </x:c>
      <x:c r="T63" t="str">
        <x:v>M2</x:v>
      </x:c>
    </x:row>
    <x:row r="64">
      <x:c r="A64" t="str">
        <x:v>FIN-04</x:v>
      </x:c>
      <x:c r="B64" t="str">
        <x:v>Financeiro / Impacto</x:v>
      </x:c>
      <x:c r="C64" t="str">
        <x:v>Executiva</x:v>
      </x:c>
      <x:c r="D64" t="str">
        <x:v>Impacto</x:v>
      </x:c>
      <x:c r="E64" t="str">
        <x:v>Payback</x:v>
      </x:c>
      <x:c r="F64" t="str">
        <x:v>Quando o investimento se paga?</x:v>
      </x:c>
      <x:c r="G64" t="str">
        <x:v>Meses para benefício acumulado cobrir investimento.</x:v>
      </x:c>
      <x:c r="H64" t="str">
        <x:v>investimento / (benefício anual / 12)</x:v>
      </x:c>
      <x:c r="I64" t="str">
        <x:v>meses</x:v>
      </x:c>
      <x:c r="J64" t="str">
        <x:v>Menor é melhor</x:v>
      </x:c>
      <x:c r="K64" t="str">
        <x:v>Trimestral</x:v>
      </x:c>
      <x:c r="L64" t="str">
        <x:v>Financeiro</x:v>
      </x:c>
      <x:c r="M64" t="str">
        <x:v>cliente, programa</x:v>
      </x:c>
      <x:c r="N64" t="str">
        <x:v>Financeiro</x:v>
      </x:c>
      <x:c r="O64" t="str">
        <x:v>Lagging</x:v>
      </x:c>
      <x:c r="P64" t="str">
        <x:v>Caixa</x:v>
      </x:c>
      <x:c r="Q64" t="str">
        <x:v>investimento / benefício mensal</x:v>
      </x:c>
      <x:c r="R64" t="str">
        <x:v>Quase-experimental</x:v>
      </x:c>
      <x:c r="S64" t="str">
        <x:v>Alta</x:v>
      </x:c>
      <x:c r="T64" t="str">
        <x:v>M2</x:v>
      </x:c>
    </x:row>
    <x:row r="65">
      <x:c r="A65" t="str">
        <x:v>FIN-05</x:v>
      </x:c>
      <x:c r="B65" t="str">
        <x:v>Financeiro / Impacto</x:v>
      </x:c>
      <x:c r="C65" t="str">
        <x:v>Executiva</x:v>
      </x:c>
      <x:c r="D65" t="str">
        <x:v>Impacto</x:v>
      </x:c>
      <x:c r="E65" t="str">
        <x:v>Margem incremental</x:v>
      </x:c>
      <x:c r="F65" t="str">
        <x:v>Quanto do resultado adicional vira margem?</x:v>
      </x:c>
      <x:c r="G65" t="str">
        <x:v>Receita incremental multiplicada pela margem de contribuição.</x:v>
      </x:c>
      <x:c r="H65" t="str">
        <x:v>receita incremental × margem × atribuição</x:v>
      </x:c>
      <x:c r="I65" t="str">
        <x:v>R$</x:v>
      </x:c>
      <x:c r="J65" t="str">
        <x:v>Maior é melhor</x:v>
      </x:c>
      <x:c r="K65" t="str">
        <x:v>Mensal</x:v>
      </x:c>
      <x:c r="L65" t="str">
        <x:v>CRM + financeiro</x:v>
      </x:c>
      <x:c r="M65" t="str">
        <x:v>cliente, produto, origem</x:v>
      </x:c>
      <x:c r="N65" t="str">
        <x:v>Financeiro</x:v>
      </x:c>
      <x:c r="O65" t="str">
        <x:v>Lagging</x:v>
      </x:c>
      <x:c r="P65" t="str">
        <x:v>Lucro</x:v>
      </x:c>
      <x:c r="Q65" t="str">
        <x:v>não somar receita bruta e margem como benefícios distintos</x:v>
      </x:c>
      <x:c r="R65" t="str">
        <x:v>Quase-experimental</x:v>
      </x:c>
      <x:c r="S65" t="str">
        <x:v>Alta</x:v>
      </x:c>
      <x:c r="T65" t="str">
        <x:v>M2</x:v>
      </x:c>
    </x:row>
    <x:row r="66">
      <x:c r="A66" t="str">
        <x:v>FIN-06</x:v>
      </x:c>
      <x:c r="B66" t="str">
        <x:v>Financeiro / Impacto</x:v>
      </x:c>
      <x:c r="C66" t="str">
        <x:v>Executiva</x:v>
      </x:c>
      <x:c r="D66" t="str">
        <x:v>Impacto</x:v>
      </x:c>
      <x:c r="E66" t="str">
        <x:v>Custo evitado</x:v>
      </x:c>
      <x:c r="F66" t="str">
        <x:v>Qual despesa deixou de ocorrer?</x:v>
      </x:c>
      <x:c r="G66" t="str">
        <x:v>Diferença ajustada de custo mantendo escopo e qualidade.</x:v>
      </x:c>
      <x:c r="H66" t="str">
        <x:v>custo baseline − custo realizado − custos de mudança</x:v>
      </x:c>
      <x:c r="I66" t="str">
        <x:v>R$</x:v>
      </x:c>
      <x:c r="J66" t="str">
        <x:v>Maior é melhor</x:v>
      </x:c>
      <x:c r="K66" t="str">
        <x:v>Mensal</x:v>
      </x:c>
      <x:c r="L66" t="str">
        <x:v>Financeiro + operação</x:v>
      </x:c>
      <x:c r="M66" t="str">
        <x:v>centro de custo, alavanca</x:v>
      </x:c>
      <x:c r="N66" t="str">
        <x:v>Controladoria</x:v>
      </x:c>
      <x:c r="O66" t="str">
        <x:v>Lagging</x:v>
      </x:c>
      <x:c r="P66" t="str">
        <x:v>Custo / margem</x:v>
      </x:c>
      <x:c r="Q66" t="str">
        <x:v>delta validado pela controladoria</x:v>
      </x:c>
      <x:c r="R66" t="str">
        <x:v>Quase-experimental</x:v>
      </x:c>
      <x:c r="S66" t="str">
        <x:v>Alta</x:v>
      </x:c>
      <x:c r="T66" t="str">
        <x:v>M2</x:v>
      </x:c>
    </x:row>
    <x:row r="67">
      <x:c r="A67" t="str">
        <x:v>FIN-07</x:v>
      </x:c>
      <x:c r="B67" t="str">
        <x:v>Financeiro / Impacto</x:v>
      </x:c>
      <x:c r="C67" t="str">
        <x:v>Executiva</x:v>
      </x:c>
      <x:c r="D67" t="str">
        <x:v>Impacto</x:v>
      </x:c>
      <x:c r="E67" t="str">
        <x:v>Risco evitado</x:v>
      </x:c>
      <x:c r="F67" t="str">
        <x:v>Qual perda esperada foi reduzida?</x:v>
      </x:c>
      <x:c r="G67" t="str">
        <x:v>Variação de perda esperada atribuída.</x:v>
      </x:c>
      <x:c r="H67" t="str">
        <x:v>(probabilidade × impacto) baseline − residual</x:v>
      </x:c>
      <x:c r="I67" t="str">
        <x:v>R$</x:v>
      </x:c>
      <x:c r="J67" t="str">
        <x:v>Maior é melhor</x:v>
      </x:c>
      <x:c r="K67" t="str">
        <x:v>Trimestral</x:v>
      </x:c>
      <x:c r="L67" t="str">
        <x:v>GRC + financeiro</x:v>
      </x:c>
      <x:c r="M67" t="str">
        <x:v>risco, controle, cliente</x:v>
      </x:c>
      <x:c r="N67" t="str">
        <x:v>Riscos</x:v>
      </x:c>
      <x:c r="O67" t="str">
        <x:v>Lagging</x:v>
      </x:c>
      <x:c r="P67" t="str">
        <x:v>Risco</x:v>
      </x:c>
      <x:c r="Q67" t="str">
        <x:v>perda esperada × redução × atribuição</x:v>
      </x:c>
      <x:c r="R67" t="str">
        <x:v>Quase-experimental</x:v>
      </x:c>
      <x:c r="S67" t="str">
        <x:v>Alta</x:v>
      </x:c>
      <x:c r="T67" t="str">
        <x:v>M2</x:v>
      </x:c>
    </x:row>
    <x:row r="68">
      <x:c r="A68" t="str">
        <x:v>FIN-08</x:v>
      </x:c>
      <x:c r="B68" t="str">
        <x:v>Financeiro / Impacto</x:v>
      </x:c>
      <x:c r="C68" t="str">
        <x:v>HUB</x:v>
      </x:c>
      <x:c r="D68" t="str">
        <x:v>Impacto</x:v>
      </x:c>
      <x:c r="E68" t="str">
        <x:v>Receita HUB por vertente</x:v>
      </x:c>
      <x:c r="F68" t="str">
        <x:v>Quais frentes monetizam e com que qualidade?</x:v>
      </x:c>
      <x:c r="G68" t="str">
        <x:v>Receita reconhecida por licenciamento, serviços e marketplace.</x:v>
      </x:c>
      <x:c r="H68" t="str">
        <x:v>Σ receita reconhecida por vertente</x:v>
      </x:c>
      <x:c r="I68" t="str">
        <x:v>R$</x:v>
      </x:c>
      <x:c r="J68" t="str">
        <x:v>Maior é melhor</x:v>
      </x:c>
      <x:c r="K68" t="str">
        <x:v>Mensal</x:v>
      </x:c>
      <x:c r="L68" t="str">
        <x:v>ERP + contrato</x:v>
      </x:c>
      <x:c r="M68" t="str">
        <x:v>vertente, produto, cliente</x:v>
      </x:c>
      <x:c r="N68" t="str">
        <x:v>Financeiro HUB</x:v>
      </x:c>
      <x:c r="O68" t="str">
        <x:v>Lagging</x:v>
      </x:c>
      <x:c r="P68" t="str">
        <x:v>Receita</x:v>
      </x:c>
      <x:c r="Q68" t="str">
        <x:v>receita reconhecida</x:v>
      </x:c>
      <x:c r="R68" t="str">
        <x:v>Descritivo</x:v>
      </x:c>
      <x:c r="S68" t="str">
        <x:v>Alta</x:v>
      </x:c>
      <x:c r="T68" t="str">
        <x:v>M0</x:v>
      </x:c>
    </x:row>
    <x:row r="69">
      <x:c r="A69" t="str">
        <x:v>FIN-09</x:v>
      </x:c>
      <x:c r="B69" t="str">
        <x:v>Financeiro / Impacto</x:v>
      </x:c>
      <x:c r="C69" t="str">
        <x:v>HUB</x:v>
      </x:c>
      <x:c r="D69" t="str">
        <x:v>Impacto</x:v>
      </x:c>
      <x:c r="E69" t="str">
        <x:v>Margem de contribuição HUB</x:v>
      </x:c>
      <x:c r="F69" t="str">
        <x:v>Qual receita paga custos variáveis e financia escala?</x:v>
      </x:c>
      <x:c r="G69" t="str">
        <x:v>Receita menos custos variáveis diretos.</x:v>
      </x:c>
      <x:c r="H69" t="str">
        <x:v>(receita − custos variáveis) / receita</x:v>
      </x:c>
      <x:c r="I69" t="str">
        <x:v>%</x:v>
      </x:c>
      <x:c r="J69" t="str">
        <x:v>Maior é melhor</x:v>
      </x:c>
      <x:c r="K69" t="str">
        <x:v>Mensal</x:v>
      </x:c>
      <x:c r="L69" t="str">
        <x:v>ERP</x:v>
      </x:c>
      <x:c r="M69" t="str">
        <x:v>produto, cliente, projeto</x:v>
      </x:c>
      <x:c r="N69" t="str">
        <x:v>Financeiro HUB</x:v>
      </x:c>
      <x:c r="O69" t="str">
        <x:v>Lagging</x:v>
      </x:c>
      <x:c r="P69" t="str">
        <x:v>Margem</x:v>
      </x:c>
      <x:c r="Q69" t="str">
        <x:v>receita − custo variável</x:v>
      </x:c>
      <x:c r="R69" t="str">
        <x:v>Descritivo</x:v>
      </x:c>
      <x:c r="S69" t="str">
        <x:v>Alta</x:v>
      </x:c>
      <x:c r="T69" t="str">
        <x:v>M1</x:v>
      </x:c>
    </x:row>
    <x:row r="70">
      <x:c r="A70" t="str">
        <x:v>FIN-10</x:v>
      </x:c>
      <x:c r="B70" t="str">
        <x:v>Financeiro / Impacto</x:v>
      </x:c>
      <x:c r="C70" t="str">
        <x:v>HUB</x:v>
      </x:c>
      <x:c r="D70" t="str">
        <x:v>Impacto</x:v>
      </x:c>
      <x:c r="E70" t="str">
        <x:v>Receita recorrente líquida</x:v>
      </x:c>
      <x:c r="F70" t="str">
        <x:v>A base cresce após expansão e churn?</x:v>
      </x:c>
      <x:c r="G70" t="str">
        <x:v>Variação líquida da receita recorrente.</x:v>
      </x:c>
      <x:c r="H70" t="str">
        <x:v>MRR inicial + expansão − contração − churn</x:v>
      </x:c>
      <x:c r="I70" t="str">
        <x:v>R$/mês</x:v>
      </x:c>
      <x:c r="J70" t="str">
        <x:v>Maior é melhor</x:v>
      </x:c>
      <x:c r="K70" t="str">
        <x:v>Mensal</x:v>
      </x:c>
      <x:c r="L70" t="str">
        <x:v>Billing + CRM</x:v>
      </x:c>
      <x:c r="M70" t="str">
        <x:v>produto, cohort, segmento</x:v>
      </x:c>
      <x:c r="N70" t="str">
        <x:v>Financeiro HUB</x:v>
      </x:c>
      <x:c r="O70" t="str">
        <x:v>Lagging</x:v>
      </x:c>
      <x:c r="P70" t="str">
        <x:v>Receita recorrente</x:v>
      </x:c>
      <x:c r="Q70" t="str">
        <x:v>NRR = MRR final / MRR inicial</x:v>
      </x:c>
      <x:c r="R70" t="str">
        <x:v>Descritivo</x:v>
      </x:c>
      <x:c r="S70" t="str">
        <x:v>Alta</x:v>
      </x:c>
      <x:c r="T70" t="str">
        <x:v>M1</x:v>
      </x:c>
    </x:row>
    <x:row r="71">
      <x:c r="A71" t="str">
        <x:v>DAT-01</x:v>
      </x:c>
      <x:c r="B71" t="str">
        <x:v>Inteligência / Dados</x:v>
      </x:c>
      <x:c r="C71" t="str">
        <x:v>Dados</x:v>
      </x:c>
      <x:c r="D71" t="str">
        <x:v>Qualidade</x:v>
      </x:c>
      <x:c r="E71" t="str">
        <x:v>Completude de dados críticos</x:v>
      </x:c>
      <x:c r="F71" t="str">
        <x:v>Os campos essenciais existem?</x:v>
      </x:c>
      <x:c r="G71" t="str">
        <x:v>Percentual de valores válidos em campos críticos.</x:v>
      </x:c>
      <x:c r="H71" t="str">
        <x:v>valores válidos / valores esperados</x:v>
      </x:c>
      <x:c r="I71" t="str">
        <x:v>%</x:v>
      </x:c>
      <x:c r="J71" t="str">
        <x:v>Maior é melhor</x:v>
      </x:c>
      <x:c r="K71" t="str">
        <x:v>Diária</x:v>
      </x:c>
      <x:c r="L71" t="str">
        <x:v>Observabilidade</x:v>
      </x:c>
      <x:c r="M71" t="str">
        <x:v>fonte, campo, domínio</x:v>
      </x:c>
      <x:c r="N71" t="str">
        <x:v>Data Governance</x:v>
      </x:c>
      <x:c r="O71" t="str">
        <x:v>Leading</x:v>
      </x:c>
      <x:c r="P71" t="str">
        <x:v>Confiabilidade</x:v>
      </x:c>
      <x:c r="Q71" t="str">
        <x:v>não monetizar isoladamente</x:v>
      </x:c>
      <x:c r="R71" t="str">
        <x:v>Descritivo</x:v>
      </x:c>
      <x:c r="S71" t="str">
        <x:v>Alta</x:v>
      </x:c>
      <x:c r="T71" t="str">
        <x:v>M0</x:v>
      </x:c>
    </x:row>
    <x:row r="72">
      <x:c r="A72" t="str">
        <x:v>DAT-02</x:v>
      </x:c>
      <x:c r="B72" t="str">
        <x:v>Inteligência / Dados</x:v>
      </x:c>
      <x:c r="C72" t="str">
        <x:v>Dados</x:v>
      </x:c>
      <x:c r="D72" t="str">
        <x:v>Qualidade</x:v>
      </x:c>
      <x:c r="E72" t="str">
        <x:v>Atualidade dos dados</x:v>
      </x:c>
      <x:c r="F72" t="str">
        <x:v>Os dados chegam a tempo da decisão?</x:v>
      </x:c>
      <x:c r="G72" t="str">
        <x:v>Registros dentro do SLA de atualização.</x:v>
      </x:c>
      <x:c r="H72" t="str">
        <x:v>registros no SLA / registros esperados</x:v>
      </x:c>
      <x:c r="I72" t="str">
        <x:v>%</x:v>
      </x:c>
      <x:c r="J72" t="str">
        <x:v>Maior é melhor</x:v>
      </x:c>
      <x:c r="K72" t="str">
        <x:v>Diária</x:v>
      </x:c>
      <x:c r="L72" t="str">
        <x:v>Pipelines</x:v>
      </x:c>
      <x:c r="M72" t="str">
        <x:v>fonte, domínio</x:v>
      </x:c>
      <x:c r="N72" t="str">
        <x:v>Data Engineering</x:v>
      </x:c>
      <x:c r="O72" t="str">
        <x:v>Leading</x:v>
      </x:c>
      <x:c r="P72" t="str">
        <x:v>Risco / decisão</x:v>
      </x:c>
      <x:c r="Q72" t="str">
        <x:v>incidentes evitados × custo médio</x:v>
      </x:c>
      <x:c r="R72" t="str">
        <x:v>Descritivo</x:v>
      </x:c>
      <x:c r="S72" t="str">
        <x:v>Alta</x:v>
      </x:c>
      <x:c r="T72" t="str">
        <x:v>M0</x:v>
      </x:c>
    </x:row>
    <x:row r="73">
      <x:c r="A73" t="str">
        <x:v>DAT-03</x:v>
      </x:c>
      <x:c r="B73" t="str">
        <x:v>Inteligência / Dados</x:v>
      </x:c>
      <x:c r="C73" t="str">
        <x:v>Dados</x:v>
      </x:c>
      <x:c r="D73" t="str">
        <x:v>Qualidade</x:v>
      </x:c>
      <x:c r="E73" t="str">
        <x:v>Taxa de identidade resolvida</x:v>
      </x:c>
      <x:c r="F73" t="str">
        <x:v>Conseguimos conectar a mesma entidade entre fontes?</x:v>
      </x:c>
      <x:c r="G73" t="str">
        <x:v>Registros conciliados com chave confiável.</x:v>
      </x:c>
      <x:c r="H73" t="str">
        <x:v>identidades resolvidas / registros elegíveis</x:v>
      </x:c>
      <x:c r="I73" t="str">
        <x:v>%</x:v>
      </x:c>
      <x:c r="J73" t="str">
        <x:v>Maior é melhor</x:v>
      </x:c>
      <x:c r="K73" t="str">
        <x:v>Diária</x:v>
      </x:c>
      <x:c r="L73" t="str">
        <x:v>MDM</x:v>
      </x:c>
      <x:c r="M73" t="str">
        <x:v>fonte, entidade</x:v>
      </x:c>
      <x:c r="N73" t="str">
        <x:v>Data Engineering</x:v>
      </x:c>
      <x:c r="O73" t="str">
        <x:v>Leading</x:v>
      </x:c>
      <x:c r="P73" t="str">
        <x:v>Atribuição / qualidade</x:v>
      </x:c>
      <x:c r="Q73" t="str">
        <x:v>redução de retrabalho e dupla contagem</x:v>
      </x:c>
      <x:c r="R73" t="str">
        <x:v>Descritivo</x:v>
      </x:c>
      <x:c r="S73" t="str">
        <x:v>Alta</x:v>
      </x:c>
      <x:c r="T73" t="str">
        <x:v>M0</x:v>
      </x:c>
    </x:row>
    <x:row r="74">
      <x:c r="A74" t="str">
        <x:v>DAT-04</x:v>
      </x:c>
      <x:c r="B74" t="str">
        <x:v>Inteligência / Dados</x:v>
      </x:c>
      <x:c r="C74" t="str">
        <x:v>Inteligência</x:v>
      </x:c>
      <x:c r="D74" t="str">
        <x:v>Modelo</x:v>
      </x:c>
      <x:c r="E74" t="str">
        <x:v>Cobertura de score</x:v>
      </x:c>
      <x:c r="F74" t="str">
        <x:v>Para quantos casos o modelo produz score válido?</x:v>
      </x:c>
      <x:c r="G74" t="str">
        <x:v>Casos elegíveis com score dentro do SLA.</x:v>
      </x:c>
      <x:c r="H74" t="str">
        <x:v>casos com score / casos elegíveis</x:v>
      </x:c>
      <x:c r="I74" t="str">
        <x:v>%</x:v>
      </x:c>
      <x:c r="J74" t="str">
        <x:v>Maior é melhor</x:v>
      </x:c>
      <x:c r="K74" t="str">
        <x:v>Diária</x:v>
      </x:c>
      <x:c r="L74" t="str">
        <x:v>MLOps</x:v>
      </x:c>
      <x:c r="M74" t="str">
        <x:v>modelo, segmento</x:v>
      </x:c>
      <x:c r="N74" t="str">
        <x:v>Data Science</x:v>
      </x:c>
      <x:c r="O74" t="str">
        <x:v>Leading</x:v>
      </x:c>
      <x:c r="P74" t="str">
        <x:v>Escala</x:v>
      </x:c>
      <x:c r="Q74" t="str">
        <x:v>não monetizar isoladamente</x:v>
      </x:c>
      <x:c r="R74" t="str">
        <x:v>Descritivo</x:v>
      </x:c>
      <x:c r="S74" t="str">
        <x:v>Média</x:v>
      </x:c>
      <x:c r="T74" t="str">
        <x:v>M1</x:v>
      </x:c>
    </x:row>
    <x:row r="75">
      <x:c r="A75" t="str">
        <x:v>DAT-05</x:v>
      </x:c>
      <x:c r="B75" t="str">
        <x:v>Inteligência / Dados</x:v>
      </x:c>
      <x:c r="C75" t="str">
        <x:v>Inteligência</x:v>
      </x:c>
      <x:c r="D75" t="str">
        <x:v>Modelo</x:v>
      </x:c>
      <x:c r="E75" t="str">
        <x:v>Acurácia / calibração</x:v>
      </x:c>
      <x:c r="F75" t="str">
        <x:v>O score corresponde à probabilidade real?</x:v>
      </x:c>
      <x:c r="G75" t="str">
        <x:v>Performance preditiva e calibração por cohort.</x:v>
      </x:c>
      <x:c r="H75" t="str">
        <x:v>métrica adequada ao modelo: AUC, MAE, Brier</x:v>
      </x:c>
      <x:c r="I75" t="str">
        <x:v>score</x:v>
      </x:c>
      <x:c r="J75" t="str">
        <x:v>Maior é melhor</x:v>
      </x:c>
      <x:c r="K75" t="str">
        <x:v>Mensal</x:v>
      </x:c>
      <x:c r="L75" t="str">
        <x:v>Predição + outcome</x:v>
      </x:c>
      <x:c r="M75" t="str">
        <x:v>modelo, cohort, segmento</x:v>
      </x:c>
      <x:c r="N75" t="str">
        <x:v>Data Science</x:v>
      </x:c>
      <x:c r="O75" t="str">
        <x:v>Lagging</x:v>
      </x:c>
      <x:c r="P75" t="str">
        <x:v>Conversão / risco</x:v>
      </x:c>
      <x:c r="Q75" t="str">
        <x:v>uplift de decisão × valor por outcome</x:v>
      </x:c>
      <x:c r="R75" t="str">
        <x:v>Quase-experimental</x:v>
      </x:c>
      <x:c r="S75" t="str">
        <x:v>Alta</x:v>
      </x:c>
      <x:c r="T75" t="str">
        <x:v>M1</x:v>
      </x:c>
    </x:row>
    <x:row r="76">
      <x:c r="A76" t="str">
        <x:v>DAT-06</x:v>
      </x:c>
      <x:c r="B76" t="str">
        <x:v>Inteligência / Dados</x:v>
      </x:c>
      <x:c r="C76" t="str">
        <x:v>Inteligência</x:v>
      </x:c>
      <x:c r="D76" t="str">
        <x:v>Modelo</x:v>
      </x:c>
      <x:c r="E76" t="str">
        <x:v>Fairness do modelo</x:v>
      </x:c>
      <x:c r="F76" t="str">
        <x:v>O desempenho varia de forma injustificada entre grupos?</x:v>
      </x:c>
      <x:c r="G76" t="str">
        <x:v>Diferença de erro, seleção ou calibração entre cohorts protegidos.</x:v>
      </x:c>
      <x:c r="H76" t="str">
        <x:v>máx diferença entre grupos em métrica definida</x:v>
      </x:c>
      <x:c r="I76" t="str">
        <x:v>p.p.</x:v>
      </x:c>
      <x:c r="J76" t="str">
        <x:v>Menor é melhor</x:v>
      </x:c>
      <x:c r="K76" t="str">
        <x:v>Mensal</x:v>
      </x:c>
      <x:c r="L76" t="str">
        <x:v>Predição + outcome + cohort</x:v>
      </x:c>
      <x:c r="M76" t="str">
        <x:v>grupo, modelo, decisão</x:v>
      </x:c>
      <x:c r="N76" t="str">
        <x:v>AI Governance</x:v>
      </x:c>
      <x:c r="O76" t="str">
        <x:v>Lagging</x:v>
      </x:c>
      <x:c r="P76" t="str">
        <x:v>Risco / confiança</x:v>
      </x:c>
      <x:c r="Q76" t="str">
        <x:v>risco esperado de decisão inadequada</x:v>
      </x:c>
      <x:c r="R76" t="str">
        <x:v>Quase-experimental</x:v>
      </x:c>
      <x:c r="S76" t="str">
        <x:v>Alta</x:v>
      </x:c>
      <x:c r="T76" t="str">
        <x:v>M1</x:v>
      </x:c>
    </x:row>
    <x:row r="77">
      <x:c r="A77" t="str">
        <x:v>DAT-07</x:v>
      </x:c>
      <x:c r="B77" t="str">
        <x:v>Inteligência / Dados</x:v>
      </x:c>
      <x:c r="C77" t="str">
        <x:v>Inteligência</x:v>
      </x:c>
      <x:c r="D77" t="str">
        <x:v>Modelo</x:v>
      </x:c>
      <x:c r="E77" t="str">
        <x:v>Drift de dados / modelo</x:v>
      </x:c>
      <x:c r="F77" t="str">
        <x:v>A população ou relação mudou?</x:v>
      </x:c>
      <x:c r="G77" t="str">
        <x:v>Divergência de distribuição e queda de performance.</x:v>
      </x:c>
      <x:c r="H77" t="str">
        <x:v>PSI / divergência / delta de performance</x:v>
      </x:c>
      <x:c r="I77" t="str">
        <x:v>índice</x:v>
      </x:c>
      <x:c r="J77" t="str">
        <x:v>Menor é melhor</x:v>
      </x:c>
      <x:c r="K77" t="str">
        <x:v>Semanal</x:v>
      </x:c>
      <x:c r="L77" t="str">
        <x:v>MLOps</x:v>
      </x:c>
      <x:c r="M77" t="str">
        <x:v>feature, modelo, segmento</x:v>
      </x:c>
      <x:c r="N77" t="str">
        <x:v>Data Science</x:v>
      </x:c>
      <x:c r="O77" t="str">
        <x:v>Leading</x:v>
      </x:c>
      <x:c r="P77" t="str">
        <x:v>Risco / performance</x:v>
      </x:c>
      <x:c r="Q77" t="str">
        <x:v>perda esperada durante drift × tempo de resposta</x:v>
      </x:c>
      <x:c r="R77" t="str">
        <x:v>Descritivo</x:v>
      </x:c>
      <x:c r="S77" t="str">
        <x:v>Média</x:v>
      </x:c>
      <x:c r="T77" t="str">
        <x:v>M1</x:v>
      </x:c>
    </x:row>
    <x:row r="78">
      <x:c r="A78" t="str">
        <x:v>DAT-08</x:v>
      </x:c>
      <x:c r="B78" t="str">
        <x:v>Inteligência / Dados</x:v>
      </x:c>
      <x:c r="C78" t="str">
        <x:v>Executiva</x:v>
      </x:c>
      <x:c r="D78" t="str">
        <x:v>Evidência</x:v>
      </x:c>
      <x:c r="E78" t="str">
        <x:v>Índice de confiança do impacto</x:v>
      </x:c>
      <x:c r="F78" t="str">
        <x:v>Quão sólida é a prova apresentada?</x:v>
      </x:c>
      <x:c r="G78" t="str">
        <x:v>Score de qualidade de baseline, comparação, amostra e atribuição.</x:v>
      </x:c>
      <x:c r="H78" t="str">
        <x:v>média ponderada(baseline, controle, amostra, rastreabilidade)</x:v>
      </x:c>
      <x:c r="I78" t="str">
        <x:v>score 0–100</x:v>
      </x:c>
      <x:c r="J78" t="str">
        <x:v>Maior é melhor</x:v>
      </x:c>
      <x:c r="K78" t="str">
        <x:v>Trimestral</x:v>
      </x:c>
      <x:c r="L78" t="str">
        <x:v>Metadados de análise</x:v>
      </x:c>
      <x:c r="M78" t="str">
        <x:v>indicador, cliente, programa</x:v>
      </x:c>
      <x:c r="N78" t="str">
        <x:v>Inteligência / Financeiro</x:v>
      </x:c>
      <x:c r="O78" t="str">
        <x:v>Lagging</x:v>
      </x:c>
      <x:c r="P78" t="str">
        <x:v>Confiança</x:v>
      </x:c>
      <x:c r="Q78" t="str">
        <x:v>aplicar haircut financeiro conforme nível de evidência</x:v>
      </x:c>
      <x:c r="R78" t="str">
        <x:v>Quase-experimental</x:v>
      </x:c>
      <x:c r="S78" t="str">
        <x:v>Alta</x:v>
      </x:c>
      <x:c r="T78" t="str">
        <x:v>M2</x:v>
      </x:c>
    </x:row>
  </x:sheetData>
  <x:pageSetup fitToWidth="1" fitToHeight="0" orientation="landscape"/>
</x:worksheet>
</file>

<file path=xl/worksheets/sheet7.xml><?xml version="1.0" encoding="utf-8"?>
<x:worksheet xmlns:x="http://schemas.openxmlformats.org/spreadsheetml/2006/main">
  <x:sheetPr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</x:cols>
  <x:sheetData>
    <x:row r="1">
      <x:c r="A1" t="str">
        <x:v>Árvore de valor financeiro</x:v>
      </x:c>
    </x:row>
    <x:row r="3">
      <x:c r="A3" t="str">
        <x:v>Cadeias causais que conectam uma ação da HUB a resultado monetizável.</x:v>
      </x:c>
    </x:row>
    <x:row r="5">
      <x:c r="A5" t="str">
        <x:v>Alavanca</x:v>
      </x:c>
      <x:c r="B5" t="str">
        <x:v>Cadeia causal</x:v>
      </x:c>
      <x:c r="C5" t="str">
        <x:v>Indicadores leading</x:v>
      </x:c>
      <x:c r="D5" t="str">
        <x:v>Outcome de negócio</x:v>
      </x:c>
      <x:c r="E5" t="str">
        <x:v>Fórmula financeira</x:v>
      </x:c>
      <x:c r="F5" t="str">
        <x:v>Dados obrigatórios</x:v>
      </x:c>
      <x:c r="G5" t="str">
        <x:v>Método mínimo de atribuição</x:v>
      </x:c>
      <x:c r="H5" t="str">
        <x:v>Proteção contra dupla contagem</x:v>
      </x:c>
      <x:c r="I5" t="str">
        <x:v>Visão</x:v>
      </x:c>
      <x:c r="J5" t="str">
        <x:v>Decisão habilitada</x:v>
      </x:c>
    </x:row>
    <x:row r="6">
      <x:c r="A6" t="str">
        <x:v>Produtividade</x:v>
      </x:c>
      <x:c r="B6" t="str">
        <x:v>capacidade → jornada → performance → output</x:v>
      </x:c>
      <x:c r="C6" t="str">
        <x:v>prontidão, gap, conclusão</x:v>
      </x:c>
      <x:c r="D6" t="str">
        <x:v>ganho de produtividade</x:v>
      </x:c>
      <x:c r="E6" t="str">
        <x:v>pessoas × custo anual carregado × % ganho × atribuição</x:v>
      </x:c>
      <x:c r="F6" t="str">
        <x:v>custo, população, baseline, cohort</x:v>
      </x:c>
      <x:c r="G6" t="str">
        <x:v>pré/pós com comparável</x:v>
      </x:c>
      <x:c r="H6" t="str">
        <x:v>não somar horas e produtividade se representam o mesmo efeito</x:v>
      </x:c>
      <x:c r="I6" t="str">
        <x:v>RH / CFO</x:v>
      </x:c>
      <x:c r="J6" t="str">
        <x:v>escalar jornadas com efeito</x:v>
      </x:c>
    </x:row>
    <x:row r="7">
      <x:c r="A7" t="str">
        <x:v>Time-to-productivity</x:v>
      </x:c>
      <x:c r="B7" t="str">
        <x:v>match → contratação → onboarding → marco</x:v>
      </x:c>
      <x:c r="C7" t="str">
        <x:v>fit, aceitação, conclusão</x:v>
      </x:c>
      <x:c r="D7" t="str">
        <x:v>dias até produtividade</x:v>
      </x:c>
      <x:c r="E7" t="str">
        <x:v>dias reduzidos × custo diário × pessoas × atribuição</x:v>
      </x:c>
      <x:c r="F7" t="str">
        <x:v>data admissão, marco, custo diário</x:v>
      </x:c>
      <x:c r="G7" t="str">
        <x:v>cohort histórico ajustado</x:v>
      </x:c>
      <x:c r="H7" t="str">
        <x:v>não somar ao ganho anual no período sobreposto</x:v>
      </x:c>
      <x:c r="I7" t="str">
        <x:v>RH / Operação</x:v>
      </x:c>
      <x:c r="J7" t="str">
        <x:v>melhorar onboarding e matching</x:v>
      </x:c>
    </x:row>
    <x:row r="8">
      <x:c r="A8" t="str">
        <x:v>Retenção</x:v>
      </x:c>
      <x:c r="B8" t="str">
        <x:v>experiência → capacidade → pertencimento → permanência</x:v>
      </x:c>
      <x:c r="C8" t="str">
        <x:v>adoção, NPS, evolução</x:v>
      </x:c>
      <x:c r="D8" t="str">
        <x:v>turnover evitado</x:v>
      </x:c>
      <x:c r="E8" t="str">
        <x:v>pessoas × redução turnover × custo reposição × atribuição</x:v>
      </x:c>
      <x:c r="F8" t="str">
        <x:v>turnover, custo reposição, exposição</x:v>
      </x:c>
      <x:c r="G8" t="str">
        <x:v>diferença-em-diferenças</x:v>
      </x:c>
      <x:c r="H8" t="str">
        <x:v>não somar vaga evitada e reposição da mesma pessoa</x:v>
      </x:c>
      <x:c r="I8" t="str">
        <x:v>RH / CFO</x:v>
      </x:c>
      <x:c r="J8" t="str">
        <x:v>priorizar cohorts de risco</x:v>
      </x:c>
    </x:row>
    <x:row r="9">
      <x:c r="A9" t="str">
        <x:v>Recrutamento</x:v>
      </x:c>
      <x:c r="B9" t="str">
        <x:v>dados → matching → shortlist → contratação</x:v>
      </x:c>
      <x:c r="C9" t="str">
        <x:v>precisão do match, fit</x:v>
      </x:c>
      <x:c r="D9" t="str">
        <x:v>time-to-fill e custo por contratação</x:v>
      </x:c>
      <x:c r="E9" t="str">
        <x:v>dias evitados × custo de vacância + custo operacional evitado</x:v>
      </x:c>
      <x:c r="F9" t="str">
        <x:v>ATS, custo, datas, origem</x:v>
      </x:c>
      <x:c r="G9" t="str">
        <x:v>cohort de vagas comparáveis</x:v>
      </x:c>
      <x:c r="H9" t="str">
        <x:v>separar custo operacional de vacância</x:v>
      </x:c>
      <x:c r="I9" t="str">
        <x:v>Talent Acquisition</x:v>
      </x:c>
      <x:c r="J9" t="str">
        <x:v>otimizar canais e regras</x:v>
      </x:c>
    </x:row>
    <x:row r="10">
      <x:c r="A10" t="str">
        <x:v>Compras</x:v>
      </x:c>
      <x:c r="B10" t="str">
        <x:v>demanda → match → homologação → contrato</x:v>
      </x:c>
      <x:c r="C10" t="str">
        <x:v>cobertura, elegibilidade</x:v>
      </x:c>
      <x:c r="D10" t="str">
        <x:v>ciclo e saving</x:v>
      </x:c>
      <x:c r="E10" t="str">
        <x:v>saving validado + custo de ciclo evitado</x:v>
      </x:c>
      <x:c r="F10" t="str">
        <x:v>preço referência, realizado, volume, horas</x:v>
      </x:c>
      <x:c r="G10" t="str">
        <x:v>comparação por categoria</x:v>
      </x:c>
      <x:c r="H10" t="str">
        <x:v>não somar desconto e margem se mesmo efeito</x:v>
      </x:c>
      <x:c r="I10" t="str">
        <x:v>Compras / CFO</x:v>
      </x:c>
      <x:c r="J10" t="str">
        <x:v>escalar categorias com prova</x:v>
      </x:c>
    </x:row>
    <x:row r="11">
      <x:c r="A11" t="str">
        <x:v>Risco</x:v>
      </x:c>
      <x:c r="B11" t="str">
        <x:v>diagnóstico → alerta → controle → risco residual</x:v>
      </x:c>
      <x:c r="C11" t="str">
        <x:v>cobertura, severidade</x:v>
      </x:c>
      <x:c r="D11" t="str">
        <x:v>perda esperada reduzida</x:v>
      </x:c>
      <x:c r="E11" t="str">
        <x:v>probabilidade × impacto × delta de risco × atribuição</x:v>
      </x:c>
      <x:c r="F11" t="str">
        <x:v>matriz de risco, incidentes, controles</x:v>
      </x:c>
      <x:c r="G11" t="str">
        <x:v>baseline e revisão de especialista</x:v>
      </x:c>
      <x:c r="H11" t="str">
        <x:v>não somar custo real e risco esperado do mesmo evento</x:v>
      </x:c>
      <x:c r="I11" t="str">
        <x:v>Riscos / Jurídico</x:v>
      </x:c>
      <x:c r="J11" t="str">
        <x:v>priorizar mitigação</x:v>
      </x:c>
    </x:row>
    <x:row r="12">
      <x:c r="A12" t="str">
        <x:v>Receita incremental</x:v>
      </x:c>
      <x:c r="B12" t="str">
        <x:v>sinal → oportunidade → ação → contrato</x:v>
      </x:c>
      <x:c r="C12" t="str">
        <x:v>propensão, pipeline</x:v>
      </x:c>
      <x:c r="D12" t="str">
        <x:v>negócio incremental</x:v>
      </x:c>
      <x:c r="E12" t="str">
        <x:v>receita incremental × margem de contribuição × atribuição</x:v>
      </x:c>
      <x:c r="F12" t="str">
        <x:v>touchpoints, contrato, margem, baseline</x:v>
      </x:c>
      <x:c r="G12" t="str">
        <x:v>holdout, geo ou cohort</x:v>
      </x:c>
      <x:c r="H12" t="str">
        <x:v>monetizar margem; receita é informativa</x:v>
      </x:c>
      <x:c r="I12" t="str">
        <x:v>Comercial / CFO</x:v>
      </x:c>
      <x:c r="J12" t="str">
        <x:v>investir em canais e ofertas</x:v>
      </x:c>
    </x:row>
    <x:row r="13">
      <x:c r="A13" t="str">
        <x:v>Receita recorrente HUB</x:v>
      </x:c>
      <x:c r="B13" t="str">
        <x:v>ativação → valor → renovação → expansão</x:v>
      </x:c>
      <x:c r="C13" t="str">
        <x:v>time-to-value, uso</x:v>
      </x:c>
      <x:c r="D13" t="str">
        <x:v>MRR, NRR, churn</x:v>
      </x:c>
      <x:c r="E13" t="str">
        <x:v>MRR inicial + expansão − contração − churn</x:v>
      </x:c>
      <x:c r="F13" t="str">
        <x:v>billing, CRM, uso, plano</x:v>
      </x:c>
      <x:c r="G13" t="str">
        <x:v>cohort de clientes</x:v>
      </x:c>
      <x:c r="H13" t="str">
        <x:v>não somar ARR e MRR anualizado</x:v>
      </x:c>
      <x:c r="I13" t="str">
        <x:v>CEO HUB</x:v>
      </x:c>
      <x:c r="J13" t="str">
        <x:v>produto, preço e CS</x:v>
      </x:c>
    </x:row>
    <x:row r="14">
      <x:c r="A14" t="str">
        <x:v>Marketplace</x:v>
      </x:c>
      <x:c r="B14" t="str">
        <x:v>oferta → match → contrato → transação</x:v>
      </x:c>
      <x:c r="C14" t="str">
        <x:v>cobertura, conversão</x:v>
      </x:c>
      <x:c r="D14" t="str">
        <x:v>GMV e take rate</x:v>
      </x:c>
      <x:c r="E14" t="str">
        <x:v>GMV elegível × take rate − custos variáveis</x:v>
      </x:c>
      <x:c r="F14" t="str">
        <x:v>contrato, transação, origem</x:v>
      </x:c>
      <x:c r="G14" t="str">
        <x:v>rastreabilidade do match</x:v>
      </x:c>
      <x:c r="H14" t="str">
        <x:v>separar GMV de receita HUB</x:v>
      </x:c>
      <x:c r="I14" t="str">
        <x:v>Marketplace</x:v>
      </x:c>
      <x:c r="J14" t="str">
        <x:v>liquidez e monetização</x:v>
      </x:c>
    </x:row>
    <x:row r="15">
      <x:c r="A15" t="str">
        <x:v>Entidade</x:v>
      </x:c>
      <x:c r="B15" t="str">
        <x:v>dados → benchmark → serviço → renovação</x:v>
      </x:c>
      <x:c r="C15" t="str">
        <x:v>cobertura, ativação</x:v>
      </x:c>
      <x:c r="D15" t="str">
        <x:v>valor por associado e renovação</x:v>
      </x:c>
      <x:c r="E15" t="str">
        <x:v>renovações incrementais × ARR médio × margem</x:v>
      </x:c>
      <x:c r="F15" t="str">
        <x:v>associados, uso, contrato, benefício</x:v>
      </x:c>
      <x:c r="G15" t="str">
        <x:v>cohort por tier</x:v>
      </x:c>
      <x:c r="H15" t="str">
        <x:v>não somar benefício do associado à receita da entidade</x:v>
      </x:c>
      <x:c r="I15" t="str">
        <x:v>Firjan / entidades</x:v>
      </x:c>
      <x:c r="J15" t="str">
        <x:v>portfólio de serviços</x:v>
      </x:c>
    </x:row>
    <x:row r="16">
      <x:c r="A16" t="str">
        <x:v>Marketing</x:v>
      </x:c>
      <x:c r="B16" t="str">
        <x:v>alcance → lead → oportunidade → contrato</x:v>
      </x:c>
      <x:c r="C16" t="str">
        <x:v>alcance qualificado, CPL</x:v>
      </x:c>
      <x:c r="D16" t="str">
        <x:v>pipeline e margem incremental</x:v>
      </x:c>
      <x:c r="E16" t="str">
        <x:v>delta conversão × volume × ticket × margem × atribuição</x:v>
      </x:c>
      <x:c r="F16" t="str">
        <x:v>UTM, CRM, custo, margem</x:v>
      </x:c>
      <x:c r="G16" t="str">
        <x:v>holdout/campanha comparável</x:v>
      </x:c>
      <x:c r="H16" t="str">
        <x:v>não somar pipeline e receita fechada</x:v>
      </x:c>
      <x:c r="I16" t="str">
        <x:v>Marketing / RevOps</x:v>
      </x:c>
      <x:c r="J16" t="str">
        <x:v>mix de mídia</x:v>
      </x:c>
    </x:row>
    <x:row r="17">
      <x:c r="A17" t="str">
        <x:v>Inovação / novos mercados</x:v>
      </x:c>
      <x:c r="B17" t="str">
        <x:v>rede → conexão → piloto → receita</x:v>
      </x:c>
      <x:c r="C17" t="str">
        <x:v>densidade, matches</x:v>
      </x:c>
      <x:c r="D17" t="str">
        <x:v>novos produtos/mercados</x:v>
      </x:c>
      <x:c r="E17" t="str">
        <x:v>margem incremental dos negócios com origem rastreada</x:v>
      </x:c>
      <x:c r="F17" t="str">
        <x:v>origem, projeto, contrato, margem</x:v>
      </x:c>
      <x:c r="G17" t="str">
        <x:v>contrafactual documentado</x:v>
      </x:c>
      <x:c r="H17" t="str">
        <x:v>separar receita existente de expansão</x:v>
      </x:c>
      <x:c r="I17" t="str">
        <x:v>Estratégia</x:v>
      </x:c>
      <x:c r="J17" t="str">
        <x:v>replicar casos</x:v>
      </x:c>
    </x:row>
  </x:sheetData>
  <x:pageSetup fitToWidth="1" fitToHeight="0" orientation="landscape"/>
</x:worksheet>
</file>

<file path=xl/worksheets/sheet8.xml><?xml version="1.0" encoding="utf-8"?>
<x:worksheet xmlns:x="http://schemas.openxmlformats.org/spreadsheetml/2006/main">
  <x:sheetPr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</x:cols>
  <x:sheetData>
    <x:row r="1">
      <x:c r="A1" t="str">
        <x:v>Simulador financeiro | cliente e HUB</x:v>
      </x:c>
    </x:row>
    <x:row r="3">
      <x:c r="A3" t="str">
        <x:v>Células amarelas são premissas editáveis. Valores atuais são exemplos ilustrativos.</x:v>
      </x:c>
    </x:row>
    <x:row r="5">
      <x:c r="A5" t="str">
        <x:v>A. Premissas do cliente</x:v>
      </x:c>
      <x:c r="G5" t="str">
        <x:v>B. Valor financeiro atribuído</x:v>
      </x:c>
    </x:row>
    <x:row r="7">
      <x:c r="A7" t="str">
        <x:v>Chave</x:v>
      </x:c>
      <x:c r="B7" t="str">
        <x:v>Premissa</x:v>
      </x:c>
      <x:c r="C7" t="str">
        <x:v>Valor</x:v>
      </x:c>
      <x:c r="D7" t="str">
        <x:v>Unidade</x:v>
      </x:c>
      <x:c r="E7" t="str">
        <x:v>Observação</x:v>
      </x:c>
      <x:c r="G7" t="str">
        <x:v>Alavanca</x:v>
      </x:c>
      <x:c r="H7" t="str">
        <x:v>Benefício anual</x:v>
      </x:c>
      <x:c r="I7" t="str">
        <x:v>Regra</x:v>
      </x:c>
    </x:row>
    <x:row r="8">
      <x:c r="A8" t="str">
        <x:v>invest_licenca</x:v>
      </x:c>
      <x:c r="B8" t="str">
        <x:v>Licença anual HUB</x:v>
      </x:c>
      <x:c r="C8">
        <x:v>600000</x:v>
      </x:c>
      <x:c r="D8" t="str">
        <x:v>R$</x:v>
      </x:c>
      <x:c r="E8" t="str">
        <x:v>Investimento pago à HUB</x:v>
      </x:c>
      <x:c r="G8" t="str">
        <x:v>Produtividade</x:v>
      </x:c>
      <x:c r="H8">
        <x:f>C11*C12*C13*C14</x:f>
        <x:v>360000</x:v>
      </x:c>
      <x:c r="I8" t="str">
        <x:v>Após fator de atribuição</x:v>
      </x:c>
    </x:row>
    <x:row r="9">
      <x:c r="A9" t="str">
        <x:v>invest_servicos</x:v>
      </x:c>
      <x:c r="B9" t="str">
        <x:v>Serviços / implementação</x:v>
      </x:c>
      <x:c r="C9">
        <x:v>250000</x:v>
      </x:c>
      <x:c r="D9" t="str">
        <x:v>R$</x:v>
      </x:c>
      <x:c r="E9" t="str">
        <x:v>Projetos e implantação</x:v>
      </x:c>
      <x:c r="G9" t="str">
        <x:v>Ciclo de contratação</x:v>
      </x:c>
      <x:c r="H9">
        <x:f>C15*C16*C17*C18</x:f>
        <x:v>160000</x:v>
      </x:c>
      <x:c r="I9" t="str">
        <x:v>Após fator de atribuição</x:v>
      </x:c>
    </x:row>
    <x:row r="10">
      <x:c r="A10" t="str">
        <x:v>invest_interno</x:v>
      </x:c>
      <x:c r="B10" t="str">
        <x:v>Custo interno do cliente</x:v>
      </x:c>
      <x:c r="C10">
        <x:v>100000</x:v>
      </x:c>
      <x:c r="D10" t="str">
        <x:v>R$</x:v>
      </x:c>
      <x:c r="E10" t="str">
        <x:v>Horas, integração e mudança</x:v>
      </x:c>
      <x:c r="G10" t="str">
        <x:v>Retenção</x:v>
      </x:c>
      <x:c r="H10">
        <x:f>C11*MAX(0,C19-C20)*C21*C22</x:f>
        <x:v>360000</x:v>
      </x:c>
      <x:c r="I10" t="str">
        <x:v>Após fator de atribuição</x:v>
      </x:c>
    </x:row>
    <x:row r="11">
      <x:c r="A11" t="str">
        <x:v>pessoas</x:v>
      </x:c>
      <x:c r="B11" t="str">
        <x:v>Pessoas impactadas</x:v>
      </x:c>
      <x:c r="C11">
        <x:v>500</x:v>
      </x:c>
      <x:c r="D11" t="str">
        <x:v>pessoas</x:v>
      </x:c>
      <x:c r="E11" t="str">
        <x:v>População elegível</x:v>
      </x:c>
      <x:c r="G11" t="str">
        <x:v>Compras</x:v>
      </x:c>
      <x:c r="H11">
        <x:f>C23*C24*C25</x:f>
        <x:v>125000</x:v>
      </x:c>
      <x:c r="I11" t="str">
        <x:v>Após fator de atribuição</x:v>
      </x:c>
    </x:row>
    <x:row r="12">
      <x:c r="A12" t="str">
        <x:v>custo_anual</x:v>
      </x:c>
      <x:c r="B12" t="str">
        <x:v>Custo anual carregado por pessoa</x:v>
      </x:c>
      <x:c r="C12">
        <x:v>120000</x:v>
      </x:c>
      <x:c r="D12" t="str">
        <x:v>R$/ano</x:v>
      </x:c>
      <x:c r="E12" t="str">
        <x:v>Salário + encargos + estrutura</x:v>
      </x:c>
      <x:c r="G12" t="str">
        <x:v>Risco evitado</x:v>
      </x:c>
      <x:c r="H12">
        <x:f>C26*C27*C28</x:f>
        <x:v>40000</x:v>
      </x:c>
      <x:c r="I12" t="str">
        <x:v>Após fator de atribuição</x:v>
      </x:c>
    </x:row>
    <x:row r="13">
      <x:c r="A13" t="str">
        <x:v>ganho_prod</x:v>
      </x:c>
      <x:c r="B13" t="str">
        <x:v>Ganho de produtividade</x:v>
      </x:c>
      <x:c r="C13">
        <x:v>0.02</x:v>
      </x:c>
      <x:c r="D13" t="str">
        <x:v>%</x:v>
      </x:c>
      <x:c r="E13" t="str">
        <x:v>Efeito anual estimado</x:v>
      </x:c>
      <x:c r="G13" t="str">
        <x:v>Margem incremental</x:v>
      </x:c>
      <x:c r="H13">
        <x:f>C29*C30*C31</x:f>
        <x:v>175000</x:v>
      </x:c>
      <x:c r="I13" t="str">
        <x:v>Após fator de atribuição</x:v>
      </x:c>
    </x:row>
    <x:row r="14">
      <x:c r="A14" t="str">
        <x:v>attr_prod</x:v>
      </x:c>
      <x:c r="B14" t="str">
        <x:v>Atribuição HUB — produtividade</x:v>
      </x:c>
      <x:c r="C14">
        <x:v>0.3</x:v>
      </x:c>
      <x:c r="D14" t="str">
        <x:v>%</x:v>
      </x:c>
      <x:c r="E14" t="str">
        <x:v>Parcela sustentada pela evidência</x:v>
      </x:c>
    </x:row>
    <x:row r="15">
      <x:c r="A15" t="str">
        <x:v>contratacoes</x:v>
      </x:c>
      <x:c r="B15" t="str">
        <x:v>Contratações anuais</x:v>
      </x:c>
      <x:c r="C15">
        <x:v>100</x:v>
      </x:c>
      <x:c r="D15" t="str">
        <x:v>contratações</x:v>
      </x:c>
      <x:c r="E15" t="str">
        <x:v>Vagas comparáveis</x:v>
      </x:c>
    </x:row>
    <x:row r="16">
      <x:c r="A16" t="str">
        <x:v>dias_vaga</x:v>
      </x:c>
      <x:c r="B16" t="str">
        <x:v>Dias de vacância reduzidos</x:v>
      </x:c>
      <x:c r="C16">
        <x:v>8</x:v>
      </x:c>
      <x:c r="D16" t="str">
        <x:v>dias</x:v>
      </x:c>
      <x:c r="E16" t="str">
        <x:v>Delta vs. baseline</x:v>
      </x:c>
      <x:c r="G16" t="str">
        <x:v>Benefício bruto anual</x:v>
      </x:c>
      <x:c r="H16">
        <x:f>SUM(H8:H13)</x:f>
        <x:v>1220000</x:v>
      </x:c>
    </x:row>
    <x:row r="17">
      <x:c r="A17" t="str">
        <x:v>custo_vaga_dia</x:v>
      </x:c>
      <x:c r="B17" t="str">
        <x:v>Custo diário da vaga</x:v>
      </x:c>
      <x:c r="C17">
        <x:v>500</x:v>
      </x:c>
      <x:c r="D17" t="str">
        <x:v>R$/dia</x:v>
      </x:c>
      <x:c r="E17" t="str">
        <x:v>Perda/overload por dia</x:v>
      </x:c>
      <x:c r="G17" t="str">
        <x:v>Investimento total</x:v>
      </x:c>
      <x:c r="H17">
        <x:f>C8+C9+C10</x:f>
        <x:v>950000</x:v>
      </x:c>
    </x:row>
    <x:row r="18">
      <x:c r="A18" t="str">
        <x:v>attr_vaga</x:v>
      </x:c>
      <x:c r="B18" t="str">
        <x:v>Atribuição HUB — contratação</x:v>
      </x:c>
      <x:c r="C18">
        <x:v>0.4</x:v>
      </x:c>
      <x:c r="D18" t="str">
        <x:v>%</x:v>
      </x:c>
      <x:c r="E18" t="str">
        <x:v>Parcela sustentada pela evidência</x:v>
      </x:c>
      <x:c r="G18" t="str">
        <x:v>Benefício líquido</x:v>
      </x:c>
      <x:c r="H18">
        <x:f>H16-H17</x:f>
        <x:v>270000</x:v>
      </x:c>
    </x:row>
    <x:row r="19">
      <x:c r="A19" t="str">
        <x:v>turnover_base</x:v>
      </x:c>
      <x:c r="B19" t="str">
        <x:v>Turnover baseline</x:v>
      </x:c>
      <x:c r="C19">
        <x:v>0.18</x:v>
      </x:c>
      <x:c r="D19" t="str">
        <x:v>%</x:v>
      </x:c>
      <x:c r="E19" t="str">
        <x:v>Janela anual</x:v>
      </x:c>
      <x:c r="G19" t="str">
        <x:v>ROI</x:v>
      </x:c>
      <x:c r="H19">
        <x:f>IFERROR(H18/H17,0)</x:f>
        <x:v>0.28421052631579</x:v>
      </x:c>
    </x:row>
    <x:row r="20">
      <x:c r="A20" t="str">
        <x:v>turnover_pos</x:v>
      </x:c>
      <x:c r="B20" t="str">
        <x:v>Turnover após intervenção</x:v>
      </x:c>
      <x:c r="C20">
        <x:v>0.15</x:v>
      </x:c>
      <x:c r="D20" t="str">
        <x:v>%</x:v>
      </x:c>
      <x:c r="E20" t="str">
        <x:v>Mesmo cohort / janela</x:v>
      </x:c>
      <x:c r="G20" t="str">
        <x:v>Payback</x:v>
      </x:c>
      <x:c r="H20">
        <x:f>IFERROR(H17/(H16/12),0)</x:f>
        <x:v>9.34426229508197</x:v>
      </x:c>
    </x:row>
    <x:row r="21">
      <x:c r="A21" t="str">
        <x:v>custo_reposicao</x:v>
      </x:c>
      <x:c r="B21" t="str">
        <x:v>Custo de reposição</x:v>
      </x:c>
      <x:c r="C21">
        <x:v>60000</x:v>
      </x:c>
      <x:c r="D21" t="str">
        <x:v>R$/saída</x:v>
      </x:c>
      <x:c r="E21" t="str">
        <x:v>Recrutamento + ramp-up</x:v>
      </x:c>
    </x:row>
    <x:row r="22">
      <x:c r="A22" t="str">
        <x:v>attr_retencao</x:v>
      </x:c>
      <x:c r="B22" t="str">
        <x:v>Atribuição HUB — retenção</x:v>
      </x:c>
      <x:c r="C22">
        <x:v>0.4</x:v>
      </x:c>
      <x:c r="D22" t="str">
        <x:v>%</x:v>
      </x:c>
      <x:c r="E22" t="str">
        <x:v>Parcela sustentada pela evidência</x:v>
      </x:c>
    </x:row>
    <x:row r="23">
      <x:c r="A23" t="str">
        <x:v>spend</x:v>
      </x:c>
      <x:c r="B23" t="str">
        <x:v>Spend endereçado</x:v>
      </x:c>
      <x:c r="C23">
        <x:v>10000000</x:v>
      </x:c>
      <x:c r="D23" t="str">
        <x:v>R$</x:v>
      </x:c>
      <x:c r="E23" t="str">
        <x:v>Compras dentro do escopo</x:v>
      </x:c>
      <x:c r="G23" t="str">
        <x:v>C. Cenários de sensibilidade</x:v>
      </x:c>
    </x:row>
    <x:row r="24">
      <x:c r="A24" t="str">
        <x:v>saving_rate</x:v>
      </x:c>
      <x:c r="B24" t="str">
        <x:v>Saving comprovado</x:v>
      </x:c>
      <x:c r="C24">
        <x:v>0.025</x:v>
      </x:c>
      <x:c r="D24" t="str">
        <x:v>%</x:v>
      </x:c>
      <x:c r="E24" t="str">
        <x:v>Vs. referência validada</x:v>
      </x:c>
    </x:row>
    <x:row r="25">
      <x:c r="A25" t="str">
        <x:v>attr_compras</x:v>
      </x:c>
      <x:c r="B25" t="str">
        <x:v>Atribuição HUB — compras</x:v>
      </x:c>
      <x:c r="C25">
        <x:v>0.5</x:v>
      </x:c>
      <x:c r="D25" t="str">
        <x:v>%</x:v>
      </x:c>
      <x:c r="E25" t="str">
        <x:v>Parcela sustentada pela evidência</x:v>
      </x:c>
      <x:c r="G25" t="str">
        <x:v>Cenário</x:v>
      </x:c>
      <x:c r="H25" t="str">
        <x:v>Multiplicador dos benefícios</x:v>
      </x:c>
      <x:c r="I25" t="str">
        <x:v>Benefício bruto</x:v>
      </x:c>
      <x:c r="J25" t="str">
        <x:v>Investimento</x:v>
      </x:c>
      <x:c r="K25" t="str">
        <x:v>ROI</x:v>
      </x:c>
      <x:c r="L25" t="str">
        <x:v>Payback</x:v>
      </x:c>
    </x:row>
    <x:row r="26">
      <x:c r="A26" t="str">
        <x:v>perda_esperada</x:v>
      </x:c>
      <x:c r="B26" t="str">
        <x:v>Perda esperada baseline</x:v>
      </x:c>
      <x:c r="C26">
        <x:v>400000</x:v>
      </x:c>
      <x:c r="D26" t="str">
        <x:v>R$</x:v>
      </x:c>
      <x:c r="E26" t="str">
        <x:v>Probabilidade × impacto</x:v>
      </x:c>
      <x:c r="G26" t="str">
        <x:v>Conservador</x:v>
      </x:c>
      <x:c r="H26">
        <x:v>0.7</x:v>
      </x:c>
      <x:c r="I26">
        <x:f>$H$16*H26</x:f>
        <x:v>854000</x:v>
      </x:c>
      <x:c r="J26">
        <x:f>$H$17</x:f>
        <x:v>950000</x:v>
      </x:c>
      <x:c r="K26">
        <x:f>IFERROR((I26-J26)/J26,0)</x:f>
        <x:v>-0.101052631578947</x:v>
      </x:c>
      <x:c r="L26">
        <x:f>IFERROR(J26/(I26/12),0)</x:f>
        <x:v>13.3489461358314</x:v>
      </x:c>
    </x:row>
    <x:row r="27">
      <x:c r="A27" t="str">
        <x:v>reducao_risco</x:v>
      </x:c>
      <x:c r="B27" t="str">
        <x:v>Redução do risco</x:v>
      </x:c>
      <x:c r="C27">
        <x:v>0.2</x:v>
      </x:c>
      <x:c r="D27" t="str">
        <x:v>%</x:v>
      </x:c>
      <x:c r="E27" t="str">
        <x:v>Delta de perda esperada</x:v>
      </x:c>
      <x:c r="G27" t="str">
        <x:v>Base</x:v>
      </x:c>
      <x:c r="H27">
        <x:v>1</x:v>
      </x:c>
      <x:c r="I27">
        <x:f>$H$16*H27</x:f>
        <x:v>1220000</x:v>
      </x:c>
      <x:c r="J27">
        <x:f>$H$17</x:f>
        <x:v>950000</x:v>
      </x:c>
      <x:c r="K27">
        <x:f>IFERROR((I27-J27)/J27,0)</x:f>
        <x:v>0.28421052631579</x:v>
      </x:c>
      <x:c r="L27">
        <x:f>IFERROR(J27/(I27/12),0)</x:f>
        <x:v>9.34426229508197</x:v>
      </x:c>
    </x:row>
    <x:row r="28">
      <x:c r="A28" t="str">
        <x:v>attr_risco</x:v>
      </x:c>
      <x:c r="B28" t="str">
        <x:v>Atribuição HUB — risco</x:v>
      </x:c>
      <x:c r="C28">
        <x:v>0.5</x:v>
      </x:c>
      <x:c r="D28" t="str">
        <x:v>%</x:v>
      </x:c>
      <x:c r="E28" t="str">
        <x:v>Parcela sustentada pela evidência</x:v>
      </x:c>
      <x:c r="G28" t="str">
        <x:v>Ambicioso</x:v>
      </x:c>
      <x:c r="H28">
        <x:v>1.3</x:v>
      </x:c>
      <x:c r="I28">
        <x:f>$H$16*H28</x:f>
        <x:v>1586000</x:v>
      </x:c>
      <x:c r="J28">
        <x:f>$H$17</x:f>
        <x:v>950000</x:v>
      </x:c>
      <x:c r="K28">
        <x:f>IFERROR((I28-J28)/J28,0)</x:f>
        <x:v>0.669473684210526</x:v>
      </x:c>
      <x:c r="L28">
        <x:f>IFERROR(J28/(I28/12),0)</x:f>
        <x:v>7.18789407313998</x:v>
      </x:c>
    </x:row>
    <x:row r="29">
      <x:c r="A29" t="str">
        <x:v>pipeline</x:v>
      </x:c>
      <x:c r="B29" t="str">
        <x:v>Receita incremental elegível</x:v>
      </x:c>
      <x:c r="C29">
        <x:v>2000000</x:v>
      </x:c>
      <x:c r="D29" t="str">
        <x:v>R$</x:v>
      </x:c>
      <x:c r="E29" t="str">
        <x:v>Somente delta incremental</x:v>
      </x:c>
    </x:row>
    <x:row r="30">
      <x:c r="A30" t="str">
        <x:v>margem_cliente</x:v>
      </x:c>
      <x:c r="B30" t="str">
        <x:v>Margem de contribuição do cliente</x:v>
      </x:c>
      <x:c r="C30">
        <x:v>0.35</x:v>
      </x:c>
      <x:c r="D30" t="str">
        <x:v>%</x:v>
      </x:c>
      <x:c r="E30" t="str">
        <x:v>Margem aplicada à receita</x:v>
      </x:c>
    </x:row>
    <x:row r="31">
      <x:c r="A31" t="str">
        <x:v>attr_receita</x:v>
      </x:c>
      <x:c r="B31" t="str">
        <x:v>Atribuição HUB — receita</x:v>
      </x:c>
      <x:c r="C31">
        <x:v>0.25</x:v>
      </x:c>
      <x:c r="D31" t="str">
        <x:v>%</x:v>
      </x:c>
      <x:c r="E31" t="str">
        <x:v>Parcela sustentada pela evidência</x:v>
      </x:c>
    </x:row>
    <x:row r="33">
      <x:c r="G33" t="str">
        <x:v>D. Unit economics da HUB</x:v>
      </x:c>
    </x:row>
    <x:row r="35">
      <x:c r="G35" t="str">
        <x:v>Premissa</x:v>
      </x:c>
      <x:c r="H35" t="str">
        <x:v>Valor</x:v>
      </x:c>
      <x:c r="I35" t="str">
        <x:v>Unidade</x:v>
      </x:c>
      <x:c r="J35" t="str">
        <x:v>Indicador calculado</x:v>
      </x:c>
      <x:c r="K35" t="str">
        <x:v>Resultado</x:v>
      </x:c>
      <x:c r="L35" t="str">
        <x:v>Fórmula</x:v>
      </x:c>
    </x:row>
    <x:row r="36">
      <x:c r="G36" t="str">
        <x:v>Clientes ativos</x:v>
      </x:c>
      <x:c r="H36">
        <x:v>15</x:v>
      </x:c>
      <x:c r="I36" t="str">
        <x:v>clientes</x:v>
      </x:c>
      <x:c r="J36" t="str">
        <x:v>ARPA mensal</x:v>
      </x:c>
      <x:c r="K36">
        <x:f>IFERROR(H37/H36,0)</x:f>
        <x:v>5333.33333333333</x:v>
      </x:c>
      <x:c r="L36" t="str">
        <x:v>MRR / clientes</x:v>
      </x:c>
    </x:row>
    <x:row r="37">
      <x:c r="G37" t="str">
        <x:v>MRR</x:v>
      </x:c>
      <x:c r="H37">
        <x:v>80000</x:v>
      </x:c>
      <x:c r="I37" t="str">
        <x:v>R$/mês</x:v>
      </x:c>
      <x:c r="J37" t="str">
        <x:v>Receita marketplace</x:v>
      </x:c>
      <x:c r="K37">
        <x:f>H39*H40</x:f>
        <x:v>16000</x:v>
      </x:c>
      <x:c r="L37" t="str">
        <x:v>GMV × take rate</x:v>
      </x:c>
    </x:row>
    <x:row r="38">
      <x:c r="G38" t="str">
        <x:v>Receita mensal de serviços</x:v>
      </x:c>
      <x:c r="H38">
        <x:v>20000</x:v>
      </x:c>
      <x:c r="I38" t="str">
        <x:v>R$/mês</x:v>
      </x:c>
      <x:c r="J38" t="str">
        <x:v>Receita mensal total</x:v>
      </x:c>
      <x:c r="K38">
        <x:f>H37+H38+K37</x:f>
        <x:v>116000</x:v>
      </x:c>
      <x:c r="L38" t="str">
        <x:v>MRR + serviços + marketplace</x:v>
      </x:c>
    </x:row>
    <x:row r="39">
      <x:c r="G39" t="str">
        <x:v>GMV mensal</x:v>
      </x:c>
      <x:c r="H39">
        <x:v>200000</x:v>
      </x:c>
      <x:c r="I39" t="str">
        <x:v>R$/mês</x:v>
      </x:c>
      <x:c r="J39" t="str">
        <x:v>LTV</x:v>
      </x:c>
      <x:c r="K39">
        <x:f>IFERROR((K36*H41)/H43,0)</x:f>
        <x:v>186666.666666667</x:v>
      </x:c>
      <x:c r="L39" t="str">
        <x:v>ARPA × margem / churn</x:v>
      </x:c>
    </x:row>
    <x:row r="40">
      <x:c r="G40" t="str">
        <x:v>Take rate</x:v>
      </x:c>
      <x:c r="H40">
        <x:v>0.08</x:v>
      </x:c>
      <x:c r="I40" t="str">
        <x:v>%</x:v>
      </x:c>
      <x:c r="J40" t="str">
        <x:v>LTV/CAC</x:v>
      </x:c>
      <x:c r="K40">
        <x:f>IFERROR(K39/H42,0)</x:f>
        <x:v>5.33333333333333</x:v>
      </x:c>
      <x:c r="L40" t="str">
        <x:v>LTV / CAC</x:v>
      </x:c>
    </x:row>
    <x:row r="41">
      <x:c r="G41" t="str">
        <x:v>Margem bruta</x:v>
      </x:c>
      <x:c r="H41">
        <x:v>0.7</x:v>
      </x:c>
      <x:c r="I41" t="str">
        <x:v>%</x:v>
      </x:c>
      <x:c r="J41" t="str">
        <x:v>Payback CAC</x:v>
      </x:c>
      <x:c r="K41">
        <x:f>IFERROR(H42/(K36*H41),0)</x:f>
        <x:v>9.375</x:v>
      </x:c>
      <x:c r="L41" t="str">
        <x:v>CAC / margem mensal por cliente</x:v>
      </x:c>
    </x:row>
    <x:row r="42">
      <x:c r="G42" t="str">
        <x:v>CAC</x:v>
      </x:c>
      <x:c r="H42">
        <x:v>35000</x:v>
      </x:c>
      <x:c r="I42" t="str">
        <x:v>R$/cliente</x:v>
      </x:c>
    </x:row>
    <x:row r="43">
      <x:c r="G43" t="str">
        <x:v>Churn mensal</x:v>
      </x:c>
      <x:c r="H43">
        <x:v>0.02</x:v>
      </x:c>
      <x:c r="I43" t="str">
        <x:v>%</x:v>
      </x:c>
    </x:row>
  </x:sheetData>
  <x:pageSetup fitToWidth="1" fitToHeight="0" orientation="landscape"/>
</x:worksheet>
</file>

<file path=xl/worksheets/sheet9.xml><?xml version="1.0" encoding="utf-8"?>
<x:worksheet xmlns:x="http://schemas.openxmlformats.org/spreadsheetml/2006/main">
  <x:sheetPr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</x:cols>
  <x:sheetData>
    <x:row r="1">
      <x:c r="A1" t="str">
        <x:v>Visões e dashboards da plataforma</x:v>
      </x:c>
    </x:row>
    <x:row r="3">
      <x:c r="A3" t="str">
        <x:v>Cada visão começa por uma decisão; o KPI só entra se mudar uma ação.</x:v>
      </x:c>
    </x:row>
    <x:row r="5">
      <x:c r="A5" t="str">
        <x:v>Visão</x:v>
      </x:c>
      <x:c r="B5" t="str">
        <x:v>Usuário</x:v>
      </x:c>
      <x:c r="C5" t="str">
        <x:v>Pergunta central</x:v>
      </x:c>
      <x:c r="D5" t="str">
        <x:v>KPIs primários</x:v>
      </x:c>
      <x:c r="E5" t="str">
        <x:v>KPIs de diagnóstico</x:v>
      </x:c>
      <x:c r="F5" t="str">
        <x:v>Filtros padrão</x:v>
      </x:c>
      <x:c r="G5" t="str">
        <x:v>Alertas</x:v>
      </x:c>
      <x:c r="H5" t="str">
        <x:v>Ações possíveis</x:v>
      </x:c>
      <x:c r="I5" t="str">
        <x:v>Cadência</x:v>
      </x:c>
      <x:c r="J5" t="str">
        <x:v>Permissão</x:v>
      </x:c>
    </x:row>
    <x:row r="6">
      <x:c r="A6" t="str">
        <x:v>Executiva HUB</x:v>
      </x:c>
      <x:c r="B6" t="str">
        <x:v>CEO / Conselho</x:v>
      </x:c>
      <x:c r="C6" t="str">
        <x:v>Onde a HUB cria valor, margem e escala?</x:v>
      </x:c>
      <x:c r="D6" t="str">
        <x:v>ARR, MRR, NRR, margem, ROI cliente, LTV/CAC</x:v>
      </x:c>
      <x:c r="E6" t="str">
        <x:v>adoção, time-to-value, pipeline, churn</x:v>
      </x:c>
      <x:c r="F6" t="str">
        <x:v>vertente, produto, cliente, cohort</x:v>
      </x:c>
      <x:c r="G6" t="str">
        <x:v>ROI negativo; churn; margem abaixo do piso</x:v>
      </x:c>
      <x:c r="H6" t="str">
        <x:v>priorizar produto, preço, carteira e investimento</x:v>
      </x:c>
      <x:c r="I6" t="str">
        <x:v>Mensal</x:v>
      </x:c>
      <x:c r="J6" t="str">
        <x:v>Agregado financeiro</x:v>
      </x:c>
    </x:row>
    <x:row r="7">
      <x:c r="A7" t="str">
        <x:v>Executiva cliente</x:v>
      </x:c>
      <x:c r="B7" t="str">
        <x:v>CFO / patrocinador</x:v>
      </x:c>
      <x:c r="C7" t="str">
        <x:v>Qual valor financeiro foi provado?</x:v>
      </x:c>
      <x:c r="D7" t="str">
        <x:v>benefício bruto/líquido, ROI, payback, margem, saving, risco</x:v>
      </x:c>
      <x:c r="E7" t="str">
        <x:v>cobertura, evidência, atribuição</x:v>
      </x:c>
      <x:c r="F7" t="str">
        <x:v>programa, unidade, período, cenário</x:v>
      </x:c>
      <x:c r="G7" t="str">
        <x:v>benefício abaixo do business case</x:v>
      </x:c>
      <x:c r="H7" t="str">
        <x:v>escalar, corrigir ou interromper</x:v>
      </x:c>
      <x:c r="I7" t="str">
        <x:v>Trimestral</x:v>
      </x:c>
      <x:c r="J7" t="str">
        <x:v>Dados do próprio cliente</x:v>
      </x:c>
    </x:row>
    <x:row r="8">
      <x:c r="A8" t="str">
        <x:v>Pessoas / RH</x:v>
      </x:c>
      <x:c r="B8" t="str">
        <x:v>CHRO / People Analytics</x:v>
      </x:c>
      <x:c r="C8" t="str">
        <x:v>Que decisão sobre pessoas melhora resultado?</x:v>
      </x:c>
      <x:c r="D8" t="str">
        <x:v>produtividade, retenção, time-to-fill, qualidade da contratação</x:v>
      </x:c>
      <x:c r="E8" t="str">
        <x:v>prontidão, gap, jornada, cohort</x:v>
      </x:c>
      <x:c r="F8" t="str">
        <x:v>função, gestor, unidade, local</x:v>
      </x:c>
      <x:c r="G8" t="str">
        <x:v>gap crítico; risco de saída; baixa eficácia</x:v>
      </x:c>
      <x:c r="H8" t="str">
        <x:v>recomendar jornada, mobilidade ou contratação</x:v>
      </x:c>
      <x:c r="I8" t="str">
        <x:v>Mensal</x:v>
      </x:c>
      <x:c r="J8" t="str">
        <x:v>Dados pessoais pseudonimizados</x:v>
      </x:c>
    </x:row>
    <x:row r="9">
      <x:c r="A9" t="str">
        <x:v>Compras</x:v>
      </x:c>
      <x:c r="B9" t="str">
        <x:v>CPO / procurement</x:v>
      </x:c>
      <x:c r="C9" t="str">
        <x:v>Como ampliar oferta e reduzir custo/risco?</x:v>
      </x:c>
      <x:c r="D9" t="str">
        <x:v>saving, ciclo, conversão, desempenho, risco</x:v>
      </x:c>
      <x:c r="E9" t="str">
        <x:v>cobertura, elegibilidade, homologação</x:v>
      </x:c>
      <x:c r="F9" t="str">
        <x:v>categoria, região, contrato, fornecedor</x:v>
      </x:c>
      <x:c r="G9" t="str">
        <x:v>categoria sem oferta; SLA; risco alto</x:v>
      </x:c>
      <x:c r="H9" t="str">
        <x:v>abrir conexão, desenvolver ou substituir oferta</x:v>
      </x:c>
      <x:c r="I9" t="str">
        <x:v>Mensal</x:v>
      </x:c>
      <x:c r="J9" t="str">
        <x:v>Compras e contratos</x:v>
      </x:c>
    </x:row>
    <x:row r="10">
      <x:c r="A10" t="str">
        <x:v>Marketing / RevOps</x:v>
      </x:c>
      <x:c r="B10" t="str">
        <x:v>CMO / vendas</x:v>
      </x:c>
      <x:c r="C10" t="str">
        <x:v>Qual mídia e conteúdo criam margem?</x:v>
      </x:c>
      <x:c r="D10" t="str">
        <x:v>margem incremental, pipeline, CAC, ROAS</x:v>
      </x:c>
      <x:c r="E10" t="str">
        <x:v>alcance qualificado, CPL, conteúdo→ação</x:v>
      </x:c>
      <x:c r="F10" t="str">
        <x:v>canal, campanha, produto, segmento</x:v>
      </x:c>
      <x:c r="G10" t="str">
        <x:v>CAC alto; queda de conversão</x:v>
      </x:c>
      <x:c r="H10" t="str">
        <x:v>redistribuir verba, mudar oferta ou mensagem</x:v>
      </x:c>
      <x:c r="I10" t="str">
        <x:v>Semanal</x:v>
      </x:c>
      <x:c r="J10" t="str">
        <x:v>CRM e mídia</x:v>
      </x:c>
    </x:row>
    <x:row r="11">
      <x:c r="A11" t="str">
        <x:v>Entidade / Firjan</x:v>
      </x:c>
      <x:c r="B11" t="str">
        <x:v>Direção da entidade</x:v>
      </x:c>
      <x:c r="C11" t="str">
        <x:v>Que valor o ecossistema entrega aos associados?</x:v>
      </x:c>
      <x:c r="D11" t="str">
        <x:v>ativação, renovação, valor por associado, impacto econômico</x:v>
      </x:c>
      <x:c r="E11" t="str">
        <x:v>cobertura, densidade, benchmark</x:v>
      </x:c>
      <x:c r="F11" t="str">
        <x:v>setor, região, porte, serviço</x:v>
      </x:c>
      <x:c r="G11" t="str">
        <x:v>segmento com baixa ativação/renovação</x:v>
      </x:c>
      <x:c r="H11" t="str">
        <x:v>criar programa, conexão ou serviço</x:v>
      </x:c>
      <x:c r="I11" t="str">
        <x:v>Mensal</x:v>
      </x:c>
      <x:c r="J11" t="str">
        <x:v>Agregado e anonimizado</x:v>
      </x:c>
    </x:row>
    <x:row r="12">
      <x:c r="A12" t="str">
        <x:v>Operação de programas</x:v>
      </x:c>
      <x:c r="B12" t="str">
        <x:v>PMO / consultoria</x:v>
      </x:c>
      <x:c r="C12" t="str">
        <x:v>A ação está no ritmo e produz outcome?</x:v>
      </x:c>
      <x:c r="D12" t="str">
        <x:v>conclusão, evolução, custo por outcome, satisfação</x:v>
      </x:c>
      <x:c r="E12" t="str">
        <x:v>convite, presença, dose, SLA</x:v>
      </x:c>
      <x:c r="F12" t="str">
        <x:v>programa, etapa, cohort, owner</x:v>
      </x:c>
      <x:c r="G12" t="str">
        <x:v>desvio de meta ou prazo</x:v>
      </x:c>
      <x:c r="H12" t="str">
        <x:v>corrigir desenho e acompanhamento</x:v>
      </x:c>
      <x:c r="I12" t="str">
        <x:v>Semanal</x:v>
      </x:c>
      <x:c r="J12" t="str">
        <x:v>Programa específico</x:v>
      </x:c>
    </x:row>
    <x:row r="13">
      <x:c r="A13" t="str">
        <x:v>Pessoa</x:v>
      </x:c>
      <x:c r="B13" t="str">
        <x:v>Participante</x:v>
      </x:c>
      <x:c r="C13" t="str">
        <x:v>Qual próximo passo aumenta minha capacidade e oportunidades?</x:v>
      </x:c>
      <x:c r="D13" t="str">
        <x:v>prontidão, progresso, matches, outcomes</x:v>
      </x:c>
      <x:c r="E13" t="str">
        <x:v>evidências, lacunas, ações</x:v>
      </x:c>
      <x:c r="F13" t="str">
        <x:v>objetivo, competência, prazo</x:v>
      </x:c>
      <x:c r="G13" t="str">
        <x:v>evidência vencendo; ação pendente</x:v>
      </x:c>
      <x:c r="H13" t="str">
        <x:v>aceitar recomendação e registrar evidência</x:v>
      </x:c>
      <x:c r="I13" t="str">
        <x:v>Tempo real</x:v>
      </x:c>
      <x:c r="J13" t="str">
        <x:v>Somente dados do titular</x:v>
      </x:c>
    </x:row>
    <x:row r="14">
      <x:c r="A14" t="str">
        <x:v>Fornecedor / solução</x:v>
      </x:c>
      <x:c r="B14" t="str">
        <x:v>Parceiro</x:v>
      </x:c>
      <x:c r="C14" t="str">
        <x:v>Onde existe demanda compatível e como melhorar meu fit?</x:v>
      </x:c>
      <x:c r="D14" t="str">
        <x:v>matches, conversão, contratos, desempenho</x:v>
      </x:c>
      <x:c r="E14" t="str">
        <x:v>cobertura, requisitos, homologação</x:v>
      </x:c>
      <x:c r="F14" t="str">
        <x:v>categoria, região, estágio</x:v>
      </x:c>
      <x:c r="G14" t="str">
        <x:v>documento vencido; oportunidade crítica</x:v>
      </x:c>
      <x:c r="H14" t="str">
        <x:v>atualizar capacidade, responder ou desenvolver</x:v>
      </x:c>
      <x:c r="I14" t="str">
        <x:v>Tempo real</x:v>
      </x:c>
      <x:c r="J14" t="str">
        <x:v>Somente dados próprios</x:v>
      </x:c>
    </x:row>
    <x:row r="15">
      <x:c r="A15" t="str">
        <x:v>Governança / IA</x:v>
      </x:c>
      <x:c r="B15" t="str">
        <x:v>DPO / Data / Auditoria</x:v>
      </x:c>
      <x:c r="C15" t="str">
        <x:v>Os dados e modelos são confiáveis, legais e justos?</x:v>
      </x:c>
      <x:c r="D15" t="str">
        <x:v>qualidade, consentimento, fairness, drift, confiança</x:v>
      </x:c>
      <x:c r="E15" t="str">
        <x:v>SLA, linhagem, incidentes</x:v>
      </x:c>
      <x:c r="F15" t="str">
        <x:v>domínio, fonte, modelo, grupo</x:v>
      </x:c>
      <x:c r="G15" t="str">
        <x:v>violação de SLA, viés, consentimento</x:v>
      </x:c>
      <x:c r="H15" t="str">
        <x:v>bloquear, corrigir, reprocessar, auditar</x:v>
      </x:c>
      <x:c r="I15" t="str">
        <x:v>Diária</x:v>
      </x:c>
      <x:c r="J15" t="str">
        <x:v>Acesso restrito</x:v>
      </x:c>
    </x:row>
  </x:sheetData>
  <x:pageSetup fitToWidth="1" fitToHeight="0" orientation="landscape"/>
</x:worksheet>
</file>

<file path=xl/worksheets/sheet10.xml><?xml version="1.0" encoding="utf-8"?>
<x:worksheet xmlns:x="http://schemas.openxmlformats.org/spreadsheetml/2006/main">
  <x:sheetPr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</x:cols>
  <x:sheetData>
    <x:row r="1">
      <x:c r="A1" t="str">
        <x:v>Dicionário de dados mínimo</x:v>
      </x:c>
    </x:row>
    <x:row r="3">
      <x:c r="A3" t="str">
        <x:v>Campos necessários para instrumentar o mapa neural e os indicadores prioritários.</x:v>
      </x:c>
    </x:row>
    <x:row r="5">
      <x:c r="A5" t="str">
        <x:v>Tabela</x:v>
      </x:c>
      <x:c r="B5" t="str">
        <x:v>Campo</x:v>
      </x:c>
      <x:c r="C5" t="str">
        <x:v>Tipo</x:v>
      </x:c>
      <x:c r="D5" t="str">
        <x:v>Definição</x:v>
      </x:c>
      <x:c r="E5" t="str">
        <x:v>Chave</x:v>
      </x:c>
      <x:c r="F5" t="str">
        <x:v>Obrigatório</x:v>
      </x:c>
      <x:c r="G5" t="str">
        <x:v>Exemplo</x:v>
      </x:c>
      <x:c r="H5" t="str">
        <x:v>Sensibilidade</x:v>
      </x:c>
      <x:c r="I5" t="str">
        <x:v>Base legal / finalidade</x:v>
      </x:c>
      <x:c r="J5" t="str">
        <x:v>Origem</x:v>
      </x:c>
      <x:c r="K5" t="str">
        <x:v>Frequência</x:v>
      </x:c>
      <x:c r="L5" t="str">
        <x:v>Regra de qualidade</x:v>
      </x:c>
      <x:c r="M5" t="str">
        <x:v>Retenção</x:v>
      </x:c>
      <x:c r="N5" t="str">
        <x:v>Controle de acesso</x:v>
      </x:c>
      <x:c r="O5" t="str">
        <x:v>Consentimento / revogação</x:v>
      </x:c>
      <x:c r="P5" t="str">
        <x:v>Evidência</x:v>
      </x:c>
    </x:row>
    <x:row r="6">
      <x:c r="A6" t="str">
        <x:v>dim_person</x:v>
      </x:c>
      <x:c r="B6" t="str">
        <x:v>person_id</x:v>
      </x:c>
      <x:c r="C6" t="str">
        <x:v>UUID</x:v>
      </x:c>
      <x:c r="D6" t="str">
        <x:v>Identificador pseudônimo da pessoa.</x:v>
      </x:c>
      <x:c r="E6" t="str">
        <x:v>PK</x:v>
      </x:c>
      <x:c r="F6" t="str">
        <x:v>Sim</x:v>
      </x:c>
      <x:c r="G6" t="str">
        <x:v>p_01...</x:v>
      </x:c>
      <x:c r="H6" t="str">
        <x:v>Alta</x:v>
      </x:c>
      <x:c r="I6" t="str">
        <x:v>Execução de contrato / consentimento conforme uso</x:v>
      </x:c>
      <x:c r="J6" t="str">
        <x:v>Cadastro / HRIS</x:v>
      </x:c>
      <x:c r="K6" t="str">
        <x:v>Tempo real</x:v>
      </x:c>
      <x:c r="L6" t="str">
        <x:v>único, não nulo e não reutilizado</x:v>
      </x:c>
      <x:c r="M6" t="str">
        <x:v>60 meses vault; TTL analítico por finalidade</x:v>
      </x:c>
      <x:c r="N6" t="str">
        <x:v>vault separado; RBAC DPO/Data</x:v>
      </x:c>
      <x:c r="O6" t="str">
        <x:v>revogação bloqueia novos usos &lt;=5 min</x:v>
      </x:c>
      <x:c r="P6" t="str">
        <x:v>ROPA + token scan</x:v>
      </x:c>
    </x:row>
    <x:row r="7">
      <x:c r="A7" t="str">
        <x:v>dim_person</x:v>
      </x:c>
      <x:c r="B7" t="str">
        <x:v>company_id</x:v>
      </x:c>
      <x:c r="C7" t="str">
        <x:v>UUID</x:v>
      </x:c>
      <x:c r="D7" t="str">
        <x:v>Empresa do vínculo vigente.</x:v>
      </x:c>
      <x:c r="E7" t="str">
        <x:v>FK</x:v>
      </x:c>
      <x:c r="F7" t="str">
        <x:v>Não</x:v>
      </x:c>
      <x:c r="G7" t="str">
        <x:v>c_01...</x:v>
      </x:c>
      <x:c r="H7" t="str">
        <x:v>Alta</x:v>
      </x:c>
      <x:c r="I7" t="str">
        <x:v>Execução do serviço</x:v>
      </x:c>
      <x:c r="J7" t="str">
        <x:v>HRIS / CRM</x:v>
      </x:c>
      <x:c r="K7" t="str">
        <x:v>Diária</x:v>
      </x:c>
      <x:c r="L7" t="str">
        <x:v>existir em dim_company</x:v>
      </x:c>
      <x:c r="M7" t="str">
        <x:v>60 meses ou contrato + obrigação legal</x:v>
      </x:c>
      <x:c r="N7" t="str">
        <x:v>purpose-scoped RBAC</x:v>
      </x:c>
      <x:c r="O7" t="str">
        <x:v>não aplicável</x:v>
      </x:c>
      <x:c r="P7" t="str">
        <x:v>access review + TTL log</x:v>
      </x:c>
    </x:row>
    <x:row r="8">
      <x:c r="A8" t="str">
        <x:v>dim_person</x:v>
      </x:c>
      <x:c r="B8" t="str">
        <x:v>consent_status</x:v>
      </x:c>
      <x:c r="C8" t="str">
        <x:v>enum</x:v>
      </x:c>
      <x:c r="D8" t="str">
        <x:v>Status por finalidade de tratamento.</x:v>
      </x:c>
      <x:c r="F8" t="str">
        <x:v>Sim</x:v>
      </x:c>
      <x:c r="G8" t="str">
        <x:v>granted</x:v>
      </x:c>
      <x:c r="H8" t="str">
        <x:v>Crítica</x:v>
      </x:c>
      <x:c r="I8" t="str">
        <x:v>Consentimento / obrigação legal</x:v>
      </x:c>
      <x:c r="J8" t="str">
        <x:v>CMP</x:v>
      </x:c>
      <x:c r="K8" t="str">
        <x:v>Tempo real</x:v>
      </x:c>
      <x:c r="L8" t="str">
        <x:v>vigência e versão válidas</x:v>
      </x:c>
      <x:c r="M8" t="str">
        <x:v>permanente enquanto necessário</x:v>
      </x:c>
      <x:c r="N8" t="str">
        <x:v>CMP/DPO only; downstream read</x:v>
      </x:c>
      <x:c r="O8" t="str">
        <x:v>revogação bloqueia processamento &lt;=5 min</x:v>
      </x:c>
      <x:c r="P8" t="str">
        <x:v>CMP log + propagation test</x:v>
      </x:c>
    </x:row>
    <x:row r="9">
      <x:c r="A9" t="str">
        <x:v>dim_person</x:v>
      </x:c>
      <x:c r="B9" t="str">
        <x:v>profile_segment</x:v>
      </x:c>
      <x:c r="C9" t="str">
        <x:v>string</x:v>
      </x:c>
      <x:c r="D9" t="str">
        <x:v>Segmento operacional não sensível.</x:v>
      </x:c>
      <x:c r="F9" t="str">
        <x:v>Não</x:v>
      </x:c>
      <x:c r="G9" t="str">
        <x:v>gestor</x:v>
      </x:c>
      <x:c r="H9" t="str">
        <x:v>Média</x:v>
      </x:c>
      <x:c r="I9" t="str">
        <x:v>Personalização</x:v>
      </x:c>
      <x:c r="J9" t="str">
        <x:v>Cadastro</x:v>
      </x:c>
      <x:c r="K9" t="str">
        <x:v>Diária</x:v>
      </x:c>
      <x:c r="L9" t="str">
        <x:v>vocabulário controlado</x:v>
      </x:c>
      <x:c r="M9" t="str">
        <x:v>24 months analytics</x:v>
      </x:c>
    </x:row>
    <x:row r="10">
      <x:c r="A10" t="str">
        <x:v>dim_company</x:v>
      </x:c>
      <x:c r="B10" t="str">
        <x:v>company_id</x:v>
      </x:c>
      <x:c r="C10" t="str">
        <x:v>UUID</x:v>
      </x:c>
      <x:c r="D10" t="str">
        <x:v>Identificador da organização.</x:v>
      </x:c>
      <x:c r="E10" t="str">
        <x:v>PK</x:v>
      </x:c>
      <x:c r="F10" t="str">
        <x:v>Sim</x:v>
      </x:c>
      <x:c r="G10" t="str">
        <x:v>c_01...</x:v>
      </x:c>
      <x:c r="H10" t="str">
        <x:v>Média</x:v>
      </x:c>
      <x:c r="I10" t="str">
        <x:v>Execução do contrato</x:v>
      </x:c>
      <x:c r="J10" t="str">
        <x:v>CRM</x:v>
      </x:c>
      <x:c r="K10" t="str">
        <x:v>Diária</x:v>
      </x:c>
      <x:c r="L10" t="str">
        <x:v>único e não nulo</x:v>
      </x:c>
      <x:c r="M10" t="str">
        <x:v>60 months or contract + legal obligation</x:v>
      </x:c>
    </x:row>
    <x:row r="11">
      <x:c r="A11" t="str">
        <x:v>dim_company</x:v>
      </x:c>
      <x:c r="B11" t="str">
        <x:v>entity_id</x:v>
      </x:c>
      <x:c r="C11" t="str">
        <x:v>UUID</x:v>
      </x:c>
      <x:c r="D11" t="str">
        <x:v>Entidade à qual a empresa está associada.</x:v>
      </x:c>
      <x:c r="E11" t="str">
        <x:v>FK</x:v>
      </x:c>
      <x:c r="F11" t="str">
        <x:v>Não</x:v>
      </x:c>
      <x:c r="G11" t="str">
        <x:v>e_01...</x:v>
      </x:c>
      <x:c r="H11" t="str">
        <x:v>Média</x:v>
      </x:c>
      <x:c r="I11" t="str">
        <x:v>Execução do serviço</x:v>
      </x:c>
      <x:c r="J11" t="str">
        <x:v>CRM</x:v>
      </x:c>
      <x:c r="K11" t="str">
        <x:v>Diária</x:v>
      </x:c>
      <x:c r="L11" t="str">
        <x:v>vínculo vigente</x:v>
      </x:c>
      <x:c r="M11" t="str">
        <x:v>60 months or contract + legal obligation</x:v>
      </x:c>
    </x:row>
    <x:row r="12">
      <x:c r="A12" t="str">
        <x:v>dim_company</x:v>
      </x:c>
      <x:c r="B12" t="str">
        <x:v>segment</x:v>
      </x:c>
      <x:c r="C12" t="str">
        <x:v>enum</x:v>
      </x:c>
      <x:c r="D12" t="str">
        <x:v>Setor/porte/cluster comercial.</x:v>
      </x:c>
      <x:c r="F12" t="str">
        <x:v>Sim</x:v>
      </x:c>
      <x:c r="G12" t="str">
        <x:v>indústria_média</x:v>
      </x:c>
      <x:c r="H12" t="str">
        <x:v>Baixa</x:v>
      </x:c>
      <x:c r="I12" t="str">
        <x:v>Inteligência e serviço</x:v>
      </x:c>
      <x:c r="J12" t="str">
        <x:v>CRM</x:v>
      </x:c>
      <x:c r="K12" t="str">
        <x:v>Mensal</x:v>
      </x:c>
      <x:c r="L12" t="str">
        <x:v>taxonomia versionada</x:v>
      </x:c>
      <x:c r="M12" t="str">
        <x:v>24 months analytics</x:v>
      </x:c>
    </x:row>
    <x:row r="13">
      <x:c r="A13" t="str">
        <x:v>dim_entity</x:v>
      </x:c>
      <x:c r="B13" t="str">
        <x:v>entity_id</x:v>
      </x:c>
      <x:c r="C13" t="str">
        <x:v>UUID</x:v>
      </x:c>
      <x:c r="D13" t="str">
        <x:v>Identificador de entidade/rede.</x:v>
      </x:c>
      <x:c r="E13" t="str">
        <x:v>PK</x:v>
      </x:c>
      <x:c r="F13" t="str">
        <x:v>Sim</x:v>
      </x:c>
      <x:c r="G13" t="str">
        <x:v>e_01...</x:v>
      </x:c>
      <x:c r="H13" t="str">
        <x:v>Baixa</x:v>
      </x:c>
      <x:c r="I13" t="str">
        <x:v>Execução do contrato</x:v>
      </x:c>
      <x:c r="J13" t="str">
        <x:v>CRM</x:v>
      </x:c>
      <x:c r="K13" t="str">
        <x:v>Diária</x:v>
      </x:c>
      <x:c r="L13" t="str">
        <x:v>único</x:v>
      </x:c>
      <x:c r="M13" t="str">
        <x:v>60 months or contract + legal obligation</x:v>
      </x:c>
    </x:row>
    <x:row r="14">
      <x:c r="A14" t="str">
        <x:v>dim_skill</x:v>
      </x:c>
      <x:c r="B14" t="str">
        <x:v>skill_id</x:v>
      </x:c>
      <x:c r="C14" t="str">
        <x:v>UUID</x:v>
      </x:c>
      <x:c r="D14" t="str">
        <x:v>Identificador de capacidade na taxonomia.</x:v>
      </x:c>
      <x:c r="E14" t="str">
        <x:v>PK</x:v>
      </x:c>
      <x:c r="F14" t="str">
        <x:v>Sim</x:v>
      </x:c>
      <x:c r="G14" t="str">
        <x:v>sk_01...</x:v>
      </x:c>
      <x:c r="H14" t="str">
        <x:v>Baixa</x:v>
      </x:c>
      <x:c r="I14" t="str">
        <x:v>Inteligência</x:v>
      </x:c>
      <x:c r="J14" t="str">
        <x:v>Taxonomia</x:v>
      </x:c>
      <x:c r="K14" t="str">
        <x:v>Release</x:v>
      </x:c>
      <x:c r="L14" t="str">
        <x:v>sem duplicidades semânticas</x:v>
      </x:c>
      <x:c r="M14" t="str">
        <x:v>36 months after event</x:v>
      </x:c>
    </x:row>
    <x:row r="15">
      <x:c r="A15" t="str">
        <x:v>dim_skill</x:v>
      </x:c>
      <x:c r="B15" t="str">
        <x:v>skill_version</x:v>
      </x:c>
      <x:c r="C15" t="str">
        <x:v>string</x:v>
      </x:c>
      <x:c r="D15" t="str">
        <x:v>Versão da taxonomia.</x:v>
      </x:c>
      <x:c r="F15" t="str">
        <x:v>Sim</x:v>
      </x:c>
      <x:c r="G15" t="str">
        <x:v>v3.2</x:v>
      </x:c>
      <x:c r="H15" t="str">
        <x:v>Baixa</x:v>
      </x:c>
      <x:c r="I15" t="str">
        <x:v>Auditabilidade</x:v>
      </x:c>
      <x:c r="J15" t="str">
        <x:v>Taxonomia</x:v>
      </x:c>
      <x:c r="K15" t="str">
        <x:v>Release</x:v>
      </x:c>
      <x:c r="L15" t="str">
        <x:v>imutável após uso</x:v>
      </x:c>
      <x:c r="M15" t="str">
        <x:v>60 months after taxonomy retirement</x:v>
      </x:c>
    </x:row>
    <x:row r="16">
      <x:c r="A16" t="str">
        <x:v>fact_person_skill</x:v>
      </x:c>
      <x:c r="B16" t="str">
        <x:v>person_id</x:v>
      </x:c>
      <x:c r="C16" t="str">
        <x:v>UUID</x:v>
      </x:c>
      <x:c r="D16" t="str">
        <x:v>Pessoa avaliada.</x:v>
      </x:c>
      <x:c r="E16" t="str">
        <x:v>FK</x:v>
      </x:c>
      <x:c r="F16" t="str">
        <x:v>Sim</x:v>
      </x:c>
      <x:c r="G16" t="str">
        <x:v>p_01...</x:v>
      </x:c>
      <x:c r="H16" t="str">
        <x:v>Alta</x:v>
      </x:c>
      <x:c r="I16" t="str">
        <x:v>Execução do serviço</x:v>
      </x:c>
      <x:c r="J16" t="str">
        <x:v>Diagnóstico</x:v>
      </x:c>
      <x:c r="K16" t="str">
        <x:v>Evento</x:v>
      </x:c>
      <x:c r="L16" t="str">
        <x:v>consentimento aplicável</x:v>
      </x:c>
      <x:c r="M16" t="str">
        <x:v>36 meses após evento</x:v>
      </x:c>
      <x:c r="N16" t="str">
        <x:v>token only; analysts no vault</x:v>
      </x:c>
      <x:c r="O16" t="str">
        <x:v>revogação bloqueia novos cálculos &lt;=5 min</x:v>
      </x:c>
      <x:c r="P16" t="str">
        <x:v>consent event + load scan</x:v>
      </x:c>
    </x:row>
    <x:row r="17">
      <x:c r="A17" t="str">
        <x:v>fact_person_skill</x:v>
      </x:c>
      <x:c r="B17" t="str">
        <x:v>skill_id</x:v>
      </x:c>
      <x:c r="C17" t="str">
        <x:v>UUID</x:v>
      </x:c>
      <x:c r="D17" t="str">
        <x:v>Capacidade avaliada.</x:v>
      </x:c>
      <x:c r="E17" t="str">
        <x:v>FK</x:v>
      </x:c>
      <x:c r="F17" t="str">
        <x:v>Sim</x:v>
      </x:c>
      <x:c r="G17" t="str">
        <x:v>sk_01...</x:v>
      </x:c>
      <x:c r="H17" t="str">
        <x:v>Média</x:v>
      </x:c>
      <x:c r="I17" t="str">
        <x:v>Execução do serviço</x:v>
      </x:c>
      <x:c r="J17" t="str">
        <x:v>Diagnóstico</x:v>
      </x:c>
      <x:c r="K17" t="str">
        <x:v>Evento</x:v>
      </x:c>
      <x:c r="L17" t="str">
        <x:v>taxonomia válida</x:v>
      </x:c>
      <x:c r="M17" t="str">
        <x:v>36 months after event</x:v>
      </x:c>
    </x:row>
    <x:row r="18">
      <x:c r="A18" t="str">
        <x:v>fact_person_skill</x:v>
      </x:c>
      <x:c r="B18" t="str">
        <x:v>level</x:v>
      </x:c>
      <x:c r="C18" t="str">
        <x:v>decimal</x:v>
      </x:c>
      <x:c r="D18" t="str">
        <x:v>Nível padronizado.</x:v>
      </x:c>
      <x:c r="F18" t="str">
        <x:v>Sim</x:v>
      </x:c>
      <x:c r="H18" t="str">
        <x:v>Alta</x:v>
      </x:c>
      <x:c r="I18" t="str">
        <x:v>Recomendação</x:v>
      </x:c>
      <x:c r="J18" t="str">
        <x:v>Diagnóstico</x:v>
      </x:c>
      <x:c r="K18" t="str">
        <x:v>Evento</x:v>
      </x:c>
      <x:c r="L18" t="str">
        <x:v>0 a 5</x:v>
      </x:c>
      <x:c r="M18" t="str">
        <x:v>36 meses após evento</x:v>
      </x:c>
      <x:c r="N18" t="str">
        <x:v>purpose-scoped RBAC</x:v>
      </x:c>
      <x:c r="O18" t="str">
        <x:v>consentimento aplicável</x:v>
      </x:c>
      <x:c r="P18" t="str">
        <x:v>range test + lineage</x:v>
      </x:c>
    </x:row>
    <x:row r="19">
      <x:c r="A19" t="str">
        <x:v>fact_person_skill</x:v>
      </x:c>
      <x:c r="B19" t="str">
        <x:v>confidence</x:v>
      </x:c>
      <x:c r="C19" t="str">
        <x:v>decimal</x:v>
      </x:c>
      <x:c r="D19" t="str">
        <x:v>Confiança baseada na evidência.</x:v>
      </x:c>
      <x:c r="F19" t="str">
        <x:v>Sim</x:v>
      </x:c>
      <x:c r="H19" t="str">
        <x:v>Média</x:v>
      </x:c>
      <x:c r="I19" t="str">
        <x:v>Explicabilidade</x:v>
      </x:c>
      <x:c r="J19" t="str">
        <x:v>Motor</x:v>
      </x:c>
      <x:c r="K19" t="str">
        <x:v>Evento</x:v>
      </x:c>
      <x:c r="L19" t="str">
        <x:v>0 a 1</x:v>
      </x:c>
      <x:c r="M19" t="str">
        <x:v>36 months after event</x:v>
      </x:c>
    </x:row>
    <x:row r="20">
      <x:c r="A20" t="str">
        <x:v>fact_assessment</x:v>
      </x:c>
      <x:c r="B20" t="str">
        <x:v>assessment_id</x:v>
      </x:c>
      <x:c r="C20" t="str">
        <x:v>UUID</x:v>
      </x:c>
      <x:c r="D20" t="str">
        <x:v>Rodada de diagnóstico.</x:v>
      </x:c>
      <x:c r="E20" t="str">
        <x:v>PK</x:v>
      </x:c>
      <x:c r="F20" t="str">
        <x:v>Sim</x:v>
      </x:c>
      <x:c r="G20" t="str">
        <x:v>a_01...</x:v>
      </x:c>
      <x:c r="H20" t="str">
        <x:v>Alta</x:v>
      </x:c>
      <x:c r="I20" t="str">
        <x:v>Execução do serviço</x:v>
      </x:c>
      <x:c r="J20" t="str">
        <x:v>Plataforma</x:v>
      </x:c>
      <x:c r="K20" t="str">
        <x:v>Evento</x:v>
      </x:c>
      <x:c r="L20" t="str">
        <x:v>único</x:v>
      </x:c>
      <x:c r="M20" t="str">
        <x:v>36 meses</x:v>
      </x:c>
      <x:c r="N20" t="str">
        <x:v>restricted assessment role</x:v>
      </x:c>
      <x:c r="O20" t="str">
        <x:v>consentimento aplicável</x:v>
      </x:c>
      <x:c r="P20" t="str">
        <x:v>ID uniqueness + DSAR link</x:v>
      </x:c>
    </x:row>
    <x:row r="21">
      <x:c r="A21" t="str">
        <x:v>fact_assessment</x:v>
      </x:c>
      <x:c r="B21" t="str">
        <x:v>instrument_version</x:v>
      </x:c>
      <x:c r="C21" t="str">
        <x:v>string</x:v>
      </x:c>
      <x:c r="D21" t="str">
        <x:v>Versão do instrumento.</x:v>
      </x:c>
      <x:c r="F21" t="str">
        <x:v>Sim</x:v>
      </x:c>
      <x:c r="G21" t="str">
        <x:v>roi_people_v2</x:v>
      </x:c>
      <x:c r="H21" t="str">
        <x:v>Média</x:v>
      </x:c>
      <x:c r="I21" t="str">
        <x:v>Auditabilidade</x:v>
      </x:c>
      <x:c r="J21" t="str">
        <x:v>Plataforma</x:v>
      </x:c>
      <x:c r="K21" t="str">
        <x:v>Evento</x:v>
      </x:c>
      <x:c r="L21" t="str">
        <x:v>versão existente</x:v>
      </x:c>
      <x:c r="M21" t="str">
        <x:v>60 months after instrument retirement</x:v>
      </x:c>
    </x:row>
    <x:row r="22">
      <x:c r="A22" t="str">
        <x:v>fact_assessment</x:v>
      </x:c>
      <x:c r="B22" t="str">
        <x:v>dimension_score</x:v>
      </x:c>
      <x:c r="C22" t="str">
        <x:v>decimal</x:v>
      </x:c>
      <x:c r="D22" t="str">
        <x:v>Score por dimensão.</x:v>
      </x:c>
      <x:c r="F22" t="str">
        <x:v>Sim</x:v>
      </x:c>
      <x:c r="H22" t="str">
        <x:v>Alta</x:v>
      </x:c>
      <x:c r="I22" t="str">
        <x:v>Diagnóstico</x:v>
      </x:c>
      <x:c r="J22" t="str">
        <x:v>Plataforma</x:v>
      </x:c>
      <x:c r="K22" t="str">
        <x:v>Evento</x:v>
      </x:c>
      <x:c r="L22" t="str">
        <x:v>faixa definida</x:v>
      </x:c>
      <x:c r="M22" t="str">
        <x:v>36 meses</x:v>
      </x:c>
      <x:c r="N22" t="str">
        <x:v>restricted analytics</x:v>
      </x:c>
      <x:c r="O22" t="str">
        <x:v>consentimento aplicável</x:v>
      </x:c>
      <x:c r="P22" t="str">
        <x:v>range/population test</x:v>
      </x:c>
    </x:row>
    <x:row r="23">
      <x:c r="A23" t="str">
        <x:v>fact_event</x:v>
      </x:c>
      <x:c r="B23" t="str">
        <x:v>event_id</x:v>
      </x:c>
      <x:c r="C23" t="str">
        <x:v>UUID</x:v>
      </x:c>
      <x:c r="D23" t="str">
        <x:v>Identificador do evento de produto.</x:v>
      </x:c>
      <x:c r="E23" t="str">
        <x:v>PK</x:v>
      </x:c>
      <x:c r="F23" t="str">
        <x:v>Sim</x:v>
      </x:c>
      <x:c r="G23" t="str">
        <x:v>ev_01...</x:v>
      </x:c>
      <x:c r="H23" t="str">
        <x:v>Média</x:v>
      </x:c>
      <x:c r="I23" t="str">
        <x:v>Analytics</x:v>
      </x:c>
      <x:c r="J23" t="str">
        <x:v>SDK</x:v>
      </x:c>
      <x:c r="K23" t="str">
        <x:v>Tempo real</x:v>
      </x:c>
      <x:c r="L23" t="str">
        <x:v>único e idempotente</x:v>
      </x:c>
      <x:c r="M23" t="str">
        <x:v>24 months analytics; legal hold by exception</x:v>
      </x:c>
    </x:row>
    <x:row r="24">
      <x:c r="A24" t="str">
        <x:v>fact_event</x:v>
      </x:c>
      <x:c r="B24" t="str">
        <x:v>event_name</x:v>
      </x:c>
      <x:c r="C24" t="str">
        <x:v>string</x:v>
      </x:c>
      <x:c r="D24" t="str">
        <x:v>Nome padronizado do evento.</x:v>
      </x:c>
      <x:c r="F24" t="str">
        <x:v>Sim</x:v>
      </x:c>
      <x:c r="G24" t="str">
        <x:v>recommendation_accepted</x:v>
      </x:c>
      <x:c r="H24" t="str">
        <x:v>Baixa</x:v>
      </x:c>
      <x:c r="I24" t="str">
        <x:v>Analytics</x:v>
      </x:c>
      <x:c r="J24" t="str">
        <x:v>SDK</x:v>
      </x:c>
      <x:c r="K24" t="str">
        <x:v>Tempo real</x:v>
      </x:c>
      <x:c r="L24" t="str">
        <x:v>catálogo válido</x:v>
      </x:c>
      <x:c r="M24" t="str">
        <x:v>24 months analytics</x:v>
      </x:c>
    </x:row>
    <x:row r="25">
      <x:c r="A25" t="str">
        <x:v>fact_event</x:v>
      </x:c>
      <x:c r="B25" t="str">
        <x:v>occurred_at</x:v>
      </x:c>
      <x:c r="C25" t="str">
        <x:v>timestamp</x:v>
      </x:c>
      <x:c r="D25" t="str">
        <x:v>Momento UTC do evento.</x:v>
      </x:c>
      <x:c r="F25" t="str">
        <x:v>Sim</x:v>
      </x:c>
      <x:c r="G25" t="str">
        <x:v>2026-08-18T12:00Z</x:v>
      </x:c>
      <x:c r="H25" t="str">
        <x:v>Média</x:v>
      </x:c>
      <x:c r="I25" t="str">
        <x:v>Analytics</x:v>
      </x:c>
      <x:c r="J25" t="str">
        <x:v>SDK</x:v>
      </x:c>
      <x:c r="K25" t="str">
        <x:v>Tempo real</x:v>
      </x:c>
      <x:c r="L25" t="str">
        <x:v>não futuro; timezone UTC</x:v>
      </x:c>
      <x:c r="M25" t="str">
        <x:v>24 months analytics</x:v>
      </x:c>
    </x:row>
    <x:row r="26">
      <x:c r="A26" t="str">
        <x:v>fact_event</x:v>
      </x:c>
      <x:c r="B26" t="str">
        <x:v>object_id</x:v>
      </x:c>
      <x:c r="C26" t="str">
        <x:v>UUID</x:v>
      </x:c>
      <x:c r="D26" t="str">
        <x:v>Objeto afetado pelo evento.</x:v>
      </x:c>
      <x:c r="E26" t="str">
        <x:v>FK</x:v>
      </x:c>
      <x:c r="F26" t="str">
        <x:v>Não</x:v>
      </x:c>
      <x:c r="G26" t="str">
        <x:v>rec_01...</x:v>
      </x:c>
      <x:c r="H26" t="str">
        <x:v>Média</x:v>
      </x:c>
      <x:c r="I26" t="str">
        <x:v>Analytics</x:v>
      </x:c>
      <x:c r="J26" t="str">
        <x:v>SDK</x:v>
      </x:c>
      <x:c r="K26" t="str">
        <x:v>Tempo real</x:v>
      </x:c>
      <x:c r="L26" t="str">
        <x:v>existir no domínio</x:v>
      </x:c>
      <x:c r="M26" t="str">
        <x:v>24 months analytics</x:v>
      </x:c>
    </x:row>
    <x:row r="27">
      <x:c r="A27" t="str">
        <x:v>fact_opportunity</x:v>
      </x:c>
      <x:c r="B27" t="str">
        <x:v>opportunity_id</x:v>
      </x:c>
      <x:c r="C27" t="str">
        <x:v>UUID</x:v>
      </x:c>
      <x:c r="D27" t="str">
        <x:v>Demanda rastreável.</x:v>
      </x:c>
      <x:c r="E27" t="str">
        <x:v>PK</x:v>
      </x:c>
      <x:c r="F27" t="str">
        <x:v>Sim</x:v>
      </x:c>
      <x:c r="G27" t="str">
        <x:v>op_01...</x:v>
      </x:c>
      <x:c r="H27" t="str">
        <x:v>Média</x:v>
      </x:c>
      <x:c r="I27" t="str">
        <x:v>Execução / interesse legítimo</x:v>
      </x:c>
      <x:c r="J27" t="str">
        <x:v>ATS/CRM/Compras</x:v>
      </x:c>
      <x:c r="K27" t="str">
        <x:v>Diária</x:v>
      </x:c>
      <x:c r="L27" t="str">
        <x:v>único</x:v>
      </x:c>
      <x:c r="M27" t="str">
        <x:v>36 months after record closure; purpose-specific TTL</x:v>
      </x:c>
    </x:row>
    <x:row r="28">
      <x:c r="A28" t="str">
        <x:v>fact_opportunity</x:v>
      </x:c>
      <x:c r="B28" t="str">
        <x:v>value</x:v>
      </x:c>
      <x:c r="C28" t="str">
        <x:v>decimal</x:v>
      </x:c>
      <x:c r="D28" t="str">
        <x:v>Valor potencial da oportunidade.</x:v>
      </x:c>
      <x:c r="F28" t="str">
        <x:v>Não</x:v>
      </x:c>
      <x:c r="H28" t="str">
        <x:v>Alta</x:v>
      </x:c>
      <x:c r="I28" t="str">
        <x:v>Mensuração financeira</x:v>
      </x:c>
      <x:c r="J28" t="str">
        <x:v>CRM</x:v>
      </x:c>
      <x:c r="K28" t="str">
        <x:v>Diária</x:v>
      </x:c>
      <x:c r="L28" t="str">
        <x:v>moeda e estágio presentes</x:v>
      </x:c>
      <x:c r="M28" t="str">
        <x:v>60 months or contract + legal obligation</x:v>
      </x:c>
    </x:row>
    <x:row r="29">
      <x:c r="A29" t="str">
        <x:v>fact_opportunity</x:v>
      </x:c>
      <x:c r="B29" t="str">
        <x:v>stage</x:v>
      </x:c>
      <x:c r="C29" t="str">
        <x:v>enum</x:v>
      </x:c>
      <x:c r="D29" t="str">
        <x:v>Estágio do funil.</x:v>
      </x:c>
      <x:c r="F29" t="str">
        <x:v>Sim</x:v>
      </x:c>
      <x:c r="G29" t="str">
        <x:v>proposal</x:v>
      </x:c>
      <x:c r="H29" t="str">
        <x:v>Média</x:v>
      </x:c>
      <x:c r="I29" t="str">
        <x:v>Operação</x:v>
      </x:c>
      <x:c r="J29" t="str">
        <x:v>CRM</x:v>
      </x:c>
      <x:c r="K29" t="str">
        <x:v>Diária</x:v>
      </x:c>
      <x:c r="L29" t="str">
        <x:v>transições válidas</x:v>
      </x:c>
      <x:c r="M29" t="str">
        <x:v>60 months or contract + legal obligation</x:v>
      </x:c>
    </x:row>
    <x:row r="30">
      <x:c r="A30" t="str">
        <x:v>fact_match</x:v>
      </x:c>
      <x:c r="B30" t="str">
        <x:v>match_id</x:v>
      </x:c>
      <x:c r="C30" t="str">
        <x:v>UUID</x:v>
      </x:c>
      <x:c r="D30" t="str">
        <x:v>Par oferta-demanda avaliado.</x:v>
      </x:c>
      <x:c r="E30" t="str">
        <x:v>PK</x:v>
      </x:c>
      <x:c r="F30" t="str">
        <x:v>Sim</x:v>
      </x:c>
      <x:c r="G30" t="str">
        <x:v>m_01...</x:v>
      </x:c>
      <x:c r="H30" t="str">
        <x:v>Média</x:v>
      </x:c>
      <x:c r="I30" t="str">
        <x:v>Recomendação</x:v>
      </x:c>
      <x:c r="J30" t="str">
        <x:v>Motor</x:v>
      </x:c>
      <x:c r="K30" t="str">
        <x:v>Tempo real</x:v>
      </x:c>
      <x:c r="L30" t="str">
        <x:v>único por versão</x:v>
      </x:c>
      <x:c r="M30" t="str">
        <x:v>36 months after decision</x:v>
      </x:c>
    </x:row>
    <x:row r="31">
      <x:c r="A31" t="str">
        <x:v>fact_match</x:v>
      </x:c>
      <x:c r="B31" t="str">
        <x:v>score</x:v>
      </x:c>
      <x:c r="C31" t="str">
        <x:v>decimal</x:v>
      </x:c>
      <x:c r="D31" t="str">
        <x:v>Compatibilidade explicável.</x:v>
      </x:c>
      <x:c r="F31" t="str">
        <x:v>Sim</x:v>
      </x:c>
      <x:c r="H31" t="str">
        <x:v>Média</x:v>
      </x:c>
      <x:c r="I31" t="str">
        <x:v>Recomendação</x:v>
      </x:c>
      <x:c r="J31" t="str">
        <x:v>Motor</x:v>
      </x:c>
      <x:c r="K31" t="str">
        <x:v>Tempo real</x:v>
      </x:c>
      <x:c r="L31" t="str">
        <x:v>0 a 1</x:v>
      </x:c>
      <x:c r="M31" t="str">
        <x:v>36 months after decision</x:v>
      </x:c>
    </x:row>
    <x:row r="32">
      <x:c r="A32" t="str">
        <x:v>fact_match</x:v>
      </x:c>
      <x:c r="B32" t="str">
        <x:v>model_version_id</x:v>
      </x:c>
      <x:c r="C32" t="str">
        <x:v>string</x:v>
      </x:c>
      <x:c r="D32" t="str">
        <x:v>Versão que produziu o score.</x:v>
      </x:c>
      <x:c r="E32" t="str">
        <x:v>FK</x:v>
      </x:c>
      <x:c r="F32" t="str">
        <x:v>Sim</x:v>
      </x:c>
      <x:c r="G32" t="str">
        <x:v>match_v7</x:v>
      </x:c>
      <x:c r="H32" t="str">
        <x:v>Média</x:v>
      </x:c>
      <x:c r="I32" t="str">
        <x:v>Auditabilidade</x:v>
      </x:c>
      <x:c r="J32" t="str">
        <x:v>MLOps</x:v>
      </x:c>
      <x:c r="K32" t="str">
        <x:v>Tempo real</x:v>
      </x:c>
      <x:c r="L32" t="str">
        <x:v>versão registrada</x:v>
      </x:c>
      <x:c r="M32" t="str">
        <x:v>60 months after model retirement</x:v>
      </x:c>
    </x:row>
    <x:row r="33">
      <x:c r="A33" t="str">
        <x:v>fact_participation</x:v>
      </x:c>
      <x:c r="B33" t="str">
        <x:v>participation_id</x:v>
      </x:c>
      <x:c r="C33" t="str">
        <x:v>UUID</x:v>
      </x:c>
      <x:c r="D33" t="str">
        <x:v>Exposição a programa ou ação.</x:v>
      </x:c>
      <x:c r="E33" t="str">
        <x:v>PK</x:v>
      </x:c>
      <x:c r="F33" t="str">
        <x:v>Sim</x:v>
      </x:c>
      <x:c r="G33" t="str">
        <x:v>pt_01...</x:v>
      </x:c>
      <x:c r="H33" t="str">
        <x:v>Alta</x:v>
      </x:c>
      <x:c r="I33" t="str">
        <x:v>Execução do serviço</x:v>
      </x:c>
      <x:c r="J33" t="str">
        <x:v>Eventos/LMS</x:v>
      </x:c>
      <x:c r="K33" t="str">
        <x:v>Evento</x:v>
      </x:c>
      <x:c r="L33" t="str">
        <x:v>único por pessoa-ação</x:v>
      </x:c>
      <x:c r="M33" t="str">
        <x:v>36 meses</x:v>
      </x:c>
      <x:c r="N33" t="str">
        <x:v>token only; L&amp;D role</x:v>
      </x:c>
      <x:c r="O33" t="str">
        <x:v>revogação blocks future processing &lt;=5 min</x:v>
      </x:c>
      <x:c r="P33" t="str">
        <x:v>event log + deletion receipt</x:v>
      </x:c>
    </x:row>
    <x:row r="34">
      <x:c r="A34" t="str">
        <x:v>fact_participation</x:v>
      </x:c>
      <x:c r="B34" t="str">
        <x:v>dose</x:v>
      </x:c>
      <x:c r="C34" t="str">
        <x:v>decimal</x:v>
      </x:c>
      <x:c r="D34" t="str">
        <x:v>Intensidade/duração da exposição.</x:v>
      </x:c>
      <x:c r="F34" t="str">
        <x:v>Não</x:v>
      </x:c>
      <x:c r="H34" t="str">
        <x:v>Média</x:v>
      </x:c>
      <x:c r="I34" t="str">
        <x:v>Mensuração de efeito</x:v>
      </x:c>
      <x:c r="J34" t="str">
        <x:v>Eventos/LMS</x:v>
      </x:c>
      <x:c r="K34" t="str">
        <x:v>Evento</x:v>
      </x:c>
      <x:c r="L34" t="str">
        <x:v>unidade definida</x:v>
      </x:c>
      <x:c r="M34" t="str">
        <x:v>36 months after event</x:v>
      </x:c>
    </x:row>
    <x:row r="35">
      <x:c r="A35" t="str">
        <x:v>fact_contract</x:v>
      </x:c>
      <x:c r="B35" t="str">
        <x:v>contract_id</x:v>
      </x:c>
      <x:c r="C35" t="str">
        <x:v>UUID</x:v>
      </x:c>
      <x:c r="D35" t="str">
        <x:v>Contrato fechado.</x:v>
      </x:c>
      <x:c r="E35" t="str">
        <x:v>PK</x:v>
      </x:c>
      <x:c r="F35" t="str">
        <x:v>Sim</x:v>
      </x:c>
      <x:c r="G35" t="str">
        <x:v>ct_01...</x:v>
      </x:c>
      <x:c r="H35" t="str">
        <x:v>Alta</x:v>
      </x:c>
      <x:c r="I35" t="str">
        <x:v>Execução do contrato</x:v>
      </x:c>
      <x:c r="J35" t="str">
        <x:v>CRM/ERP</x:v>
      </x:c>
      <x:c r="K35" t="str">
        <x:v>Diária</x:v>
      </x:c>
      <x:c r="L35" t="str">
        <x:v>conciliado</x:v>
      </x:c>
      <x:c r="M35" t="str">
        <x:v>120 meses fiscal/legal</x:v>
      </x:c>
      <x:c r="N35" t="str">
        <x:v>Finance restricted; masked BI</x:v>
      </x:c>
      <x:c r="O35" t="str">
        <x:v>not consent-dependent</x:v>
      </x:c>
      <x:c r="P35" t="str">
        <x:v>ERP reconciliation + audit log</x:v>
      </x:c>
    </x:row>
    <x:row r="36">
      <x:c r="A36" t="str">
        <x:v>fact_contract</x:v>
      </x:c>
      <x:c r="B36" t="str">
        <x:v>origin_touchpoint</x:v>
      </x:c>
      <x:c r="C36" t="str">
        <x:v>UUID</x:v>
      </x:c>
      <x:c r="D36" t="str">
        <x:v>Touchpoint ou match de origem.</x:v>
      </x:c>
      <x:c r="E36" t="str">
        <x:v>FK</x:v>
      </x:c>
      <x:c r="F36" t="str">
        <x:v>Não</x:v>
      </x:c>
      <x:c r="G36" t="str">
        <x:v>m_01...</x:v>
      </x:c>
      <x:c r="H36" t="str">
        <x:v>Média</x:v>
      </x:c>
      <x:c r="I36" t="str">
        <x:v>Atribuição</x:v>
      </x:c>
      <x:c r="J36" t="str">
        <x:v>CRM</x:v>
      </x:c>
      <x:c r="K36" t="str">
        <x:v>Diária</x:v>
      </x:c>
      <x:c r="L36" t="str">
        <x:v>janela válida</x:v>
      </x:c>
      <x:c r="M36" t="str">
        <x:v>60 months or contract + legal obligation</x:v>
      </x:c>
    </x:row>
    <x:row r="37">
      <x:c r="A37" t="str">
        <x:v>fact_transaction</x:v>
      </x:c>
      <x:c r="B37" t="str">
        <x:v>amount</x:v>
      </x:c>
      <x:c r="C37" t="str">
        <x:v>decimal</x:v>
      </x:c>
      <x:c r="D37" t="str">
        <x:v>Valor reconhecido ou pago.</x:v>
      </x:c>
      <x:c r="F37" t="str">
        <x:v>Sim</x:v>
      </x:c>
      <x:c r="H37" t="str">
        <x:v>Alta</x:v>
      </x:c>
      <x:c r="I37" t="str">
        <x:v>Execução do contrato</x:v>
      </x:c>
      <x:c r="J37" t="str">
        <x:v>ERP</x:v>
      </x:c>
      <x:c r="K37" t="str">
        <x:v>Diária</x:v>
      </x:c>
      <x:c r="L37" t="str">
        <x:v>conciliação financeira</x:v>
      </x:c>
      <x:c r="M37" t="str">
        <x:v>120 meses fiscal/legal</x:v>
      </x:c>
      <x:c r="N37" t="str">
        <x:v>Finance restricted</x:v>
      </x:c>
      <x:c r="O37" t="str">
        <x:v>not consent-dependent</x:v>
      </x:c>
      <x:c r="P37" t="str">
        <x:v>ledger reconciliation</x:v>
      </x:c>
    </x:row>
    <x:row r="38">
      <x:c r="A38" t="str">
        <x:v>fact_business_metric</x:v>
      </x:c>
      <x:c r="B38" t="str">
        <x:v>metric_id</x:v>
      </x:c>
      <x:c r="C38" t="str">
        <x:v>string</x:v>
      </x:c>
      <x:c r="D38" t="str">
        <x:v>Indicador de negócio acordado.</x:v>
      </x:c>
      <x:c r="E38" t="str">
        <x:v>PK parcial</x:v>
      </x:c>
      <x:c r="F38" t="str">
        <x:v>Sim</x:v>
      </x:c>
      <x:c r="G38" t="str">
        <x:v>turnover</x:v>
      </x:c>
      <x:c r="H38" t="str">
        <x:v>Alta</x:v>
      </x:c>
      <x:c r="I38" t="str">
        <x:v>Mensuração</x:v>
      </x:c>
      <x:c r="J38" t="str">
        <x:v>BI cliente</x:v>
      </x:c>
      <x:c r="K38" t="str">
        <x:v>Mensal</x:v>
      </x:c>
      <x:c r="L38" t="str">
        <x:v>dicionário e owner definidos</x:v>
      </x:c>
      <x:c r="M38" t="str">
        <x:v>60 months after certification</x:v>
      </x:c>
    </x:row>
    <x:row r="39">
      <x:c r="A39" t="str">
        <x:v>fact_business_metric</x:v>
      </x:c>
      <x:c r="B39" t="str">
        <x:v>baseline_value</x:v>
      </x:c>
      <x:c r="C39" t="str">
        <x:v>decimal</x:v>
      </x:c>
      <x:c r="D39" t="str">
        <x:v>Valor antes da intervenção.</x:v>
      </x:c>
      <x:c r="F39" t="str">
        <x:v>Sim</x:v>
      </x:c>
      <x:c r="H39" t="str">
        <x:v>Alta</x:v>
      </x:c>
      <x:c r="I39" t="str">
        <x:v>Mensuração</x:v>
      </x:c>
      <x:c r="J39" t="str">
        <x:v>BI cliente</x:v>
      </x:c>
      <x:c r="K39" t="str">
        <x:v>Mensal</x:v>
      </x:c>
      <x:c r="L39" t="str">
        <x:v>mesma definição do pós</x:v>
      </x:c>
      <x:c r="M39" t="str">
        <x:v>60 months after certification</x:v>
      </x:c>
    </x:row>
    <x:row r="40">
      <x:c r="A40" t="str">
        <x:v>fact_business_metric</x:v>
      </x:c>
      <x:c r="B40" t="str">
        <x:v>observed_value</x:v>
      </x:c>
      <x:c r="C40" t="str">
        <x:v>decimal</x:v>
      </x:c>
      <x:c r="D40" t="str">
        <x:v>Valor observado no período.</x:v>
      </x:c>
      <x:c r="F40" t="str">
        <x:v>Sim</x:v>
      </x:c>
      <x:c r="H40" t="str">
        <x:v>Alta</x:v>
      </x:c>
      <x:c r="I40" t="str">
        <x:v>Mensuração</x:v>
      </x:c>
      <x:c r="J40" t="str">
        <x:v>BI cliente</x:v>
      </x:c>
      <x:c r="K40" t="str">
        <x:v>Mensal</x:v>
      </x:c>
      <x:c r="L40" t="str">
        <x:v>mesma população e janela</x:v>
      </x:c>
      <x:c r="M40" t="str">
        <x:v>60 months after certification</x:v>
      </x:c>
    </x:row>
    <x:row r="41">
      <x:c r="A41" t="str">
        <x:v>fact_financial_value</x:v>
      </x:c>
      <x:c r="B41" t="str">
        <x:v>lever</x:v>
      </x:c>
      <x:c r="C41" t="str">
        <x:v>enum</x:v>
      </x:c>
      <x:c r="D41" t="str">
        <x:v>Alavanca financeira deduplicada.</x:v>
      </x:c>
      <x:c r="F41" t="str">
        <x:v>Sim</x:v>
      </x:c>
      <x:c r="G41" t="str">
        <x:v>retention</x:v>
      </x:c>
      <x:c r="H41" t="str">
        <x:v>Alta</x:v>
      </x:c>
      <x:c r="I41" t="str">
        <x:v>Prova de valor</x:v>
      </x:c>
      <x:c r="J41" t="str">
        <x:v>Data mart</x:v>
      </x:c>
      <x:c r="K41" t="str">
        <x:v>Trimestral</x:v>
      </x:c>
      <x:c r="L41" t="str">
        <x:v>taxonomia financeira</x:v>
      </x:c>
      <x:c r="M41" t="str">
        <x:v>60 months after certification</x:v>
      </x:c>
    </x:row>
    <x:row r="42">
      <x:c r="A42" t="str">
        <x:v>fact_financial_value</x:v>
      </x:c>
      <x:c r="B42" t="str">
        <x:v>gross_value</x:v>
      </x:c>
      <x:c r="C42" t="str">
        <x:v>decimal</x:v>
      </x:c>
      <x:c r="D42" t="str">
        <x:v>Valor antes da atribuição.</x:v>
      </x:c>
      <x:c r="F42" t="str">
        <x:v>Sim</x:v>
      </x:c>
      <x:c r="H42" t="str">
        <x:v>Alta</x:v>
      </x:c>
      <x:c r="I42" t="str">
        <x:v>Prova de valor</x:v>
      </x:c>
      <x:c r="J42" t="str">
        <x:v>Data mart</x:v>
      </x:c>
      <x:c r="K42" t="str">
        <x:v>Trimestral</x:v>
      </x:c>
      <x:c r="L42" t="str">
        <x:v>fonte e fórmula registradas</x:v>
      </x:c>
      <x:c r="M42" t="str">
        <x:v>60 months after certification</x:v>
      </x:c>
    </x:row>
    <x:row r="43">
      <x:c r="A43" t="str">
        <x:v>fact_financial_value</x:v>
      </x:c>
      <x:c r="B43" t="str">
        <x:v>attribution_rate</x:v>
      </x:c>
      <x:c r="C43" t="str">
        <x:v>decimal</x:v>
      </x:c>
      <x:c r="D43" t="str">
        <x:v>Parcela atribuída à HUB.</x:v>
      </x:c>
      <x:c r="F43" t="str">
        <x:v>Sim</x:v>
      </x:c>
      <x:c r="H43" t="str">
        <x:v>Alta</x:v>
      </x:c>
      <x:c r="I43" t="str">
        <x:v>Prova de valor</x:v>
      </x:c>
      <x:c r="J43" t="str">
        <x:v>Metodologia</x:v>
      </x:c>
      <x:c r="K43" t="str">
        <x:v>Trimestral</x:v>
      </x:c>
      <x:c r="L43" t="str">
        <x:v>0 a 1; evidência associada</x:v>
      </x:c>
      <x:c r="M43" t="str">
        <x:v>60 months after certification</x:v>
      </x:c>
    </x:row>
    <x:row r="44">
      <x:c r="A44" t="str">
        <x:v>fact_financial_value</x:v>
      </x:c>
      <x:c r="B44" t="str">
        <x:v>evidence_level</x:v>
      </x:c>
      <x:c r="C44" t="str">
        <x:v>enum</x:v>
      </x:c>
      <x:c r="D44" t="str">
        <x:v>Força metodológica da estimativa.</x:v>
      </x:c>
      <x:c r="F44" t="str">
        <x:v>Sim</x:v>
      </x:c>
      <x:c r="G44" t="str">
        <x:v>quase_experimental</x:v>
      </x:c>
      <x:c r="H44" t="str">
        <x:v>Média</x:v>
      </x:c>
      <x:c r="I44" t="str">
        <x:v>Transparência</x:v>
      </x:c>
      <x:c r="J44" t="str">
        <x:v>Metadados</x:v>
      </x:c>
      <x:c r="K44" t="str">
        <x:v>Trimestral</x:v>
      </x:c>
      <x:c r="L44" t="str">
        <x:v>catálogo válido</x:v>
      </x:c>
      <x:c r="M44" t="str">
        <x:v>60 months after certification</x:v>
      </x:c>
    </x:row>
    <x:row r="45">
      <x:c r="A45" t="str">
        <x:v>dim_cohort</x:v>
      </x:c>
      <x:c r="B45" t="str">
        <x:v>cohort_definition</x:v>
      </x:c>
      <x:c r="C45" t="str">
        <x:v>json</x:v>
      </x:c>
      <x:c r="D45" t="str">
        <x:v>Critérios imutáveis do grupo.</x:v>
      </x:c>
      <x:c r="F45" t="str">
        <x:v>Sim</x:v>
      </x:c>
      <x:c r="G45" t="str">
        <x:v>{...}</x:v>
      </x:c>
      <x:c r="H45" t="str">
        <x:v>Alta</x:v>
      </x:c>
      <x:c r="I45" t="str">
        <x:v>Mensuração</x:v>
      </x:c>
      <x:c r="J45" t="str">
        <x:v>Camada analítica</x:v>
      </x:c>
      <x:c r="K45" t="str">
        <x:v>Mensal</x:v>
      </x:c>
      <x:c r="L45" t="str">
        <x:v>versionado e reproduzível</x:v>
      </x:c>
      <x:c r="M45" t="str">
        <x:v>36 months after cohort closure</x:v>
      </x:c>
    </x:row>
    <x:row r="46">
      <x:c r="A46" t="str">
        <x:v>dim_model_version</x:v>
      </x:c>
      <x:c r="B46" t="str">
        <x:v>features_hash</x:v>
      </x:c>
      <x:c r="C46" t="str">
        <x:v>string</x:v>
      </x:c>
      <x:c r="D46" t="str">
        <x:v>Hash das features e pesos.</x:v>
      </x:c>
      <x:c r="F46" t="str">
        <x:v>Sim</x:v>
      </x:c>
      <x:c r="G46" t="str">
        <x:v>sha256...</x:v>
      </x:c>
      <x:c r="H46" t="str">
        <x:v>Média</x:v>
      </x:c>
      <x:c r="I46" t="str">
        <x:v>Auditabilidade</x:v>
      </x:c>
      <x:c r="J46" t="str">
        <x:v>MLOps</x:v>
      </x:c>
      <x:c r="K46" t="str">
        <x:v>Release</x:v>
      </x:c>
      <x:c r="L46" t="str">
        <x:v>imutável</x:v>
      </x:c>
      <x:c r="M46" t="str">
        <x:v>60 months after model retirement</x:v>
      </x:c>
    </x:row>
  </x:sheetData>
  <x:pageSetup fitToWidth="1" fitToHeight="0" orientation="landscape"/>
</x:worksheet>
</file>

<file path=xl/worksheets/sheet11.xml><?xml version="1.0" encoding="utf-8"?>
<x:worksheet xmlns:x="http://schemas.openxmlformats.org/spreadsheetml/2006/main">
  <x:sheetPr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</x:cols>
  <x:sheetData>
    <x:row r="1">
      <x:c r="A1" t="str">
        <x:v>Taxonomia de eventos do produto</x:v>
      </x:c>
    </x:row>
    <x:row r="3">
      <x:c r="A3" t="str">
        <x:v>Eventos padronizados permitem medir funil, adoção, recomendação e valor sem ambiguidade.</x:v>
      </x:c>
    </x:row>
    <x:row r="5">
      <x:c r="A5" t="str">
        <x:v>Evento</x:v>
      </x:c>
      <x:c r="B5" t="str">
        <x:v>Quando dispara</x:v>
      </x:c>
      <x:c r="C5" t="str">
        <x:v>Objeto</x:v>
      </x:c>
      <x:c r="D5" t="str">
        <x:v>Propriedades obrigatórias</x:v>
      </x:c>
      <x:c r="E5" t="str">
        <x:v>Pessoa/empresa</x:v>
      </x:c>
      <x:c r="F5" t="str">
        <x:v>Etapa do funil</x:v>
      </x:c>
      <x:c r="G5" t="str">
        <x:v>Indicadores</x:v>
      </x:c>
      <x:c r="H5" t="str">
        <x:v>Valor esperado</x:v>
      </x:c>
      <x:c r="I5" t="str">
        <x:v>PII</x:v>
      </x:c>
      <x:c r="J5" t="str">
        <x:v>Retenção</x:v>
      </x:c>
      <x:c r="K5" t="str">
        <x:v>Regra de QA</x:v>
      </x:c>
      <x:c r="L5" t="str">
        <x:v>Schema version</x:v>
      </x:c>
      <x:c r="M5" t="str">
        <x:v>Ingestion timestamp</x:v>
      </x:c>
      <x:c r="N5" t="str">
        <x:v>Idempotency key</x:v>
      </x:c>
      <x:c r="O5" t="str">
        <x:v>Provenance</x:v>
      </x:c>
    </x:row>
    <x:row r="6">
      <x:c r="A6" t="str">
        <x:v>account_created</x:v>
      </x:c>
      <x:c r="B6" t="str">
        <x:v>cadastro concluído</x:v>
      </x:c>
      <x:c r="C6" t="str">
        <x:v>person/company</x:v>
      </x:c>
      <x:c r="D6" t="str">
        <x:v>source, persona, consent_version</x:v>
      </x:c>
      <x:c r="E6" t="str">
        <x:v>person_id/company_id</x:v>
      </x:c>
      <x:c r="F6" t="str">
        <x:v>Aquisição</x:v>
      </x:c>
      <x:c r="G6" t="str">
        <x:v>novos cadastros, CAC</x:v>
      </x:c>
      <x:c r="H6" t="str">
        <x:v>entrada no funil</x:v>
      </x:c>
      <x:c r="I6" t="str">
        <x:v>Sim</x:v>
      </x:c>
      <x:c r="J6" t="str">
        <x:v>24 meses</x:v>
      </x:c>
      <x:c r="K6" t="str">
        <x:v>idempotente</x:v>
      </x:c>
      <x:c r="M6" t="str">
        <x:v>v1</x:v>
      </x:c>
      <x:c r="N6" t="str">
        <x:v>ingested_at (UTC)</x:v>
      </x:c>
      <x:c r="O6" t="str">
        <x:v>event_id + account_created + object_id</x:v>
      </x:c>
      <x:c r="P6" t="str">
        <x:v>source system + contract version + ingestion log</x:v>
      </x:c>
    </x:row>
    <x:row r="7">
      <x:c r="A7" t="str">
        <x:v>profile_completed</x:v>
      </x:c>
      <x:c r="B7" t="str">
        <x:v>campos mínimos válidos</x:v>
      </x:c>
      <x:c r="C7" t="str">
        <x:v>profile</x:v>
      </x:c>
      <x:c r="D7" t="str">
        <x:v>completion_rate, missing_fields</x:v>
      </x:c>
      <x:c r="E7" t="str">
        <x:v>person_id</x:v>
      </x:c>
      <x:c r="F7" t="str">
        <x:v>Ativação</x:v>
      </x:c>
      <x:c r="G7" t="str">
        <x:v>completude, ativação</x:v>
      </x:c>
      <x:c r="H7" t="str">
        <x:v>habilita diagnóstico/match</x:v>
      </x:c>
      <x:c r="I7" t="str">
        <x:v>Sim</x:v>
      </x:c>
      <x:c r="J7" t="str">
        <x:v>24 meses</x:v>
      </x:c>
      <x:c r="K7" t="str">
        <x:v>completion_rate 0–1</x:v>
      </x:c>
      <x:c r="M7" t="str">
        <x:v>v1</x:v>
      </x:c>
      <x:c r="N7" t="str">
        <x:v>ingested_at (UTC)</x:v>
      </x:c>
      <x:c r="O7" t="str">
        <x:v>event_id + profile_completed + object_id</x:v>
      </x:c>
      <x:c r="P7" t="str">
        <x:v>source system + contract version + ingestion log</x:v>
      </x:c>
    </x:row>
    <x:row r="8">
      <x:c r="A8" t="str">
        <x:v>assessment_started</x:v>
      </x:c>
      <x:c r="B8" t="str">
        <x:v>primeira resposta</x:v>
      </x:c>
      <x:c r="C8" t="str">
        <x:v>assessment</x:v>
      </x:c>
      <x:c r="D8" t="str">
        <x:v>instrument_version, context</x:v>
      </x:c>
      <x:c r="E8" t="str">
        <x:v>person_id/company_id</x:v>
      </x:c>
      <x:c r="F8" t="str">
        <x:v>Ativação</x:v>
      </x:c>
      <x:c r="G8" t="str">
        <x:v>início de diagnóstico</x:v>
      </x:c>
      <x:c r="H8" t="str">
        <x:v>gera baseline</x:v>
      </x:c>
      <x:c r="I8" t="str">
        <x:v>Sim</x:v>
      </x:c>
      <x:c r="J8" t="str">
        <x:v>36 meses</x:v>
      </x:c>
      <x:c r="K8" t="str">
        <x:v>instrumento existente</x:v>
      </x:c>
      <x:c r="M8" t="str">
        <x:v>v1</x:v>
      </x:c>
      <x:c r="N8" t="str">
        <x:v>ingested_at (UTC)</x:v>
      </x:c>
      <x:c r="O8" t="str">
        <x:v>event_id + assessment_started + object_id</x:v>
      </x:c>
      <x:c r="P8" t="str">
        <x:v>source system + contract version + ingestion log</x:v>
      </x:c>
    </x:row>
    <x:row r="9">
      <x:c r="A9" t="str">
        <x:v>assessment_completed</x:v>
      </x:c>
      <x:c r="B9" t="str">
        <x:v>última resposta validada</x:v>
      </x:c>
      <x:c r="C9" t="str">
        <x:v>assessment</x:v>
      </x:c>
      <x:c r="D9" t="str">
        <x:v>score, dimensions, version</x:v>
      </x:c>
      <x:c r="E9" t="str">
        <x:v>person_id/company_id</x:v>
      </x:c>
      <x:c r="F9" t="str">
        <x:v>Ativação</x:v>
      </x:c>
      <x:c r="G9" t="str">
        <x:v>conclusão, prontidão</x:v>
      </x:c>
      <x:c r="H9" t="str">
        <x:v>habilita recomendação</x:v>
      </x:c>
      <x:c r="I9" t="str">
        <x:v>Sim</x:v>
      </x:c>
      <x:c r="J9" t="str">
        <x:v>36 meses</x:v>
      </x:c>
      <x:c r="K9" t="str">
        <x:v>score dentro da faixa</x:v>
      </x:c>
      <x:c r="M9" t="str">
        <x:v>v1</x:v>
      </x:c>
      <x:c r="N9" t="str">
        <x:v>ingested_at (UTC)</x:v>
      </x:c>
      <x:c r="O9" t="str">
        <x:v>event_id + assessment_completed + object_id</x:v>
      </x:c>
      <x:c r="P9" t="str">
        <x:v>source system + contract version + ingestion log</x:v>
      </x:c>
    </x:row>
    <x:row r="10">
      <x:c r="A10" t="str">
        <x:v>recommendation_viewed</x:v>
      </x:c>
      <x:c r="B10" t="str">
        <x:v>recomendação exibida</x:v>
      </x:c>
      <x:c r="C10" t="str">
        <x:v>recommendation</x:v>
      </x:c>
      <x:c r="D10" t="str">
        <x:v>model_version, rank, explanation</x:v>
      </x:c>
      <x:c r="E10" t="str">
        <x:v>person_id/company_id</x:v>
      </x:c>
      <x:c r="F10" t="str">
        <x:v>Engajamento</x:v>
      </x:c>
      <x:c r="G10" t="str">
        <x:v>CTR de recomendação</x:v>
      </x:c>
      <x:c r="H10" t="str">
        <x:v>sinal de interesse</x:v>
      </x:c>
      <x:c r="I10" t="str">
        <x:v>Sim</x:v>
      </x:c>
      <x:c r="J10" t="str">
        <x:v>24 meses</x:v>
      </x:c>
      <x:c r="K10" t="str">
        <x:v>versão registrada</x:v>
      </x:c>
      <x:c r="M10" t="str">
        <x:v>v1</x:v>
      </x:c>
      <x:c r="N10" t="str">
        <x:v>ingested_at (UTC)</x:v>
      </x:c>
      <x:c r="O10" t="str">
        <x:v>event_id + recommendation_viewed + object_id</x:v>
      </x:c>
      <x:c r="P10" t="str">
        <x:v>source system + contract version + ingestion log</x:v>
      </x:c>
    </x:row>
    <x:row r="11">
      <x:c r="A11" t="str">
        <x:v>recommendation_accepted</x:v>
      </x:c>
      <x:c r="B11" t="str">
        <x:v>usuário confirma ação</x:v>
      </x:c>
      <x:c r="C11" t="str">
        <x:v>recommendation</x:v>
      </x:c>
      <x:c r="D11" t="str">
        <x:v>type, rank, model_version</x:v>
      </x:c>
      <x:c r="E11" t="str">
        <x:v>person_id/company_id</x:v>
      </x:c>
      <x:c r="F11" t="str">
        <x:v>Conversão</x:v>
      </x:c>
      <x:c r="G11" t="str">
        <x:v>aceitação, uplift</x:v>
      </x:c>
      <x:c r="H11" t="str">
        <x:v>inicia ação</x:v>
      </x:c>
      <x:c r="I11" t="str">
        <x:v>Sim</x:v>
      </x:c>
      <x:c r="J11" t="str">
        <x:v>36 meses</x:v>
      </x:c>
      <x:c r="K11" t="str">
        <x:v>recomendação válida</x:v>
      </x:c>
      <x:c r="M11" t="str">
        <x:v>v1</x:v>
      </x:c>
      <x:c r="N11" t="str">
        <x:v>ingested_at (UTC)</x:v>
      </x:c>
      <x:c r="O11" t="str">
        <x:v>event_id + recommendation_accepted + object_id</x:v>
      </x:c>
      <x:c r="P11" t="str">
        <x:v>source system + contract version + ingestion log</x:v>
      </x:c>
    </x:row>
    <x:row r="12">
      <x:c r="A12" t="str">
        <x:v>journey_started</x:v>
      </x:c>
      <x:c r="B12" t="str">
        <x:v>primeira etapa iniciada</x:v>
      </x:c>
      <x:c r="C12" t="str">
        <x:v>journey</x:v>
      </x:c>
      <x:c r="D12" t="str">
        <x:v>goal, version, origin</x:v>
      </x:c>
      <x:c r="E12" t="str">
        <x:v>person_id</x:v>
      </x:c>
      <x:c r="F12" t="str">
        <x:v>Engajamento</x:v>
      </x:c>
      <x:c r="G12" t="str">
        <x:v>início, time-to-value</x:v>
      </x:c>
      <x:c r="H12" t="str">
        <x:v>exposição</x:v>
      </x:c>
      <x:c r="I12" t="str">
        <x:v>Sim</x:v>
      </x:c>
      <x:c r="J12" t="str">
        <x:v>36 meses</x:v>
      </x:c>
      <x:c r="K12" t="str">
        <x:v>origin registrado</x:v>
      </x:c>
      <x:c r="M12" t="str">
        <x:v>v1</x:v>
      </x:c>
      <x:c r="N12" t="str">
        <x:v>ingested_at (UTC)</x:v>
      </x:c>
      <x:c r="O12" t="str">
        <x:v>event_id + journey_started + object_id</x:v>
      </x:c>
      <x:c r="P12" t="str">
        <x:v>source system + contract version + ingestion log</x:v>
      </x:c>
    </x:row>
    <x:row r="13">
      <x:c r="A13" t="str">
        <x:v>journey_step_completed</x:v>
      </x:c>
      <x:c r="B13" t="str">
        <x:v>etapa validada</x:v>
      </x:c>
      <x:c r="C13" t="str">
        <x:v>journey_step</x:v>
      </x:c>
      <x:c r="D13" t="str">
        <x:v>journey_id, step_id, evidence</x:v>
      </x:c>
      <x:c r="E13" t="str">
        <x:v>person_id</x:v>
      </x:c>
      <x:c r="F13" t="str">
        <x:v>Engajamento</x:v>
      </x:c>
      <x:c r="G13" t="str">
        <x:v>progresso, drop-off</x:v>
      </x:c>
      <x:c r="H13" t="str">
        <x:v>dose da ação</x:v>
      </x:c>
      <x:c r="I13" t="str">
        <x:v>Sim</x:v>
      </x:c>
      <x:c r="J13" t="str">
        <x:v>36 meses</x:v>
      </x:c>
      <x:c r="K13" t="str">
        <x:v>ordem e timestamp válidos</x:v>
      </x:c>
      <x:c r="M13" t="str">
        <x:v>v1</x:v>
      </x:c>
      <x:c r="N13" t="str">
        <x:v>ingested_at (UTC)</x:v>
      </x:c>
      <x:c r="O13" t="str">
        <x:v>event_id + journey_step_completed + object_id</x:v>
      </x:c>
      <x:c r="P13" t="str">
        <x:v>source system + contract version + ingestion log</x:v>
      </x:c>
    </x:row>
    <x:row r="14">
      <x:c r="A14" t="str">
        <x:v>journey_completed</x:v>
      </x:c>
      <x:c r="B14" t="str">
        <x:v>critério de conclusão</x:v>
      </x:c>
      <x:c r="C14" t="str">
        <x:v>journey</x:v>
      </x:c>
      <x:c r="D14" t="str">
        <x:v>outcome_expected, duration</x:v>
      </x:c>
      <x:c r="E14" t="str">
        <x:v>person_id</x:v>
      </x:c>
      <x:c r="F14" t="str">
        <x:v>Conversão</x:v>
      </x:c>
      <x:c r="G14" t="str">
        <x:v>conclusão, evolução</x:v>
      </x:c>
      <x:c r="H14" t="str">
        <x:v>habilita pós-medição</x:v>
      </x:c>
      <x:c r="I14" t="str">
        <x:v>Sim</x:v>
      </x:c>
      <x:c r="J14" t="str">
        <x:v>36 meses</x:v>
      </x:c>
      <x:c r="K14" t="str">
        <x:v>todas etapas obrigatórias</x:v>
      </x:c>
      <x:c r="M14" t="str">
        <x:v>v1</x:v>
      </x:c>
      <x:c r="N14" t="str">
        <x:v>ingested_at (UTC)</x:v>
      </x:c>
      <x:c r="O14" t="str">
        <x:v>event_id + journey_completed + object_id</x:v>
      </x:c>
      <x:c r="P14" t="str">
        <x:v>source system + contract version + ingestion log</x:v>
      </x:c>
    </x:row>
    <x:row r="15">
      <x:c r="A15" t="str">
        <x:v>opportunity_created</x:v>
      </x:c>
      <x:c r="B15" t="str">
        <x:v>demanda publicada</x:v>
      </x:c>
      <x:c r="C15" t="str">
        <x:v>opportunity</x:v>
      </x:c>
      <x:c r="D15" t="str">
        <x:v>type, requirements, value, deadline</x:v>
      </x:c>
      <x:c r="E15" t="str">
        <x:v>company_id</x:v>
      </x:c>
      <x:c r="F15" t="str">
        <x:v>Aquisição</x:v>
      </x:c>
      <x:c r="G15" t="str">
        <x:v>pipeline, cobertura</x:v>
      </x:c>
      <x:c r="H15" t="str">
        <x:v>demanda monetizável</x:v>
      </x:c>
      <x:c r="I15" t="str">
        <x:v>Não</x:v>
      </x:c>
      <x:c r="J15" t="str">
        <x:v>60 meses</x:v>
      </x:c>
      <x:c r="K15" t="str">
        <x:v>requisitos estruturados</x:v>
      </x:c>
      <x:c r="M15" t="str">
        <x:v>v1</x:v>
      </x:c>
      <x:c r="N15" t="str">
        <x:v>ingested_at (UTC)</x:v>
      </x:c>
      <x:c r="O15" t="str">
        <x:v>event_id + opportunity_created + object_id</x:v>
      </x:c>
      <x:c r="P15" t="str">
        <x:v>source system + contract version + ingestion log</x:v>
      </x:c>
    </x:row>
    <x:row r="16">
      <x:c r="A16" t="str">
        <x:v>match_generated</x:v>
      </x:c>
      <x:c r="B16" t="str">
        <x:v>motor conclui ranking</x:v>
      </x:c>
      <x:c r="C16" t="str">
        <x:v>match</x:v>
      </x:c>
      <x:c r="D16" t="str">
        <x:v>score, model_version, rank, criteria</x:v>
      </x:c>
      <x:c r="E16" t="str">
        <x:v>company_id/person_id</x:v>
      </x:c>
      <x:c r="F16" t="str">
        <x:v>Engajamento</x:v>
      </x:c>
      <x:c r="G16" t="str">
        <x:v>precisão, cobertura</x:v>
      </x:c>
      <x:c r="H16" t="str">
        <x:v>reduz busca</x:v>
      </x:c>
      <x:c r="I16" t="str">
        <x:v>Possível</x:v>
      </x:c>
      <x:c r="J16" t="str">
        <x:v>36 meses</x:v>
      </x:c>
      <x:c r="K16" t="str">
        <x:v>modelo e explicação</x:v>
      </x:c>
      <x:c r="M16" t="str">
        <x:v>v1</x:v>
      </x:c>
      <x:c r="N16" t="str">
        <x:v>ingested_at (UTC)</x:v>
      </x:c>
      <x:c r="O16" t="str">
        <x:v>event_id + match_generated + object_id</x:v>
      </x:c>
      <x:c r="P16" t="str">
        <x:v>source system + contract version + ingestion log</x:v>
      </x:c>
    </x:row>
    <x:row r="17">
      <x:c r="A17" t="str">
        <x:v>match_viewed</x:v>
      </x:c>
      <x:c r="B17" t="str">
        <x:v>match é visualizado</x:v>
      </x:c>
      <x:c r="C17" t="str">
        <x:v>match</x:v>
      </x:c>
      <x:c r="D17" t="str">
        <x:v>rank, channel</x:v>
      </x:c>
      <x:c r="E17" t="str">
        <x:v>person_id/company_id</x:v>
      </x:c>
      <x:c r="F17" t="str">
        <x:v>Engajamento</x:v>
      </x:c>
      <x:c r="G17" t="str">
        <x:v>CTR de match</x:v>
      </x:c>
      <x:c r="H17" t="str">
        <x:v>sinal de qualidade</x:v>
      </x:c>
      <x:c r="I17" t="str">
        <x:v>Possível</x:v>
      </x:c>
      <x:c r="J17" t="str">
        <x:v>36 meses</x:v>
      </x:c>
      <x:c r="K17" t="str">
        <x:v>rank consistente</x:v>
      </x:c>
      <x:c r="M17" t="str">
        <x:v>v1</x:v>
      </x:c>
      <x:c r="N17" t="str">
        <x:v>ingested_at (UTC)</x:v>
      </x:c>
      <x:c r="O17" t="str">
        <x:v>event_id + match_viewed + object_id</x:v>
      </x:c>
      <x:c r="P17" t="str">
        <x:v>source system + contract version + ingestion log</x:v>
      </x:c>
    </x:row>
    <x:row r="18">
      <x:c r="A18" t="str">
        <x:v>match_accepted</x:v>
      </x:c>
      <x:c r="B18" t="str">
        <x:v>parte aceita conexão</x:v>
      </x:c>
      <x:c r="C18" t="str">
        <x:v>match</x:v>
      </x:c>
      <x:c r="D18" t="str">
        <x:v>side, score, response_time</x:v>
      </x:c>
      <x:c r="E18" t="str">
        <x:v>person_id/company_id</x:v>
      </x:c>
      <x:c r="F18" t="str">
        <x:v>Conversão</x:v>
      </x:c>
      <x:c r="G18" t="str">
        <x:v>aceitação, ciclo</x:v>
      </x:c>
      <x:c r="H18" t="str">
        <x:v>leva a contato</x:v>
      </x:c>
      <x:c r="I18" t="str">
        <x:v>Possível</x:v>
      </x:c>
      <x:c r="J18" t="str">
        <x:v>60 meses</x:v>
      </x:c>
      <x:c r="K18" t="str">
        <x:v>lado registrado</x:v>
      </x:c>
      <x:c r="M18" t="str">
        <x:v>v1</x:v>
      </x:c>
      <x:c r="N18" t="str">
        <x:v>ingested_at (UTC)</x:v>
      </x:c>
      <x:c r="O18" t="str">
        <x:v>event_id + match_accepted + object_id</x:v>
      </x:c>
      <x:c r="P18" t="str">
        <x:v>source system + contract version + ingestion log</x:v>
      </x:c>
    </x:row>
    <x:row r="19">
      <x:c r="A19" t="str">
        <x:v>connection_completed</x:v>
      </x:c>
      <x:c r="B19" t="str">
        <x:v>duas partes conectadas</x:v>
      </x:c>
      <x:c r="C19" t="str">
        <x:v>connection</x:v>
      </x:c>
      <x:c r="D19" t="str">
        <x:v>match_id, participants, timestamp</x:v>
      </x:c>
      <x:c r="E19" t="str">
        <x:v>person_id/company_id</x:v>
      </x:c>
      <x:c r="F19" t="str">
        <x:v>Conversão</x:v>
      </x:c>
      <x:c r="G19" t="str">
        <x:v>conexões efetivas</x:v>
      </x:c>
      <x:c r="H19" t="str">
        <x:v>resultado intermediário</x:v>
      </x:c>
      <x:c r="I19" t="str">
        <x:v>Sim</x:v>
      </x:c>
      <x:c r="J19" t="str">
        <x:v>60 meses</x:v>
      </x:c>
      <x:c r="K19" t="str">
        <x:v>partes válidas</x:v>
      </x:c>
      <x:c r="M19" t="str">
        <x:v>v1</x:v>
      </x:c>
      <x:c r="N19" t="str">
        <x:v>ingested_at (UTC)</x:v>
      </x:c>
      <x:c r="O19" t="str">
        <x:v>event_id + connection_completed + object_id</x:v>
      </x:c>
      <x:c r="P19" t="str">
        <x:v>source system + contract version + ingestion log</x:v>
      </x:c>
    </x:row>
    <x:row r="20">
      <x:c r="A20" t="str">
        <x:v>proposal_submitted</x:v>
      </x:c>
      <x:c r="B20" t="str">
        <x:v>proposta enviada</x:v>
      </x:c>
      <x:c r="C20" t="str">
        <x:v>opportunity</x:v>
      </x:c>
      <x:c r="D20" t="str">
        <x:v>match_id, amount, date</x:v>
      </x:c>
      <x:c r="E20" t="str">
        <x:v>supplier_id</x:v>
      </x:c>
      <x:c r="F20" t="str">
        <x:v>Conversão</x:v>
      </x:c>
      <x:c r="G20" t="str">
        <x:v>propostas, GMV</x:v>
      </x:c>
      <x:c r="H20" t="str">
        <x:v>pipeline</x:v>
      </x:c>
      <x:c r="I20" t="str">
        <x:v>Não</x:v>
      </x:c>
      <x:c r="J20" t="str">
        <x:v>60 meses</x:v>
      </x:c>
      <x:c r="K20" t="str">
        <x:v>moeda e valor</x:v>
      </x:c>
      <x:c r="M20" t="str">
        <x:v>v1</x:v>
      </x:c>
      <x:c r="N20" t="str">
        <x:v>ingested_at (UTC)</x:v>
      </x:c>
      <x:c r="O20" t="str">
        <x:v>event_id + proposal_submitted + object_id</x:v>
      </x:c>
      <x:c r="P20" t="str">
        <x:v>source system + contract version + ingestion log</x:v>
      </x:c>
    </x:row>
    <x:row r="21">
      <x:c r="A21" t="str">
        <x:v>contract_signed</x:v>
      </x:c>
      <x:c r="B21" t="str">
        <x:v>contrato confirmado</x:v>
      </x:c>
      <x:c r="C21" t="str">
        <x:v>contract</x:v>
      </x:c>
      <x:c r="D21" t="str">
        <x:v>origin, value, margin, date</x:v>
      </x:c>
      <x:c r="E21" t="str">
        <x:v>company_id/supplier_id</x:v>
      </x:c>
      <x:c r="F21" t="str">
        <x:v>Resultado</x:v>
      </x:c>
      <x:c r="G21" t="str">
        <x:v>conversão, receita, GMV</x:v>
      </x:c>
      <x:c r="H21" t="str">
        <x:v>resultado financeiro</x:v>
      </x:c>
      <x:c r="I21" t="str">
        <x:v>Não</x:v>
      </x:c>
      <x:c r="J21" t="str">
        <x:v>120 meses</x:v>
      </x:c>
      <x:c r="K21" t="str">
        <x:v>conciliado com CRM/ERP</x:v>
      </x:c>
      <x:c r="M21" t="str">
        <x:v>v1</x:v>
      </x:c>
      <x:c r="N21" t="str">
        <x:v>ingested_at (UTC)</x:v>
      </x:c>
      <x:c r="O21" t="str">
        <x:v>event_id + contract_signed + object_id</x:v>
      </x:c>
      <x:c r="P21" t="str">
        <x:v>source system + contract version + ingestion log</x:v>
      </x:c>
    </x:row>
    <x:row r="22">
      <x:c r="A22" t="str">
        <x:v>transaction_recognized</x:v>
      </x:c>
      <x:c r="B22" t="str">
        <x:v>receita/custo reconhecido</x:v>
      </x:c>
      <x:c r="C22" t="str">
        <x:v>transaction</x:v>
      </x:c>
      <x:c r="D22" t="str">
        <x:v>contract_id, amount, type, competence</x:v>
      </x:c>
      <x:c r="E22" t="str">
        <x:v>company_id</x:v>
      </x:c>
      <x:c r="F22" t="str">
        <x:v>Impacto</x:v>
      </x:c>
      <x:c r="G22" t="str">
        <x:v>MRR, ARR, GMV, margem</x:v>
      </x:c>
      <x:c r="H22" t="str">
        <x:v>valor realizado</x:v>
      </x:c>
      <x:c r="I22" t="str">
        <x:v>Não</x:v>
      </x:c>
      <x:c r="J22" t="str">
        <x:v>120 meses</x:v>
      </x:c>
      <x:c r="K22" t="str">
        <x:v>conciliação financeira</x:v>
      </x:c>
      <x:c r="M22" t="str">
        <x:v>v1</x:v>
      </x:c>
      <x:c r="N22" t="str">
        <x:v>ingested_at (UTC)</x:v>
      </x:c>
      <x:c r="O22" t="str">
        <x:v>event_id + transaction_recognized + object_id</x:v>
      </x:c>
      <x:c r="P22" t="str">
        <x:v>source system + contract version + ingestion log</x:v>
      </x:c>
    </x:row>
    <x:row r="23">
      <x:c r="A23" t="str">
        <x:v>business_metric_received</x:v>
      </x:c>
      <x:c r="B23" t="str">
        <x:v>KPI importado</x:v>
      </x:c>
      <x:c r="C23" t="str">
        <x:v>metric</x:v>
      </x:c>
      <x:c r="D23" t="str">
        <x:v>metric_id, period, value, baseline</x:v>
      </x:c>
      <x:c r="E23" t="str">
        <x:v>company_id</x:v>
      </x:c>
      <x:c r="F23" t="str">
        <x:v>Resultado</x:v>
      </x:c>
      <x:c r="G23" t="str">
        <x:v>outcomes e impacto</x:v>
      </x:c>
      <x:c r="H23" t="str">
        <x:v>prova de valor</x:v>
      </x:c>
      <x:c r="I23" t="str">
        <x:v>Possível</x:v>
      </x:c>
      <x:c r="J23" t="str">
        <x:v>120 meses</x:v>
      </x:c>
      <x:c r="K23" t="str">
        <x:v>mesma definição e período</x:v>
      </x:c>
      <x:c r="M23" t="str">
        <x:v>v1</x:v>
      </x:c>
      <x:c r="N23" t="str">
        <x:v>ingested_at (UTC)</x:v>
      </x:c>
      <x:c r="O23" t="str">
        <x:v>event_id + business_metric_received + object_id</x:v>
      </x:c>
      <x:c r="P23" t="str">
        <x:v>source system + contract version + ingestion log</x:v>
      </x:c>
    </x:row>
    <x:row r="24">
      <x:c r="A24" t="str">
        <x:v>outcome_confirmed</x:v>
      </x:c>
      <x:c r="B24" t="str">
        <x:v>owner confirma resultado</x:v>
      </x:c>
      <x:c r="C24" t="str">
        <x:v>outcome</x:v>
      </x:c>
      <x:c r="D24" t="str">
        <x:v>type, value, evidence, period</x:v>
      </x:c>
      <x:c r="E24" t="str">
        <x:v>person_id/company_id</x:v>
      </x:c>
      <x:c r="F24" t="str">
        <x:v>Resultado</x:v>
      </x:c>
      <x:c r="G24" t="str">
        <x:v>qualidade, retenção, saving</x:v>
      </x:c>
      <x:c r="H24" t="str">
        <x:v>resultado validado</x:v>
      </x:c>
      <x:c r="I24" t="str">
        <x:v>Sim</x:v>
      </x:c>
      <x:c r="J24" t="str">
        <x:v>120 meses</x:v>
      </x:c>
      <x:c r="K24" t="str">
        <x:v>evidência anexada</x:v>
      </x:c>
      <x:c r="M24" t="str">
        <x:v>v1</x:v>
      </x:c>
      <x:c r="N24" t="str">
        <x:v>ingested_at (UTC)</x:v>
      </x:c>
      <x:c r="O24" t="str">
        <x:v>event_id + outcome_confirmed + object_id</x:v>
      </x:c>
      <x:c r="P24" t="str">
        <x:v>source system + contract version + ingestion log</x:v>
      </x:c>
    </x:row>
    <x:row r="25">
      <x:c r="A25" t="str">
        <x:v>financial_value_approved</x:v>
      </x:c>
      <x:c r="B25" t="str">
        <x:v>controladoria aprova</x:v>
      </x:c>
      <x:c r="C25" t="str">
        <x:v>financial_value</x:v>
      </x:c>
      <x:c r="D25" t="str">
        <x:v>lever, formula, attribution, evidence</x:v>
      </x:c>
      <x:c r="E25" t="str">
        <x:v>company_id</x:v>
      </x:c>
      <x:c r="F25" t="str">
        <x:v>Impacto</x:v>
      </x:c>
      <x:c r="G25" t="str">
        <x:v>benefício, ROI</x:v>
      </x:c>
      <x:c r="H25" t="str">
        <x:v>valor monetizado</x:v>
      </x:c>
      <x:c r="I25" t="str">
        <x:v>Não</x:v>
      </x:c>
      <x:c r="J25" t="str">
        <x:v>120 meses</x:v>
      </x:c>
      <x:c r="K25" t="str">
        <x:v>owner e versão da fórmula</x:v>
      </x:c>
      <x:c r="M25" t="str">
        <x:v>v1</x:v>
      </x:c>
      <x:c r="N25" t="str">
        <x:v>ingested_at (UTC)</x:v>
      </x:c>
      <x:c r="O25" t="str">
        <x:v>event_id + financial_value_approved + object_id</x:v>
      </x:c>
      <x:c r="P25" t="str">
        <x:v>source system + contract version + ingestion log</x:v>
      </x:c>
    </x:row>
    <x:row r="26">
      <x:c r="A26" t="str">
        <x:v>benchmark_viewed</x:v>
      </x:c>
      <x:c r="B26" t="str">
        <x:v>benchmark consultado</x:v>
      </x:c>
      <x:c r="C26" t="str">
        <x:v>benchmark</x:v>
      </x:c>
      <x:c r="D26" t="str">
        <x:v>segment, metric, percentile</x:v>
      </x:c>
      <x:c r="E26" t="str">
        <x:v>company_id</x:v>
      </x:c>
      <x:c r="F26" t="str">
        <x:v>Engajamento</x:v>
      </x:c>
      <x:c r="G26" t="str">
        <x:v>adoção de inteligência</x:v>
      </x:c>
      <x:c r="H26" t="str">
        <x:v>sinal de valor</x:v>
      </x:c>
      <x:c r="I26" t="str">
        <x:v>Não</x:v>
      </x:c>
      <x:c r="J26" t="str">
        <x:v>24 meses</x:v>
      </x:c>
      <x:c r="K26" t="str">
        <x:v>amostra mínima</x:v>
      </x:c>
      <x:c r="M26" t="str">
        <x:v>v1</x:v>
      </x:c>
      <x:c r="N26" t="str">
        <x:v>ingested_at (UTC)</x:v>
      </x:c>
      <x:c r="O26" t="str">
        <x:v>event_id + benchmark_viewed + object_id</x:v>
      </x:c>
      <x:c r="P26" t="str">
        <x:v>source system + contract version + ingestion log</x:v>
      </x:c>
    </x:row>
    <x:row r="27">
      <x:c r="A27" t="str">
        <x:v>benchmark_action_taken</x:v>
      </x:c>
      <x:c r="B27" t="str">
        <x:v>ação registrada após benchmark</x:v>
      </x:c>
      <x:c r="C27" t="str">
        <x:v>benchmark</x:v>
      </x:c>
      <x:c r="D27" t="str">
        <x:v>action_type, target, due_date</x:v>
      </x:c>
      <x:c r="E27" t="str">
        <x:v>company_id</x:v>
      </x:c>
      <x:c r="F27" t="str">
        <x:v>Conversão</x:v>
      </x:c>
      <x:c r="G27" t="str">
        <x:v>benchmark→ação</x:v>
      </x:c>
      <x:c r="H27" t="str">
        <x:v>potencial outcome</x:v>
      </x:c>
      <x:c r="I27" t="str">
        <x:v>Não</x:v>
      </x:c>
      <x:c r="J27" t="str">
        <x:v>60 meses</x:v>
      </x:c>
      <x:c r="K27" t="str">
        <x:v>vínculo com benchmark</x:v>
      </x:c>
      <x:c r="M27" t="str">
        <x:v>v1</x:v>
      </x:c>
      <x:c r="N27" t="str">
        <x:v>ingested_at (UTC)</x:v>
      </x:c>
      <x:c r="O27" t="str">
        <x:v>event_id + benchmark_action_taken + object_id</x:v>
      </x:c>
      <x:c r="P27" t="str">
        <x:v>source system + contract version + ingestion log</x:v>
      </x:c>
    </x:row>
    <x:row r="28">
      <x:c r="A28" t="str">
        <x:v>content_exposed</x:v>
      </x:c>
      <x:c r="B28" t="str">
        <x:v>impressão elegível</x:v>
      </x:c>
      <x:c r="C28" t="str">
        <x:v>content</x:v>
      </x:c>
      <x:c r="D28" t="str">
        <x:v>campaign, channel, audience, cost</x:v>
      </x:c>
      <x:c r="E28" t="str">
        <x:v>person_id/company_id</x:v>
      </x:c>
      <x:c r="F28" t="str">
        <x:v>Aquisição</x:v>
      </x:c>
      <x:c r="G28" t="str">
        <x:v>alcance, frequência</x:v>
      </x:c>
      <x:c r="H28" t="str">
        <x:v>entrada de atribuição</x:v>
      </x:c>
      <x:c r="I28" t="str">
        <x:v>Possível</x:v>
      </x:c>
      <x:c r="J28" t="str">
        <x:v>24 meses</x:v>
      </x:c>
      <x:c r="K28" t="str">
        <x:v>UTM/campaign_id</x:v>
      </x:c>
      <x:c r="M28" t="str">
        <x:v>v1</x:v>
      </x:c>
      <x:c r="N28" t="str">
        <x:v>ingested_at (UTC)</x:v>
      </x:c>
      <x:c r="O28" t="str">
        <x:v>event_id + content_exposed + object_id</x:v>
      </x:c>
      <x:c r="P28" t="str">
        <x:v>source system + contract version + ingestion log</x:v>
      </x:c>
    </x:row>
    <x:row r="29">
      <x:c r="A29" t="str">
        <x:v>content_action</x:v>
      </x:c>
      <x:c r="B29" t="str">
        <x:v>clique, cadastro ou pedido</x:v>
      </x:c>
      <x:c r="C29" t="str">
        <x:v>content</x:v>
      </x:c>
      <x:c r="D29" t="str">
        <x:v>campaign, action, session</x:v>
      </x:c>
      <x:c r="E29" t="str">
        <x:v>person_id/company_id</x:v>
      </x:c>
      <x:c r="F29" t="str">
        <x:v>Conversão</x:v>
      </x:c>
      <x:c r="G29" t="str">
        <x:v>conteúdo→ação</x:v>
      </x:c>
      <x:c r="H29" t="str">
        <x:v>sinal de demanda</x:v>
      </x:c>
      <x:c r="I29" t="str">
        <x:v>Possível</x:v>
      </x:c>
      <x:c r="J29" t="str">
        <x:v>36 meses</x:v>
      </x:c>
      <x:c r="K29" t="str">
        <x:v>sessão e janela válidas</x:v>
      </x:c>
      <x:c r="M29" t="str">
        <x:v>v1</x:v>
      </x:c>
      <x:c r="N29" t="str">
        <x:v>ingested_at (UTC)</x:v>
      </x:c>
      <x:c r="O29" t="str">
        <x:v>event_id + content_action + object_id</x:v>
      </x:c>
      <x:c r="P29" t="str">
        <x:v>source system + contract version + ingestion log</x:v>
      </x:c>
    </x:row>
    <x:row r="30">
      <x:c r="A30" t="str">
        <x:v>consent_updated</x:v>
      </x:c>
      <x:c r="B30" t="str">
        <x:v>consentimento muda</x:v>
      </x:c>
      <x:c r="C30" t="str">
        <x:v>consent</x:v>
      </x:c>
      <x:c r="D30" t="str">
        <x:v>purpose, status, version, timestamp</x:v>
      </x:c>
      <x:c r="E30" t="str">
        <x:v>person_id</x:v>
      </x:c>
      <x:c r="F30" t="str">
        <x:v>Governança</x:v>
      </x:c>
      <x:c r="G30" t="str">
        <x:v>cobertura de consentimento</x:v>
      </x:c>
      <x:c r="H30" t="str">
        <x:v>habilita/bloqueia uso</x:v>
      </x:c>
      <x:c r="I30" t="str">
        <x:v>Sim</x:v>
      </x:c>
      <x:c r="J30" t="str">
        <x:v>permanente enquanto necessário</x:v>
      </x:c>
      <x:c r="K30" t="str">
        <x:v>efeito imediato</x:v>
      </x:c>
      <x:c r="L30" t="str">
        <x:v>v1</x:v>
      </x:c>
      <x:c r="M30" t="str">
        <x:v>ingested_at</x:v>
      </x:c>
      <x:c r="N30" t="str">
        <x:v>event_id + person_id + purpose</x:v>
      </x:c>
      <x:c r="O30" t="str">
        <x:v>CMP audit log</x:v>
      </x:c>
      <x:c r="P30" t="str">
        <x:v>source system + contract version + ingestion log</x:v>
      </x:c>
    </x:row>
    <x:row r="31">
      <x:c r="A31" t="str">
        <x:v>data_quality_incident</x:v>
      </x:c>
      <x:c r="B31" t="str">
        <x:v>regra crítica falha</x:v>
      </x:c>
      <x:c r="C31" t="str">
        <x:v>dataset</x:v>
      </x:c>
      <x:c r="D31" t="str">
        <x:v>rule, severity, owner, records</x:v>
      </x:c>
      <x:c r="E31" t="str">
        <x:v>company_id opcional</x:v>
      </x:c>
      <x:c r="F31" t="str">
        <x:v>Governança</x:v>
      </x:c>
      <x:c r="G31" t="str">
        <x:v>SLA, qualidade</x:v>
      </x:c>
      <x:c r="H31" t="str">
        <x:v>protege decisão</x:v>
      </x:c>
      <x:c r="I31" t="str">
        <x:v>Possível</x:v>
      </x:c>
      <x:c r="J31" t="str">
        <x:v>60 meses</x:v>
      </x:c>
      <x:c r="K31" t="str">
        <x:v>ticket obrigatório; abrir &lt;=4h</x:v>
      </x:c>
      <x:c r="L31" t="str">
        <x:v>v1</x:v>
      </x:c>
      <x:c r="M31" t="str">
        <x:v>ingested_at</x:v>
      </x:c>
      <x:c r="N31" t="str">
        <x:v>event_id + rule + dataset</x:v>
      </x:c>
      <x:c r="O31" t="str">
        <x:v>incident ticket + quarantine manifest</x:v>
      </x:c>
      <x:c r="P31" t="str">
        <x:v>source system + contract version + ingestion log</x:v>
      </x:c>
    </x:row>
    <x:row r="32">
      <x:c r="A32" t="str">
        <x:v>model_prediction</x:v>
      </x:c>
      <x:c r="B32" t="str">
        <x:v>score é produzido</x:v>
      </x:c>
      <x:c r="C32" t="str">
        <x:v>model</x:v>
      </x:c>
      <x:c r="D32" t="str">
        <x:v>version, input_hash, score, explanation</x:v>
      </x:c>
      <x:c r="E32" t="str">
        <x:v>person_id/company_id</x:v>
      </x:c>
      <x:c r="F32" t="str">
        <x:v>Inteligência</x:v>
      </x:c>
      <x:c r="G32" t="str">
        <x:v>cobertura, performance, drift</x:v>
      </x:c>
      <x:c r="H32" t="str">
        <x:v>auditabilidade</x:v>
      </x:c>
      <x:c r="I32" t="str">
        <x:v>Possível</x:v>
      </x:c>
      <x:c r="J32" t="str">
        <x:v>60 meses</x:v>
      </x:c>
      <x:c r="K32" t="str">
        <x:v>log reproduzível</x:v>
      </x:c>
      <x:c r="M32" t="str">
        <x:v>v1</x:v>
      </x:c>
      <x:c r="N32" t="str">
        <x:v>ingested_at (UTC)</x:v>
      </x:c>
      <x:c r="O32" t="str">
        <x:v>event_id + model_prediction + object_id</x:v>
      </x:c>
      <x:c r="P32" t="str">
        <x:v>source system + contract version + ingestion log</x:v>
      </x:c>
    </x:row>
  </x:sheetData>
  <x:pageSetup fitToWidth="1" fitToHeight="0" orientation="landscape"/>
</x:worksheet>
</file>

<file path=xl/worksheets/sheet12.xml><?xml version="1.0" encoding="utf-8"?>
<x:worksheet xmlns:x="http://schemas.openxmlformats.org/spreadsheetml/2006/main">
  <x:sheetPr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</x:cols>
  <x:sheetData>
    <x:row r="1">
      <x:c r="A1" t="str">
        <x:v>Mapa de integrações</x:v>
      </x:c>
    </x:row>
    <x:row r="3">
      <x:c r="A3" t="str">
        <x:v>Integrações devem preservar identidade, consentimento, linhagem e SLA de decisão.</x:v>
      </x:c>
    </x:row>
    <x:row r="5">
      <x:c r="A5" t="str">
        <x:v>Sistema / fonte</x:v>
      </x:c>
      <x:c r="B5" t="str">
        <x:v>Domínio</x:v>
      </x:c>
      <x:c r="C5" t="str">
        <x:v>Direção</x:v>
      </x:c>
      <x:c r="D5" t="str">
        <x:v>Método</x:v>
      </x:c>
      <x:c r="E5" t="str">
        <x:v>Frequência</x:v>
      </x:c>
      <x:c r="F5" t="str">
        <x:v>Dados principais</x:v>
      </x:c>
      <x:c r="G5" t="str">
        <x:v>Chave de integração</x:v>
      </x:c>
      <x:c r="H5" t="str">
        <x:v>Autenticação</x:v>
      </x:c>
      <x:c r="I5" t="str">
        <x:v>SLA</x:v>
      </x:c>
      <x:c r="J5" t="str">
        <x:v>Tratamento de erro</x:v>
      </x:c>
      <x:c r="K5" t="str">
        <x:v>Owner</x:v>
      </x:c>
      <x:c r="L5" t="str">
        <x:v>Fase</x:v>
      </x:c>
      <x:c r="M5" t="str">
        <x:v>Dependency gate</x:v>
      </x:c>
      <x:c r="N5" t="str">
        <x:v>Publication evidence</x:v>
      </x:c>
    </x:row>
    <x:row r="6">
      <x:c r="A6" t="str">
        <x:v>HRIS / folha</x:v>
      </x:c>
      <x:c r="B6" t="str">
        <x:v>Pessoas</x:v>
      </x:c>
      <x:c r="C6" t="str">
        <x:v>Entrada</x:v>
      </x:c>
      <x:c r="D6" t="str">
        <x:v>API / arquivo seguro</x:v>
      </x:c>
      <x:c r="E6" t="str">
        <x:v>Diária</x:v>
      </x:c>
      <x:c r="F6" t="str">
        <x:v>vínculo, função, custo, status</x:v>
      </x:c>
      <x:c r="G6" t="str">
        <x:v>person_external_id + company_id</x:v>
      </x:c>
      <x:c r="H6" t="str">
        <x:v>OAuth2 / SFTP</x:v>
      </x:c>
      <x:c r="I6" t="str">
        <x:v>D+1</x:v>
      </x:c>
      <x:c r="J6" t="str">
        <x:v>quarentena + reconciliação</x:v>
      </x:c>
      <x:c r="K6" t="str">
        <x:v>Data cliente</x:v>
      </x:c>
      <x:c r="L6" t="str">
        <x:v>M1</x:v>
      </x:c>
      <x:c r="M6" t="str">
        <x:v>identity, consent, key and SLA contract readiness</x:v>
      </x:c>
      <x:c r="N6" t="str">
        <x:v>readiness checklist + reconciliation report + publication gate log</x:v>
      </x:c>
    </x:row>
    <x:row r="7">
      <x:c r="A7" t="str">
        <x:v>ATS</x:v>
      </x:c>
      <x:c r="B7" t="str">
        <x:v>Recrutamento</x:v>
      </x:c>
      <x:c r="C7" t="str">
        <x:v>Bidirecional</x:v>
      </x:c>
      <x:c r="D7" t="str">
        <x:v>API / webhook</x:v>
      </x:c>
      <x:c r="E7" t="str">
        <x:v>Tempo real</x:v>
      </x:c>
      <x:c r="F7" t="str">
        <x:v>vaga, candidato, estágio, contratação</x:v>
      </x:c>
      <x:c r="G7" t="str">
        <x:v>opportunity_id / person_id</x:v>
      </x:c>
      <x:c r="H7" t="str">
        <x:v>OAuth2</x:v>
      </x:c>
      <x:c r="I7" t="str">
        <x:v>15 min</x:v>
      </x:c>
      <x:c r="J7" t="str">
        <x:v>retry idempotente</x:v>
      </x:c>
      <x:c r="K7" t="str">
        <x:v>Talent Acquisition</x:v>
      </x:c>
      <x:c r="L7" t="str">
        <x:v>M1</x:v>
      </x:c>
      <x:c r="M7" t="str">
        <x:v>identity, consent, key and SLA contract readiness</x:v>
      </x:c>
      <x:c r="N7" t="str">
        <x:v>readiness checklist + reconciliation report + publication gate log</x:v>
      </x:c>
    </x:row>
    <x:row r="8">
      <x:c r="A8" t="str">
        <x:v>LMS</x:v>
      </x:c>
      <x:c r="B8" t="str">
        <x:v>Desenvolvimento</x:v>
      </x:c>
      <x:c r="C8" t="str">
        <x:v>Bidirecional</x:v>
      </x:c>
      <x:c r="D8" t="str">
        <x:v>API / xAPI</x:v>
      </x:c>
      <x:c r="E8" t="str">
        <x:v>Tempo real</x:v>
      </x:c>
      <x:c r="F8" t="str">
        <x:v>trilha, inscrição, conclusão, avaliação</x:v>
      </x:c>
      <x:c r="G8" t="str">
        <x:v>person_id + journey_id</x:v>
      </x:c>
      <x:c r="H8" t="str">
        <x:v>OAuth2</x:v>
      </x:c>
      <x:c r="I8" t="str">
        <x:v>1 h</x:v>
      </x:c>
      <x:c r="J8" t="str">
        <x:v>dead-letter queue</x:v>
      </x:c>
      <x:c r="K8" t="str">
        <x:v>L&amp;D</x:v>
      </x:c>
      <x:c r="L8" t="str">
        <x:v>M1</x:v>
      </x:c>
      <x:c r="M8" t="str">
        <x:v>identity, consent, key and SLA contract readiness</x:v>
      </x:c>
      <x:c r="N8" t="str">
        <x:v>readiness checklist + reconciliation report + publication gate log</x:v>
      </x:c>
    </x:row>
    <x:row r="9">
      <x:c r="A9" t="str">
        <x:v>CRM HUB</x:v>
      </x:c>
      <x:c r="B9" t="str">
        <x:v>Comercial</x:v>
      </x:c>
      <x:c r="C9" t="str">
        <x:v>Bidirecional</x:v>
      </x:c>
      <x:c r="D9" t="str">
        <x:v>API / webhook</x:v>
      </x:c>
      <x:c r="E9" t="str">
        <x:v>Tempo real</x:v>
      </x:c>
      <x:c r="F9" t="str">
        <x:v>empresa, oportunidade, contrato, touchpoint</x:v>
      </x:c>
      <x:c r="G9" t="str">
        <x:v>company_id / opportunity_id</x:v>
      </x:c>
      <x:c r="H9" t="str">
        <x:v>OAuth2</x:v>
      </x:c>
      <x:c r="I9" t="str">
        <x:v>15 min</x:v>
      </x:c>
      <x:c r="J9" t="str">
        <x:v>retry + conciliação</x:v>
      </x:c>
      <x:c r="K9" t="str">
        <x:v>RevOps</x:v>
      </x:c>
      <x:c r="L9" t="str">
        <x:v>M0</x:v>
      </x:c>
      <x:c r="M9" t="str">
        <x:v>M0 identity and consent contracts</x:v>
      </x:c>
      <x:c r="N9" t="str">
        <x:v>readiness checklist + reconciliation report</x:v>
      </x:c>
    </x:row>
    <x:row r="10">
      <x:c r="A10" t="str">
        <x:v>ERP / financeiro HUB</x:v>
      </x:c>
      <x:c r="B10" t="str">
        <x:v>Financeiro</x:v>
      </x:c>
      <x:c r="C10" t="str">
        <x:v>Entrada</x:v>
      </x:c>
      <x:c r="D10" t="str">
        <x:v>API / arquivo</x:v>
      </x:c>
      <x:c r="E10" t="str">
        <x:v>Diária</x:v>
      </x:c>
      <x:c r="F10" t="str">
        <x:v>receita, custo, margem, competência</x:v>
      </x:c>
      <x:c r="G10" t="str">
        <x:v>contract_id / transaction_id</x:v>
      </x:c>
      <x:c r="H10" t="str">
        <x:v>OAuth2 / SFTP</x:v>
      </x:c>
      <x:c r="I10" t="str">
        <x:v>D+1</x:v>
      </x:c>
      <x:c r="J10" t="str">
        <x:v>conciliação contábil</x:v>
      </x:c>
      <x:c r="K10" t="str">
        <x:v>Financeiro HUB</x:v>
      </x:c>
      <x:c r="L10" t="str">
        <x:v>M1</x:v>
      </x:c>
      <x:c r="M10" t="str">
        <x:v>identity, consent, key and SLA contract readiness</x:v>
      </x:c>
      <x:c r="N10" t="str">
        <x:v>readiness checklist + reconciliation report + publication gate log</x:v>
      </x:c>
    </x:row>
    <x:row r="11">
      <x:c r="A11" t="str">
        <x:v>ERP / financeiro cliente</x:v>
      </x:c>
      <x:c r="B11" t="str">
        <x:v>Impacto</x:v>
      </x:c>
      <x:c r="C11" t="str">
        <x:v>Entrada</x:v>
      </x:c>
      <x:c r="D11" t="str">
        <x:v>data share / API</x:v>
      </x:c>
      <x:c r="E11" t="str">
        <x:v>Mensal</x:v>
      </x:c>
      <x:c r="F11" t="str">
        <x:v>KPI financeiro, custo, saving, margem</x:v>
      </x:c>
      <x:c r="G11" t="str">
        <x:v>company_id + metric_id + period</x:v>
      </x:c>
      <x:c r="H11" t="str">
        <x:v>Private link</x:v>
      </x:c>
      <x:c r="I11" t="str">
        <x:v>D+5</x:v>
      </x:c>
      <x:c r="J11" t="str">
        <x:v>aprovação da controladoria</x:v>
      </x:c>
      <x:c r="K11" t="str">
        <x:v>Financeiro cliente</x:v>
      </x:c>
      <x:c r="L11" t="str">
        <x:v>M2</x:v>
      </x:c>
      <x:c r="M11" t="str">
        <x:v>identity, consent, key and SLA contract readiness</x:v>
      </x:c>
      <x:c r="N11" t="str">
        <x:v>readiness checklist + reconciliation report + publication gate log</x:v>
      </x:c>
    </x:row>
    <x:row r="12">
      <x:c r="A12" t="str">
        <x:v>Compras / SRM</x:v>
      </x:c>
      <x:c r="B12" t="str">
        <x:v>Fornecedores</x:v>
      </x:c>
      <x:c r="C12" t="str">
        <x:v>Bidirecional</x:v>
      </x:c>
      <x:c r="D12" t="str">
        <x:v>API / arquivo</x:v>
      </x:c>
      <x:c r="E12" t="str">
        <x:v>Diária</x:v>
      </x:c>
      <x:c r="F12" t="str">
        <x:v>categoria, homologação, desempenho, contrato</x:v>
      </x:c>
      <x:c r="G12" t="str">
        <x:v>supplier_id / category_id</x:v>
      </x:c>
      <x:c r="H12" t="str">
        <x:v>OAuth2 / SFTP</x:v>
      </x:c>
      <x:c r="I12" t="str">
        <x:v>D+1</x:v>
      </x:c>
      <x:c r="J12" t="str">
        <x:v>quarentena por categoria</x:v>
      </x:c>
      <x:c r="K12" t="str">
        <x:v>Compras</x:v>
      </x:c>
      <x:c r="L12" t="str">
        <x:v>M1</x:v>
      </x:c>
      <x:c r="M12" t="str">
        <x:v>identity, consent, key and SLA contract readiness</x:v>
      </x:c>
      <x:c r="N12" t="str">
        <x:v>readiness checklist + reconciliation report + publication gate log</x:v>
      </x:c>
    </x:row>
    <x:row r="13">
      <x:c r="A13" t="str">
        <x:v>GRC / riscos</x:v>
      </x:c>
      <x:c r="B13" t="str">
        <x:v>Risco</x:v>
      </x:c>
      <x:c r="C13" t="str">
        <x:v>Entrada</x:v>
      </x:c>
      <x:c r="D13" t="str">
        <x:v>API / arquivo</x:v>
      </x:c>
      <x:c r="E13" t="str">
        <x:v>Mensal</x:v>
      </x:c>
      <x:c r="F13" t="str">
        <x:v>risco, probabilidade, impacto, controle</x:v>
      </x:c>
      <x:c r="G13" t="str">
        <x:v>risk_id</x:v>
      </x:c>
      <x:c r="H13" t="str">
        <x:v>OAuth2 / SFTP</x:v>
      </x:c>
      <x:c r="I13" t="str">
        <x:v>D+3</x:v>
      </x:c>
      <x:c r="J13" t="str">
        <x:v>revisão de especialista</x:v>
      </x:c>
      <x:c r="K13" t="str">
        <x:v>Riscos</x:v>
      </x:c>
      <x:c r="L13" t="str">
        <x:v>M2</x:v>
      </x:c>
      <x:c r="M13" t="str">
        <x:v>identity, consent, key and SLA contract readiness</x:v>
      </x:c>
      <x:c r="N13" t="str">
        <x:v>readiness checklist + reconciliation report + publication gate log</x:v>
      </x:c>
    </x:row>
    <x:row r="14">
      <x:c r="A14" t="str">
        <x:v>BI cliente</x:v>
      </x:c>
      <x:c r="B14" t="str">
        <x:v>Indicadores</x:v>
      </x:c>
      <x:c r="C14" t="str">
        <x:v>Entrada</x:v>
      </x:c>
      <x:c r="D14" t="str">
        <x:v>data share / arquivo</x:v>
      </x:c>
      <x:c r="E14" t="str">
        <x:v>Mensal</x:v>
      </x:c>
      <x:c r="F14" t="str">
        <x:v>produtividade, retenção, receita, custo</x:v>
      </x:c>
      <x:c r="G14" t="str">
        <x:v>metric_id + period + cohort</x:v>
      </x:c>
      <x:c r="H14" t="str">
        <x:v>Private link</x:v>
      </x:c>
      <x:c r="I14" t="str">
        <x:v>D+5</x:v>
      </x:c>
      <x:c r="J14" t="str">
        <x:v>validação semântica</x:v>
      </x:c>
      <x:c r="K14" t="str">
        <x:v>People Analytics / BI</x:v>
      </x:c>
      <x:c r="L14" t="str">
        <x:v>M2</x:v>
      </x:c>
      <x:c r="M14" t="str">
        <x:v>identity, consent, key and SLA contract readiness</x:v>
      </x:c>
      <x:c r="N14" t="str">
        <x:v>readiness checklist + reconciliation report + publication gate log</x:v>
      </x:c>
    </x:row>
    <x:row r="15">
      <x:c r="A15" t="str">
        <x:v>Plataforma HUB</x:v>
      </x:c>
      <x:c r="B15" t="str">
        <x:v>Produto</x:v>
      </x:c>
      <x:c r="C15" t="str">
        <x:v>Saída</x:v>
      </x:c>
      <x:c r="D15" t="str">
        <x:v>event stream</x:v>
      </x:c>
      <x:c r="E15" t="str">
        <x:v>Tempo real</x:v>
      </x:c>
      <x:c r="F15" t="str">
        <x:v>eventos, jornadas, recomendações</x:v>
      </x:c>
      <x:c r="G15" t="str">
        <x:v>event_id / person_id</x:v>
      </x:c>
      <x:c r="H15" t="str">
        <x:v>token / mTLS</x:v>
      </x:c>
      <x:c r="I15" t="str">
        <x:v>&lt;5 min</x:v>
      </x:c>
      <x:c r="J15" t="str">
        <x:v>fila + replay</x:v>
      </x:c>
      <x:c r="K15" t="str">
        <x:v>Produto</x:v>
      </x:c>
      <x:c r="L15" t="str">
        <x:v>M0</x:v>
      </x:c>
      <x:c r="M15" t="str">
        <x:v>identity, consent, key and SLA contract readiness</x:v>
      </x:c>
      <x:c r="N15" t="str">
        <x:v>readiness checklist + reconciliation report + publication gate log</x:v>
      </x:c>
    </x:row>
    <x:row r="16">
      <x:c r="A16" t="str">
        <x:v>Motor de inteligência</x:v>
      </x:c>
      <x:c r="B16" t="str">
        <x:v>IA</x:v>
      </x:c>
      <x:c r="C16" t="str">
        <x:v>Bidirecional</x:v>
      </x:c>
      <x:c r="D16" t="str">
        <x:v>API</x:v>
      </x:c>
      <x:c r="E16" t="str">
        <x:v>Tempo real</x:v>
      </x:c>
      <x:c r="F16" t="str">
        <x:v>features, score, explicação, versão</x:v>
      </x:c>
      <x:c r="G16" t="str">
        <x:v>model_version + object_id</x:v>
      </x:c>
      <x:c r="H16" t="str">
        <x:v>mTLS</x:v>
      </x:c>
      <x:c r="I16" t="str">
        <x:v>&lt;2 s</x:v>
      </x:c>
      <x:c r="J16" t="str">
        <x:v>fallback por regra</x:v>
      </x:c>
      <x:c r="K16" t="str">
        <x:v>Data Science</x:v>
      </x:c>
      <x:c r="L16" t="str">
        <x:v>M1</x:v>
      </x:c>
      <x:c r="M16" t="str">
        <x:v>identity, consent, key and SLA contract readiness</x:v>
      </x:c>
      <x:c r="N16" t="str">
        <x:v>readiness checklist + reconciliation report + publication gate log</x:v>
      </x:c>
    </x:row>
    <x:row r="17">
      <x:c r="A17" t="str">
        <x:v>CMP / consentimento</x:v>
      </x:c>
      <x:c r="B17" t="str">
        <x:v>Privacidade</x:v>
      </x:c>
      <x:c r="C17" t="str">
        <x:v>Bidirecional</x:v>
      </x:c>
      <x:c r="D17" t="str">
        <x:v>API / webhook</x:v>
      </x:c>
      <x:c r="E17" t="str">
        <x:v>Tempo real</x:v>
      </x:c>
      <x:c r="F17" t="str">
        <x:v>finalidade, status, versão, revogação</x:v>
      </x:c>
      <x:c r="G17" t="str">
        <x:v>person_id + purpose</x:v>
      </x:c>
      <x:c r="H17" t="str">
        <x:v>OAuth2</x:v>
      </x:c>
      <x:c r="I17" t="str">
        <x:v>&lt;5 min</x:v>
      </x:c>
      <x:c r="J17" t="str">
        <x:v>bloqueio preventivo</x:v>
      </x:c>
      <x:c r="K17" t="str">
        <x:v>DPO</x:v>
      </x:c>
      <x:c r="L17" t="str">
        <x:v>M0</x:v>
      </x:c>
      <x:c r="M17" t="str">
        <x:v>M0 identity contract</x:v>
      </x:c>
      <x:c r="N17" t="str">
        <x:v>consent propagation test &lt;=300s</x:v>
      </x:c>
    </x:row>
    <x:row r="18">
      <x:c r="A18" t="str">
        <x:v>Mídia / analytics</x:v>
      </x:c>
      <x:c r="B18" t="str">
        <x:v>Marketing</x:v>
      </x:c>
      <x:c r="C18" t="str">
        <x:v>Entrada</x:v>
      </x:c>
      <x:c r="D18" t="str">
        <x:v>API</x:v>
      </x:c>
      <x:c r="E18" t="str">
        <x:v>Diária</x:v>
      </x:c>
      <x:c r="F18" t="str">
        <x:v>campanha, custo, impressão, clique, conversão</x:v>
      </x:c>
      <x:c r="G18" t="str">
        <x:v>campaign_id / UTM</x:v>
      </x:c>
      <x:c r="H18" t="str">
        <x:v>OAuth2</x:v>
      </x:c>
      <x:c r="I18" t="str">
        <x:v>D+1</x:v>
      </x:c>
      <x:c r="J18" t="str">
        <x:v>deduplicação cross-channel</x:v>
      </x:c>
      <x:c r="K18" t="str">
        <x:v>Marketing</x:v>
      </x:c>
      <x:c r="L18" t="str">
        <x:v>M1</x:v>
      </x:c>
      <x:c r="M18" t="str">
        <x:v>identity, consent, key and SLA contract readiness</x:v>
      </x:c>
      <x:c r="N18" t="str">
        <x:v>readiness checklist + reconciliation report + publication gate log</x:v>
      </x:c>
    </x:row>
    <x:row r="19">
      <x:c r="A19" t="str">
        <x:v>Entidade / associados</x:v>
      </x:c>
      <x:c r="B19" t="str">
        <x:v>Ecossistema</x:v>
      </x:c>
      <x:c r="C19" t="str">
        <x:v>Bidirecional</x:v>
      </x:c>
      <x:c r="D19" t="str">
        <x:v>API / arquivo</x:v>
      </x:c>
      <x:c r="E19" t="str">
        <x:v>Diária</x:v>
      </x:c>
      <x:c r="F19" t="str">
        <x:v>associado, vínculo, tier, renovação</x:v>
      </x:c>
      <x:c r="G19" t="str">
        <x:v>entity_id + company_id</x:v>
      </x:c>
      <x:c r="H19" t="str">
        <x:v>OAuth2 / SFTP</x:v>
      </x:c>
      <x:c r="I19" t="str">
        <x:v>D+1</x:v>
      </x:c>
      <x:c r="J19" t="str">
        <x:v>reconciliação de vigência</x:v>
      </x:c>
      <x:c r="K19" t="str">
        <x:v>Entidade</x:v>
      </x:c>
      <x:c r="L19" t="str">
        <x:v>M0</x:v>
      </x:c>
      <x:c r="M19" t="str">
        <x:v>identity, consent, key and SLA contract readiness</x:v>
      </x:c>
      <x:c r="N19" t="str">
        <x:v>readiness checklist + reconciliation report + publication gate log</x:v>
      </x:c>
    </x:row>
    <x:row r="20">
      <x:c r="A20" t="str">
        <x:v>Data warehouse / lakehouse</x:v>
      </x:c>
      <x:c r="B20" t="str">
        <x:v>Todos</x:v>
      </x:c>
      <x:c r="C20" t="str">
        <x:v>Bidirecional</x:v>
      </x:c>
      <x:c r="D20" t="str">
        <x:v>ELT / data share</x:v>
      </x:c>
      <x:c r="E20" t="str">
        <x:v>Horária/diária</x:v>
      </x:c>
      <x:c r="F20" t="str">
        <x:v>dimensões, fatos, marts</x:v>
      </x:c>
      <x:c r="G20" t="str">
        <x:v>surrogate keys + business keys</x:v>
      </x:c>
      <x:c r="H20" t="str">
        <x:v>IAM / private link</x:v>
      </x:c>
      <x:c r="I20" t="str">
        <x:v>1 h</x:v>
      </x:c>
      <x:c r="J20" t="str">
        <x:v>observabilidade e rollback</x:v>
      </x:c>
      <x:c r="K20" t="str">
        <x:v>Data Engineering</x:v>
      </x:c>
      <x:c r="L20" t="str">
        <x:v>M0</x:v>
      </x:c>
      <x:c r="M20" t="str">
        <x:v>M0 key/event contracts</x:v>
      </x:c>
      <x:c r="N20" t="str">
        <x:v>load QA + rollback drill</x:v>
      </x:c>
    </x:row>
  </x:sheetData>
  <x:pageSetup fitToWidth="1" fitToHeight="0" orientation="landscape"/>
</x:worksheet>
</file>

<file path=xl/worksheets/sheet13.xml><?xml version="1.0" encoding="utf-8"?>
<x:worksheet xmlns:x="http://schemas.openxmlformats.org/spreadsheetml/2006/main">
  <x:sheetPr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</x:cols>
  <x:sheetData>
    <x:row r="1">
      <x:c r="A1" t="str">
        <x:v>Governança, LGPD e confiabilidade</x:v>
      </x:c>
    </x:row>
    <x:row r="3">
      <x:c r="A3" t="str">
        <x:v>Regras mínimas para que a prova de valor seja legal, reproduzível e defensável.</x:v>
      </x:c>
    </x:row>
    <x:row r="5">
      <x:c r="A5" t="str">
        <x:v>Dimensão</x:v>
      </x:c>
      <x:c r="B5" t="str">
        <x:v>Regra</x:v>
      </x:c>
      <x:c r="C5" t="str">
        <x:v>Aplicação prática</x:v>
      </x:c>
      <x:c r="D5" t="str">
        <x:v>Evidência / artefato</x:v>
      </x:c>
      <x:c r="E5" t="str">
        <x:v>Owner</x:v>
      </x:c>
      <x:c r="F5" t="str">
        <x:v>Cadência</x:v>
      </x:c>
      <x:c r="G5" t="str">
        <x:v>Severidade</x:v>
      </x:c>
      <x:c r="H5" t="str">
        <x:v>Bloqueia publicação?</x:v>
      </x:c>
      <x:c r="I5" t="str">
        <x:v>Indicador</x:v>
      </x:c>
      <x:c r="J5" t="str">
        <x:v>Fase</x:v>
      </x:c>
      <x:c r="K5" t="str">
        <x:v>Limiar objetivo</x:v>
      </x:c>
      <x:c r="L5" t="str">
        <x:v>Janela/população</x:v>
      </x:c>
      <x:c r="M5" t="str">
        <x:v>Teste e gate</x:v>
      </x:c>
    </x:row>
    <x:row r="6">
      <x:c r="A6" t="str">
        <x:v>Finalidade</x:v>
      </x:c>
      <x:c r="B6" t="str">
        <x:v>Cada uso de dado deve ter finalidade registrada.</x:v>
      </x:c>
      <x:c r="C6" t="str">
        <x:v>mapear campo→finalidade→produto</x:v>
      </x:c>
      <x:c r="D6" t="str">
        <x:v>ROPA / catálogo</x:v>
      </x:c>
      <x:c r="E6" t="str">
        <x:v>DPO</x:v>
      </x:c>
      <x:c r="F6" t="str">
        <x:v>Release</x:v>
      </x:c>
      <x:c r="G6" t="str">
        <x:v>Crítica</x:v>
      </x:c>
      <x:c r="H6" t="str">
        <x:v>Sim</x:v>
      </x:c>
      <x:c r="I6" t="str">
        <x:v>% campos com finalidade</x:v>
      </x:c>
      <x:c r="J6" t="str">
        <x:v>M0</x:v>
      </x:c>
      <x:c r="K6" t="str">
        <x:v>100%</x:v>
      </x:c>
      <x:c r="L6" t="str">
        <x:v>todos campos high/critical em catálogo</x:v>
      </x:c>
      <x:c r="M6" t="str">
        <x:v>release query blocks missing purpose</x:v>
      </x:c>
    </x:row>
    <x:row r="7">
      <x:c r="A7" t="str">
        <x:v>Base legal</x:v>
      </x:c>
      <x:c r="B7" t="str">
        <x:v>Base legal e consentimento devem ser verificáveis.</x:v>
      </x:c>
      <x:c r="C7" t="str">
        <x:v>gate antes de feature/modelo</x:v>
      </x:c>
      <x:c r="D7" t="str">
        <x:v>registro de consentimento</x:v>
      </x:c>
      <x:c r="E7" t="str">
        <x:v>DPO</x:v>
      </x:c>
      <x:c r="F7" t="str">
        <x:v>Tempo real</x:v>
      </x:c>
      <x:c r="G7" t="str">
        <x:v>Crítica</x:v>
      </x:c>
      <x:c r="H7" t="str">
        <x:v>Sim</x:v>
      </x:c>
      <x:c r="I7" t="str">
        <x:v>cobertura de consentimento</x:v>
      </x:c>
      <x:c r="J7" t="str">
        <x:v>M0</x:v>
      </x:c>
      <x:c r="K7" t="str">
        <x:v>100%</x:v>
      </x:c>
      <x:c r="L7" t="str">
        <x:v>all consent-required records current</x:v>
      </x:c>
      <x:c r="M7" t="str">
        <x:v>propagation fixture &lt;=300s</x:v>
      </x:c>
    </x:row>
    <x:row r="8">
      <x:c r="A8" t="str">
        <x:v>Minimização</x:v>
      </x:c>
      <x:c r="B8" t="str">
        <x:v>Coletar apenas o necessário.</x:v>
      </x:c>
      <x:c r="C8" t="str">
        <x:v>revisão semestral de campos</x:v>
      </x:c>
      <x:c r="D8" t="str">
        <x:v>matriz necessidade</x:v>
      </x:c>
      <x:c r="E8" t="str">
        <x:v>Data Governance</x:v>
      </x:c>
      <x:c r="F8" t="str">
        <x:v>Semestral</x:v>
      </x:c>
      <x:c r="G8" t="str">
        <x:v>Alta</x:v>
      </x:c>
      <x:c r="H8" t="str">
        <x:v>Sim</x:v>
      </x:c>
      <x:c r="I8" t="str">
        <x:v>% campos justificados</x:v>
      </x:c>
      <x:c r="J8" t="str">
        <x:v>M0</x:v>
      </x:c>
      <x:c r="K8" t="str">
        <x:v>100% of applicable records/fields meet control</x:v>
      </x:c>
      <x:c r="L8" t="str">
        <x:v>applicable production population per cadence</x:v>
      </x:c>
      <x:c r="M8" t="str">
        <x:v>automated control test + documented exception review</x:v>
      </x:c>
    </x:row>
    <x:row r="9">
      <x:c r="A9" t="str">
        <x:v>Segurança</x:v>
      </x:c>
      <x:c r="B9" t="str">
        <x:v>Dados sensíveis criptografados e segregados.</x:v>
      </x:c>
      <x:c r="C9" t="str">
        <x:v>KMS, RBAC, logs</x:v>
      </x:c>
      <x:c r="D9" t="str">
        <x:v>evidência de controle</x:v>
      </x:c>
      <x:c r="E9" t="str">
        <x:v>Security</x:v>
      </x:c>
      <x:c r="F9" t="str">
        <x:v>Contínua</x:v>
      </x:c>
      <x:c r="G9" t="str">
        <x:v>Crítica</x:v>
      </x:c>
      <x:c r="H9" t="str">
        <x:v>Sim</x:v>
      </x:c>
      <x:c r="I9" t="str">
        <x:v>incidentes e acessos</x:v>
      </x:c>
      <x:c r="J9" t="str">
        <x:v>M0</x:v>
      </x:c>
      <x:c r="K9" t="str">
        <x:v>100% of applicable records/fields meet control</x:v>
      </x:c>
      <x:c r="L9" t="str">
        <x:v>applicable production population per cadence</x:v>
      </x:c>
      <x:c r="M9" t="str">
        <x:v>automated control test + documented exception review</x:v>
      </x:c>
    </x:row>
    <x:row r="10">
      <x:c r="A10" t="str">
        <x:v>Pseudonimização</x:v>
      </x:c>
      <x:c r="B10" t="str">
        <x:v>Camada analítica não expõe identidade direta.</x:v>
      </x:c>
      <x:c r="C10" t="str">
        <x:v>tokens e vault separado</x:v>
      </x:c>
      <x:c r="D10" t="str">
        <x:v>arquitetura / teste</x:v>
      </x:c>
      <x:c r="E10" t="str">
        <x:v>Data Engineering</x:v>
      </x:c>
      <x:c r="F10" t="str">
        <x:v>Release</x:v>
      </x:c>
      <x:c r="G10" t="str">
        <x:v>Crítica</x:v>
      </x:c>
      <x:c r="H10" t="str">
        <x:v>Sim</x:v>
      </x:c>
      <x:c r="I10" t="str">
        <x:v>% fatos pseudonimizados</x:v>
      </x:c>
      <x:c r="J10" t="str">
        <x:v>M0</x:v>
      </x:c>
      <x:c r="K10" t="str">
        <x:v>100%</x:v>
      </x:c>
      <x:c r="L10" t="str">
        <x:v>all high/critical analytical facts</x:v>
      </x:c>
      <x:c r="M10" t="str">
        <x:v>identifier scan blocks load</x:v>
      </x:c>
    </x:row>
    <x:row r="11">
      <x:c r="A11" t="str">
        <x:v>Retenção</x:v>
      </x:c>
      <x:c r="B11" t="str">
        <x:v>Prazo definido por tabela e finalidade.</x:v>
      </x:c>
      <x:c r="C11" t="str">
        <x:v>política automática de expurgo</x:v>
      </x:c>
      <x:c r="D11" t="str">
        <x:v>log de deleção</x:v>
      </x:c>
      <x:c r="E11" t="str">
        <x:v>DPO / Data</x:v>
      </x:c>
      <x:c r="F11" t="str">
        <x:v>Mensal</x:v>
      </x:c>
      <x:c r="G11" t="str">
        <x:v>Alta</x:v>
      </x:c>
      <x:c r="H11" t="str">
        <x:v>Sim</x:v>
      </x:c>
      <x:c r="I11" t="str">
        <x:v>% tabelas com TTL</x:v>
      </x:c>
      <x:c r="J11" t="str">
        <x:v>M0</x:v>
      </x:c>
      <x:c r="K11" t="str">
        <x:v>100%</x:v>
      </x:c>
      <x:c r="L11" t="str">
        <x:v>all datasets and expired rows</x:v>
      </x:c>
      <x:c r="M11" t="str">
        <x:v>TTL reconciliation + deletion receipt</x:v>
      </x:c>
    </x:row>
    <x:row r="12">
      <x:c r="A12" t="str">
        <x:v>Direitos do titular</x:v>
      </x:c>
      <x:c r="B12" t="str">
        <x:v>Acesso, correção e revogação aplicáveis.</x:v>
      </x:c>
      <x:c r="C12" t="str">
        <x:v>workflow de DSAR</x:v>
      </x:c>
      <x:c r="D12" t="str">
        <x:v>SLA de atendimento</x:v>
      </x:c>
      <x:c r="E12" t="str">
        <x:v>DPO</x:v>
      </x:c>
      <x:c r="F12" t="str">
        <x:v>Mensal</x:v>
      </x:c>
      <x:c r="G12" t="str">
        <x:v>Crítica</x:v>
      </x:c>
      <x:c r="H12" t="str">
        <x:v>Sim</x:v>
      </x:c>
      <x:c r="I12" t="str">
        <x:v>SLA DSAR</x:v>
      </x:c>
      <x:c r="J12" t="str">
        <x:v>M0</x:v>
      </x:c>
      <x:c r="K12" t="str">
        <x:v>100% within 15 business days</x:v>
      </x:c>
      <x:c r="L12" t="str">
        <x:v>all closed DSARs in month</x:v>
      </x:c>
      <x:c r="M12" t="str">
        <x:v>monthly SLA + exception review</x:v>
      </x:c>
    </x:row>
    <x:row r="13">
      <x:c r="A13" t="str">
        <x:v>Completude</x:v>
      </x:c>
      <x:c r="B13" t="str">
        <x:v>Campos críticos dentro do piso acordado.</x:v>
      </x:c>
      <x:c r="C13" t="str">
        <x:v>quality gate por pipeline</x:v>
      </x:c>
      <x:c r="D13" t="str">
        <x:v>relatório de qualidade</x:v>
      </x:c>
      <x:c r="E13" t="str">
        <x:v>Data Owner</x:v>
      </x:c>
      <x:c r="F13" t="str">
        <x:v>Diária</x:v>
      </x:c>
      <x:c r="G13" t="str">
        <x:v>Alta</x:v>
      </x:c>
      <x:c r="H13" t="str">
        <x:v>Depende</x:v>
      </x:c>
      <x:c r="I13" t="str">
        <x:v>completude</x:v>
      </x:c>
      <x:c r="J13" t="str">
        <x:v>M0</x:v>
      </x:c>
      <x:c r="K13" t="str">
        <x:v>100% of applicable records/fields meet control</x:v>
      </x:c>
      <x:c r="L13" t="str">
        <x:v>applicable production population per cadence</x:v>
      </x:c>
      <x:c r="M13" t="str">
        <x:v>automated control test + documented exception review</x:v>
      </x:c>
    </x:row>
    <x:row r="14">
      <x:c r="A14" t="str">
        <x:v>Atualidade</x:v>
      </x:c>
      <x:c r="B14" t="str">
        <x:v>Dado chega dentro do SLA da decisão.</x:v>
      </x:c>
      <x:c r="C14" t="str">
        <x:v>monitor de freshness</x:v>
      </x:c>
      <x:c r="D14" t="str">
        <x:v>alerta / incidente</x:v>
      </x:c>
      <x:c r="E14" t="str">
        <x:v>Data Engineering</x:v>
      </x:c>
      <x:c r="F14" t="str">
        <x:v>Diária</x:v>
      </x:c>
      <x:c r="G14" t="str">
        <x:v>Alta</x:v>
      </x:c>
      <x:c r="H14" t="str">
        <x:v>Depende</x:v>
      </x:c>
      <x:c r="I14" t="str">
        <x:v>freshness</x:v>
      </x:c>
      <x:c r="J14" t="str">
        <x:v>M0</x:v>
      </x:c>
      <x:c r="K14" t="str">
        <x:v>100% of applicable records/fields meet control</x:v>
      </x:c>
      <x:c r="L14" t="str">
        <x:v>applicable production population per cadence</x:v>
      </x:c>
      <x:c r="M14" t="str">
        <x:v>automated control test + documented exception review</x:v>
      </x:c>
    </x:row>
    <x:row r="15">
      <x:c r="A15" t="str">
        <x:v>Unicidade</x:v>
      </x:c>
      <x:c r="B15" t="str">
        <x:v>Identidades e fatos não podem duplicar valor.</x:v>
      </x:c>
      <x:c r="C15" t="str">
        <x:v>MDM e chaves idempotentes</x:v>
      </x:c>
      <x:c r="D15" t="str">
        <x:v>relatório de duplicidade</x:v>
      </x:c>
      <x:c r="E15" t="str">
        <x:v>Data Engineering</x:v>
      </x:c>
      <x:c r="F15" t="str">
        <x:v>Diária</x:v>
      </x:c>
      <x:c r="G15" t="str">
        <x:v>Alta</x:v>
      </x:c>
      <x:c r="H15" t="str">
        <x:v>Sim</x:v>
      </x:c>
      <x:c r="I15" t="str">
        <x:v>identidade resolvida</x:v>
      </x:c>
      <x:c r="J15" t="str">
        <x:v>M0</x:v>
      </x:c>
      <x:c r="K15" t="str">
        <x:v>100% of applicable records/fields meet control</x:v>
      </x:c>
      <x:c r="L15" t="str">
        <x:v>applicable production population per cadence</x:v>
      </x:c>
      <x:c r="M15" t="str">
        <x:v>automated control test + documented exception review</x:v>
      </x:c>
    </x:row>
    <x:row r="16">
      <x:c r="A16" t="str">
        <x:v>Semântica</x:v>
      </x:c>
      <x:c r="B16" t="str">
        <x:v>KPI possui definição, fórmula, owner e versão.</x:v>
      </x:c>
      <x:c r="C16" t="str">
        <x:v>catálogo de métricas</x:v>
      </x:c>
      <x:c r="D16" t="str">
        <x:v>registro aprovado</x:v>
      </x:c>
      <x:c r="E16" t="str">
        <x:v>Metric Owner</x:v>
      </x:c>
      <x:c r="F16" t="str">
        <x:v>Trimestral</x:v>
      </x:c>
      <x:c r="G16" t="str">
        <x:v>Alta</x:v>
      </x:c>
      <x:c r="H16" t="str">
        <x:v>Sim</x:v>
      </x:c>
      <x:c r="I16" t="str">
        <x:v>% KPIs certificados</x:v>
      </x:c>
      <x:c r="J16" t="str">
        <x:v>M0</x:v>
      </x:c>
      <x:c r="K16" t="str">
        <x:v>100% of applicable records/fields meet control</x:v>
      </x:c>
      <x:c r="L16" t="str">
        <x:v>applicable production population per cadence</x:v>
      </x:c>
      <x:c r="M16" t="str">
        <x:v>automated control test + documented exception review</x:v>
      </x:c>
    </x:row>
    <x:row r="17">
      <x:c r="A17" t="str">
        <x:v>Baseline</x:v>
      </x:c>
      <x:c r="B17" t="str">
        <x:v>Impacto exige baseline comparável.</x:v>
      </x:c>
      <x:c r="C17" t="str">
        <x:v>checklist pré-intervenção</x:v>
      </x:c>
      <x:c r="D17" t="str">
        <x:v>plano de mensuração</x:v>
      </x:c>
      <x:c r="E17" t="str">
        <x:v>Inteligência</x:v>
      </x:c>
      <x:c r="F17" t="str">
        <x:v>Projeto</x:v>
      </x:c>
      <x:c r="G17" t="str">
        <x:v>Crítica</x:v>
      </x:c>
      <x:c r="H17" t="str">
        <x:v>Sim</x:v>
      </x:c>
      <x:c r="I17" t="str">
        <x:v>% cases com baseline</x:v>
      </x:c>
      <x:c r="J17" t="str">
        <x:v>M1</x:v>
      </x:c>
      <x:c r="K17" t="str">
        <x:v>100% of applicable records/fields meet control</x:v>
      </x:c>
      <x:c r="L17" t="str">
        <x:v>applicable production population per cadence</x:v>
      </x:c>
      <x:c r="M17" t="str">
        <x:v>automated control test + documented exception review</x:v>
      </x:c>
    </x:row>
    <x:row r="18">
      <x:c r="A18" t="str">
        <x:v>Atribuição</x:v>
      </x:c>
      <x:c r="B18" t="str">
        <x:v>Percentual de efeito deve ser explícito.</x:v>
      </x:c>
      <x:c r="C18" t="str">
        <x:v>campo obrigatório no value mart</x:v>
      </x:c>
      <x:c r="D18" t="str">
        <x:v>memória de cálculo</x:v>
      </x:c>
      <x:c r="E18" t="str">
        <x:v>Financeiro</x:v>
      </x:c>
      <x:c r="F18" t="str">
        <x:v>Trimestral</x:v>
      </x:c>
      <x:c r="G18" t="str">
        <x:v>Crítica</x:v>
      </x:c>
      <x:c r="H18" t="str">
        <x:v>Sim</x:v>
      </x:c>
      <x:c r="I18" t="str">
        <x:v>% valor com atribuição</x:v>
      </x:c>
      <x:c r="J18" t="str">
        <x:v>M2</x:v>
      </x:c>
      <x:c r="K18" t="str">
        <x:v>100% of applicable records/fields meet control</x:v>
      </x:c>
      <x:c r="L18" t="str">
        <x:v>applicable production population per cadence</x:v>
      </x:c>
      <x:c r="M18" t="str">
        <x:v>automated control test + documented exception review</x:v>
      </x:c>
    </x:row>
    <x:row r="19">
      <x:c r="A19" t="str">
        <x:v>Dupla contagem</x:v>
      </x:c>
      <x:c r="B19" t="str">
        <x:v>Benefícios sobrepostos são deduplicados.</x:v>
      </x:c>
      <x:c r="C19" t="str">
        <x:v>chave pessoa-resultado-período-alavanca</x:v>
      </x:c>
      <x:c r="D19" t="str">
        <x:v>relatório de conflitos</x:v>
      </x:c>
      <x:c r="E19" t="str">
        <x:v>Financeiro</x:v>
      </x:c>
      <x:c r="F19" t="str">
        <x:v>Trimestral</x:v>
      </x:c>
      <x:c r="G19" t="str">
        <x:v>Crítica</x:v>
      </x:c>
      <x:c r="H19" t="str">
        <x:v>Sim</x:v>
      </x:c>
      <x:c r="I19" t="str">
        <x:v>valor deduplicado</x:v>
      </x:c>
      <x:c r="J19" t="str">
        <x:v>M2</x:v>
      </x:c>
      <x:c r="K19" t="str">
        <x:v>100% of applicable records/fields meet control</x:v>
      </x:c>
      <x:c r="L19" t="str">
        <x:v>applicable production population per cadence</x:v>
      </x:c>
      <x:c r="M19" t="str">
        <x:v>automated control test + documented exception review</x:v>
      </x:c>
    </x:row>
    <x:row r="20">
      <x:c r="A20" t="str">
        <x:v>Evidência</x:v>
      </x:c>
      <x:c r="B20" t="str">
        <x:v>Toda estimativa recebe nível metodológico.</x:v>
      </x:c>
      <x:c r="C20" t="str">
        <x:v>descritivo→experimental</x:v>
      </x:c>
      <x:c r="D20" t="str">
        <x:v>score de confiança</x:v>
      </x:c>
      <x:c r="E20" t="str">
        <x:v>Inteligência</x:v>
      </x:c>
      <x:c r="F20" t="str">
        <x:v>Trimestral</x:v>
      </x:c>
      <x:c r="G20" t="str">
        <x:v>Alta</x:v>
      </x:c>
      <x:c r="H20" t="str">
        <x:v>Sim</x:v>
      </x:c>
      <x:c r="I20" t="str">
        <x:v>índice de confiança</x:v>
      </x:c>
      <x:c r="J20" t="str">
        <x:v>M2</x:v>
      </x:c>
      <x:c r="K20" t="str">
        <x:v>100% of applicable records/fields meet control</x:v>
      </x:c>
      <x:c r="L20" t="str">
        <x:v>applicable production population per cadence</x:v>
      </x:c>
      <x:c r="M20" t="str">
        <x:v>automated control test + documented exception review</x:v>
      </x:c>
    </x:row>
    <x:row r="21">
      <x:c r="A21" t="str">
        <x:v>Reprodutibilidade</x:v>
      </x:c>
      <x:c r="B21" t="str">
        <x:v>Análise deve ser reproduzível por versão.</x:v>
      </x:c>
      <x:c r="C21" t="str">
        <x:v>snapshot, código, parâmetros</x:v>
      </x:c>
      <x:c r="D21" t="str">
        <x:v>run_id / hash</x:v>
      </x:c>
      <x:c r="E21" t="str">
        <x:v>Data Science</x:v>
      </x:c>
      <x:c r="F21" t="str">
        <x:v>Release</x:v>
      </x:c>
      <x:c r="G21" t="str">
        <x:v>Alta</x:v>
      </x:c>
      <x:c r="H21" t="str">
        <x:v>Sim</x:v>
      </x:c>
      <x:c r="I21" t="str">
        <x:v>% análises reproduzíveis</x:v>
      </x:c>
      <x:c r="J21" t="str">
        <x:v>M1</x:v>
      </x:c>
      <x:c r="K21" t="str">
        <x:v>100% of applicable records/fields meet control</x:v>
      </x:c>
      <x:c r="L21" t="str">
        <x:v>applicable production population per cadence</x:v>
      </x:c>
      <x:c r="M21" t="str">
        <x:v>automated control test + documented exception review</x:v>
      </x:c>
    </x:row>
    <x:row r="22">
      <x:c r="A22" t="str">
        <x:v>Explicabilidade</x:v>
      </x:c>
      <x:c r="B22" t="str">
        <x:v>Score que orienta decisão deve explicar fatores.</x:v>
      </x:c>
      <x:c r="C22" t="str">
        <x:v>reason codes e documentação</x:v>
      </x:c>
      <x:c r="D22" t="str">
        <x:v>model card</x:v>
      </x:c>
      <x:c r="E22" t="str">
        <x:v>AI Governance</x:v>
      </x:c>
      <x:c r="F22" t="str">
        <x:v>Release</x:v>
      </x:c>
      <x:c r="G22" t="str">
        <x:v>Alta</x:v>
      </x:c>
      <x:c r="H22" t="str">
        <x:v>Sim</x:v>
      </x:c>
      <x:c r="I22" t="str">
        <x:v>% scores explicáveis</x:v>
      </x:c>
      <x:c r="J22" t="str">
        <x:v>M1</x:v>
      </x:c>
      <x:c r="K22" t="str">
        <x:v>100% of applicable records/fields meet control</x:v>
      </x:c>
      <x:c r="L22" t="str">
        <x:v>applicable production population per cadence</x:v>
      </x:c>
      <x:c r="M22" t="str">
        <x:v>automated control test + documented exception review</x:v>
      </x:c>
    </x:row>
    <x:row r="23">
      <x:c r="A23" t="str">
        <x:v>Fairness</x:v>
      </x:c>
      <x:c r="B23" t="str">
        <x:v>Performance é monitorada por grupos pertinentes.</x:v>
      </x:c>
      <x:c r="C23" t="str">
        <x:v>métricas de erro/seleção</x:v>
      </x:c>
      <x:c r="D23" t="str">
        <x:v>fairness report</x:v>
      </x:c>
      <x:c r="E23" t="str">
        <x:v>AI Governance</x:v>
      </x:c>
      <x:c r="F23" t="str">
        <x:v>Mensal</x:v>
      </x:c>
      <x:c r="G23" t="str">
        <x:v>Crítica</x:v>
      </x:c>
      <x:c r="H23" t="str">
        <x:v>Sim</x:v>
      </x:c>
      <x:c r="I23" t="str">
        <x:v>gap de fairness</x:v>
      </x:c>
      <x:c r="J23" t="str">
        <x:v>M1</x:v>
      </x:c>
      <x:c r="K23" t="str">
        <x:v>100% of applicable records/fields meet control</x:v>
      </x:c>
      <x:c r="L23" t="str">
        <x:v>applicable production population per cadence</x:v>
      </x:c>
      <x:c r="M23" t="str">
        <x:v>automated control test + documented exception review</x:v>
      </x:c>
    </x:row>
    <x:row r="24">
      <x:c r="A24" t="str">
        <x:v>Drift</x:v>
      </x:c>
      <x:c r="B24" t="str">
        <x:v>Mudança de população ou performance gera alerta.</x:v>
      </x:c>
      <x:c r="C24" t="str">
        <x:v>monitor de feature/model drift</x:v>
      </x:c>
      <x:c r="D24" t="str">
        <x:v>alerta / rollback</x:v>
      </x:c>
      <x:c r="E24" t="str">
        <x:v>Data Science</x:v>
      </x:c>
      <x:c r="F24" t="str">
        <x:v>Semanal</x:v>
      </x:c>
      <x:c r="G24" t="str">
        <x:v>Alta</x:v>
      </x:c>
      <x:c r="H24" t="str">
        <x:v>Depende</x:v>
      </x:c>
      <x:c r="I24" t="str">
        <x:v>drift</x:v>
      </x:c>
      <x:c r="J24" t="str">
        <x:v>M1</x:v>
      </x:c>
      <x:c r="K24" t="str">
        <x:v>100% of applicable records/fields meet control</x:v>
      </x:c>
      <x:c r="L24" t="str">
        <x:v>applicable production population per cadence</x:v>
      </x:c>
      <x:c r="M24" t="str">
        <x:v>automated control test + documented exception review</x:v>
      </x:c>
    </x:row>
    <x:row r="25">
      <x:c r="A25" t="str">
        <x:v>Humano no loop</x:v>
      </x:c>
      <x:c r="B25" t="str">
        <x:v>Decisões de alto impacto permitem revisão humana.</x:v>
      </x:c>
      <x:c r="C25" t="str">
        <x:v>fila de revisão e justificativa</x:v>
      </x:c>
      <x:c r="D25" t="str">
        <x:v>audit log</x:v>
      </x:c>
      <x:c r="E25" t="str">
        <x:v>Process Owner</x:v>
      </x:c>
      <x:c r="F25" t="str">
        <x:v>Contínua</x:v>
      </x:c>
      <x:c r="G25" t="str">
        <x:v>Crítica</x:v>
      </x:c>
      <x:c r="H25" t="str">
        <x:v>Sim</x:v>
      </x:c>
      <x:c r="I25" t="str">
        <x:v>% revisões</x:v>
      </x:c>
      <x:c r="J25" t="str">
        <x:v>M1</x:v>
      </x:c>
      <x:c r="K25" t="str">
        <x:v>100% of applicable records/fields meet control</x:v>
      </x:c>
      <x:c r="L25" t="str">
        <x:v>applicable production population per cadence</x:v>
      </x:c>
      <x:c r="M25" t="str">
        <x:v>automated control test + documented exception review</x:v>
      </x:c>
    </x:row>
    <x:row r="26">
      <x:c r="A26" t="str">
        <x:v>Acesso</x:v>
      </x:c>
      <x:c r="B26" t="str">
        <x:v>Privilégio mínimo por visão e finalidade.</x:v>
      </x:c>
      <x:c r="C26" t="str">
        <x:v>RBAC/ABAC</x:v>
      </x:c>
      <x:c r="D26" t="str">
        <x:v>access review</x:v>
      </x:c>
      <x:c r="E26" t="str">
        <x:v>Security</x:v>
      </x:c>
      <x:c r="F26" t="str">
        <x:v>Trimestral</x:v>
      </x:c>
      <x:c r="G26" t="str">
        <x:v>Crítica</x:v>
      </x:c>
      <x:c r="H26" t="str">
        <x:v>Sim</x:v>
      </x:c>
      <x:c r="I26" t="str">
        <x:v>acessos indevidos</x:v>
      </x:c>
      <x:c r="J26" t="str">
        <x:v>M0</x:v>
      </x:c>
      <x:c r="K26" t="str">
        <x:v>100% of applicable records/fields meet control</x:v>
      </x:c>
      <x:c r="L26" t="str">
        <x:v>applicable production population per cadence</x:v>
      </x:c>
      <x:c r="M26" t="str">
        <x:v>automated control test + documented exception review</x:v>
      </x:c>
    </x:row>
    <x:row r="27">
      <x:c r="A27" t="str">
        <x:v>Publicação</x:v>
      </x:c>
      <x:c r="B27" t="str">
        <x:v>Dashboard executivo usa somente métricas certificadas.</x:v>
      </x:c>
      <x:c r="C27" t="str">
        <x:v>status draft/certified/deprecated</x:v>
      </x:c>
      <x:c r="D27" t="str">
        <x:v>catálogo</x:v>
      </x:c>
      <x:c r="E27" t="str">
        <x:v>Analytics</x:v>
      </x:c>
      <x:c r="F27" t="str">
        <x:v>Release</x:v>
      </x:c>
      <x:c r="G27" t="str">
        <x:v>Alta</x:v>
      </x:c>
      <x:c r="H27" t="str">
        <x:v>Sim</x:v>
      </x:c>
      <x:c r="I27" t="str">
        <x:v>% métricas certificadas</x:v>
      </x:c>
      <x:c r="J27" t="str">
        <x:v>M0</x:v>
      </x:c>
      <x:c r="K27" t="str">
        <x:v>100%</x:v>
      </x:c>
      <x:c r="L27" t="str">
        <x:v>all dashboard KPI cells in release</x:v>
      </x:c>
      <x:c r="M27" t="str">
        <x:v>automated certification/version gate</x:v>
      </x:c>
    </x:row>
    <x:row r="28">
      <x:c r="A28" t="str">
        <x:v>Auditoria financeira</x:v>
      </x:c>
      <x:c r="B28" t="str">
        <x:v>Benefício monetizado tem validação do cliente.</x:v>
      </x:c>
      <x:c r="C28" t="str">
        <x:v>sign-off da controladoria</x:v>
      </x:c>
      <x:c r="D28" t="str">
        <x:v>termo / comentário</x:v>
      </x:c>
      <x:c r="E28" t="str">
        <x:v>Financeiro cliente</x:v>
      </x:c>
      <x:c r="F28" t="str">
        <x:v>Trimestral</x:v>
      </x:c>
      <x:c r="G28" t="str">
        <x:v>Crítica</x:v>
      </x:c>
      <x:c r="H28" t="str">
        <x:v>Sim</x:v>
      </x:c>
      <x:c r="I28" t="str">
        <x:v>% valor aprovado</x:v>
      </x:c>
      <x:c r="J28" t="str">
        <x:v>M2</x:v>
      </x:c>
      <x:c r="K28" t="str">
        <x:v>100% of applicable records/fields meet control</x:v>
      </x:c>
      <x:c r="L28" t="str">
        <x:v>applicable production population per cadence</x:v>
      </x:c>
      <x:c r="M28" t="str">
        <x:v>automated control test + documented exception review</x:v>
      </x:c>
    </x:row>
  </x:sheetData>
  <x:pageSetup fitToWidth="1" fitToHeight="0" orientation="landscape"/>
</x:worksheet>
</file>

<file path=xl/worksheets/sheet14.xml><?xml version="1.0" encoding="utf-8"?>
<x:worksheet xmlns:x="http://schemas.openxmlformats.org/spreadsheetml/2006/main">
  <x:sheetPr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</x:cols>
  <x:sheetData>
    <x:row r="1">
      <x:c r="A1" t="str">
        <x:v>Roadmap de metrificação</x:v>
      </x:c>
    </x:row>
    <x:row r="3">
      <x:c r="A3" t="str">
        <x:v>O primeiro ativo não é o software: é a evidência de que a decisão melhora.</x:v>
      </x:c>
    </x:row>
    <x:row r="5">
      <x:c r="A5" t="str">
        <x:v>Fase</x:v>
      </x:c>
      <x:c r="B5" t="str">
        <x:v>Horizonte</x:v>
      </x:c>
      <x:c r="C5" t="str">
        <x:v>Objetivo</x:v>
      </x:c>
      <x:c r="D5" t="str">
        <x:v>Entregas</x:v>
      </x:c>
      <x:c r="E5" t="str">
        <x:v>Indicadores habilitados</x:v>
      </x:c>
      <x:c r="F5" t="str">
        <x:v>Dados / integrações</x:v>
      </x:c>
      <x:c r="G5" t="str">
        <x:v>Critério de saída</x:v>
      </x:c>
      <x:c r="H5" t="str">
        <x:v>Riscos</x:v>
      </x:c>
      <x:c r="I5" t="str">
        <x:v>Owner</x:v>
      </x:c>
      <x:c r="J5" t="str">
        <x:v>Prioridade</x:v>
      </x:c>
      <x:c r="K5" t="str">
        <x:v>Depende de</x:v>
      </x:c>
      <x:c r="L5" t="str">
        <x:v>Denominador/janela/população</x:v>
      </x:c>
      <x:c r="M5" t="str">
        <x:v>Limiar</x:v>
      </x:c>
      <x:c r="N5" t="str">
        <x:v>evidência de saída</x:v>
      </x:c>
    </x:row>
    <x:row r="6">
      <x:c r="A6" t="str">
        <x:v>M0 — Organizar</x:v>
      </x:c>
      <x:c r="B6" t="str">
        <x:v>0–8 semanas</x:v>
      </x:c>
      <x:c r="C6" t="str">
        <x:v>Criar linguagem comum e instrumentação mínima.</x:v>
      </x:c>
      <x:c r="D6" t="str">
        <x:v>taxonomia, IDs, eventos, catálogo, dashboards operacionais</x:v>
      </x:c>
      <x:c r="E6" t="str">
        <x:v>cadastro, completude, ativação, eventos</x:v>
      </x:c>
      <x:c r="F6" t="str">
        <x:v>CRM, plataforma, consentimento, warehouse</x:v>
      </x:c>
      <x:c r="G6" t="str">
        <x:v>critical events &gt;=95% for 14 consecutive days and 100% published KPIs certified</x:v>
      </x:c>
      <x:c r="H6" t="str">
        <x:v>identity fragmentation; missing owner</x:v>
      </x:c>
      <x:c r="I6" t="str">
        <x:v>Produto + Data</x:v>
      </x:c>
      <x:c r="J6" t="str">
        <x:v>Imediata</x:v>
      </x:c>
      <x:c r="L6" t="str">
        <x:v>all critical events and MVP KPI cells / 14 days / production traffic</x:v>
      </x:c>
      <x:c r="M6" t="str">
        <x:v>&gt;=95% event completeness; 100% certification</x:v>
      </x:c>
      <x:c r="N6" t="str">
        <x:v>event QA report + certification manifest</x:v>
      </x:c>
    </x:row>
    <x:row r="7">
      <x:c r="A7" t="str">
        <x:v>M1 — Conectar</x:v>
      </x:c>
      <x:c r="B7" t="str">
        <x:v>2–5 meses</x:v>
      </x:c>
      <x:c r="C7" t="str">
        <x:v>Relacionar ações, oportunidades e resultados.</x:v>
      </x:c>
      <x:c r="D7" t="str">
        <x:v>grafo de relações, cohorts, integrações RH/compras/marketing</x:v>
      </x:c>
      <x:c r="E7" t="str">
        <x:v>matching, conversão, ciclo, adoção, churn, pipeline</x:v>
      </x:c>
      <x:c r="F7" t="str">
        <x:v>ATS, LMS, SRM, mídia, contratos</x:v>
      </x:c>
      <x:c r="G7" t="str">
        <x:v>&gt;=90% of sampled outcomes trace end-to-end over 30 days; all M1 integrations pass SLA</x:v>
      </x:c>
      <x:c r="H7" t="str">
        <x:v>chaves inconsistentes; baixa adesão</x:v>
      </x:c>
      <x:c r="I7" t="str">
        <x:v>Data + Operações</x:v>
      </x:c>
      <x:c r="J7" t="str">
        <x:v>Alta</x:v>
      </x:c>
      <x:c r="K7" t="str">
        <x:v>M0 identity/event/consent contracts</x:v>
      </x:c>
      <x:c r="L7" t="str">
        <x:v>chained outcomes / 30 days / eligible opportunities</x:v>
      </x:c>
      <x:c r="M7" t="str">
        <x:v>&gt;=90% traceability; 100% SLA compliance</x:v>
      </x:c>
      <x:c r="N7" t="str">
        <x:v>dependency matrix + lineage report</x:v>
      </x:c>
    </x:row>
    <x:row r="8">
      <x:c r="A8" t="str">
        <x:v>M2 — Provar</x:v>
      </x:c>
      <x:c r="B8" t="str">
        <x:v>5–9 meses</x:v>
      </x:c>
      <x:c r="C8" t="str">
        <x:v>Monetizar efeito com baseline e atribuição.</x:v>
      </x:c>
      <x:c r="D8" t="str">
        <x:v>value mart, simulador, estudos quase-experimentais, sign-off</x:v>
      </x:c>
      <x:c r="E8" t="str">
        <x:v>produtividade, retenção, saving, risco, ROI, payback</x:v>
      </x:c>
      <x:c r="F8" t="str">
        <x:v>BI/financeiro cliente, GRC, controladoria</x:v>
      </x:c>
      <x:c r="G8" t="str">
        <x:v>&gt;=70% approved value cases have quasi-experimental evidence and 100% published value has sign-off</x:v>
      </x:c>
      <x:c r="H8" t="str">
        <x:v>baseline tardio; dupla contagem</x:v>
      </x:c>
      <x:c r="I8" t="str">
        <x:v>Inteligência + Financeiro</x:v>
      </x:c>
      <x:c r="J8" t="str">
        <x:v>Alta</x:v>
      </x:c>
      <x:c r="K8" t="str">
        <x:v>M1 outcome lineage and certified KPI catalog</x:v>
      </x:c>
      <x:c r="L8" t="str">
        <x:v>approved value cases / rolling 90 days / published cases</x:v>
      </x:c>
      <x:c r="M8" t="str">
        <x:v>&gt;=70% quasi-experimental; 100% sign-off</x:v>
      </x:c>
      <x:c r="N8" t="str">
        <x:v>value evidence register + controladoria sign-off</x:v>
      </x:c>
    </x:row>
    <x:row r="9">
      <x:c r="A9" t="str">
        <x:v>M3 — Prever</x:v>
      </x:c>
      <x:c r="B9" t="str">
        <x:v>9–14 meses</x:v>
      </x:c>
      <x:c r="C9" t="str">
        <x:v>Antecipar riscos, capacidades e oportunidades.</x:v>
      </x:c>
      <x:c r="D9" t="str">
        <x:v>modelos preditivos, propensão, alertas, model cards</x:v>
      </x:c>
      <x:c r="E9" t="str">
        <x:v>precisão, calibração, uplift, drift, fairness</x:v>
      </x:c>
      <x:c r="F9" t="str">
        <x:v>MLOps e histórico de outcomes</x:v>
      </x:c>
      <x:c r="G9" t="str">
        <x:v>model lift &gt;=10% vs rule and fairness gap &lt;=5pp in preregistered test</x:v>
      </x:c>
      <x:c r="H9" t="str">
        <x:v>viés; pouca amostra; drift</x:v>
      </x:c>
      <x:c r="I9" t="str">
        <x:v>Data Science</x:v>
      </x:c>
      <x:c r="J9" t="str">
        <x:v>Média</x:v>
      </x:c>
      <x:c r="K9" t="str">
        <x:v>M2 outcomes and model governance</x:v>
      </x:c>
      <x:c r="L9" t="str">
        <x:v>eligible test population / 30-day holdout / model decisions</x:v>
      </x:c>
      <x:c r="M9" t="str">
        <x:v>&gt;=10% lift; &lt;=5pp fairness gap</x:v>
      </x:c>
      <x:c r="N9" t="str">
        <x:v>model evaluation + fairness report</x:v>
      </x:c>
    </x:row>
    <x:row r="10">
      <x:c r="A10" t="str">
        <x:v>M4 — Escalar</x:v>
      </x:c>
      <x:c r="B10" t="str">
        <x:v>14–24 meses</x:v>
      </x:c>
      <x:c r="C10" t="str">
        <x:v>Benchmark e inteligência de ecossistema.</x:v>
      </x:c>
      <x:c r="D10" t="str">
        <x:v>benchmarks anônimos, marketplace, serviços por segmento</x:v>
      </x:c>
      <x:c r="E10" t="str">
        <x:v>value per member, density, NRR, economic impact</x:v>
      </x:c>
      <x:c r="F10" t="str">
        <x:v>entidades, data shares e contratos</x:v>
      </x:c>
      <x:c r="G10" t="str">
        <x:v>12-week cohort has positive gross margin, retention &gt;= baseline, and 100% publication gates passed</x:v>
      </x:c>
      <x:c r="H10" t="str">
        <x:v>governança multiempresa</x:v>
      </x:c>
      <x:c r="I10" t="str">
        <x:v>HUB + Entidades</x:v>
      </x:c>
      <x:c r="J10" t="str">
        <x:v>Média</x:v>
      </x:c>
      <x:c r="K10" t="str">
        <x:v>M3 stable model + multi-entity contracts</x:v>
      </x:c>
      <x:c r="L10" t="str">
        <x:v>12-week cohort / active contracted entities</x:v>
      </x:c>
      <x:c r="M10" t="str">
        <x:v>positive margin; retention &gt;= baseline; 100% gates</x:v>
      </x:c>
      <x:c r="N10" t="str">
        <x:v>unit economics report + gate decision</x:v>
      </x:c>
    </x:row>
  </x:sheetData>
  <x:pageSetup fitToWidth="1" fitToHeight="0" orientation="landscape"/>
</x:worksheet>
</file>

<file path=xl/worksheets/sheet15.xml><?xml version="1.0" encoding="utf-8"?>
<x:worksheet xmlns:x="http://schemas.openxmlformats.org/spreadsheetml/2006/main">
  <x:sheetPr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</x:cols>
  <x:sheetData>
    <x:row r="1">
      <x:c r="A1" t="str">
        <x:v>Matriz de integração entre vertentes</x:v>
      </x:c>
    </x:row>
    <x:row r="3">
      <x:c r="A3" t="str">
        <x:v>A mesma evidência pode servir a várias visões, mas a regra financeira é única e deduplicada.</x:v>
      </x:c>
    </x:row>
    <x:row r="5">
      <x:c r="A5" t="str">
        <x:v>Família de indicador</x:v>
      </x:c>
      <x:c r="B5" t="str">
        <x:v>Pessoas</x:v>
      </x:c>
      <x:c r="C5" t="str">
        <x:v>Empresas / RH</x:v>
      </x:c>
      <x:c r="D5" t="str">
        <x:v>Compras</x:v>
      </x:c>
      <x:c r="E5" t="str">
        <x:v>Entidades</x:v>
      </x:c>
      <x:c r="F5" t="str">
        <x:v>Marketing</x:v>
      </x:c>
      <x:c r="G5" t="str">
        <x:v>Produto</x:v>
      </x:c>
      <x:c r="H5" t="str">
        <x:v>Financeiro</x:v>
      </x:c>
      <x:c r="I5" t="str">
        <x:v>Dados / IA</x:v>
      </x:c>
      <x:c r="J5" t="str">
        <x:v>Nó central</x:v>
      </x:c>
      <x:c r="K5" t="str">
        <x:v>Output compartilhado</x:v>
      </x:c>
      <x:c r="L5" t="str">
        <x:v>Risco de dupla contagem</x:v>
      </x:c>
    </x:row>
    <x:row r="6">
      <x:c r="A6" t="str">
        <x:v>Prontidão e capacidades</x:v>
      </x:c>
      <x:c r="B6" t="str">
        <x:v>●</x:v>
      </x:c>
      <x:c r="C6" t="str">
        <x:v>●</x:v>
      </x:c>
      <x:c r="D6" t="str">
        <x:v>○</x:v>
      </x:c>
      <x:c r="E6" t="str">
        <x:v>●</x:v>
      </x:c>
      <x:c r="F6" t="str">
        <x:v>○</x:v>
      </x:c>
      <x:c r="G6" t="str">
        <x:v>●</x:v>
      </x:c>
      <x:c r="H6" t="str">
        <x:v>○</x:v>
      </x:c>
      <x:c r="I6" t="str">
        <x:v>●</x:v>
      </x:c>
      <x:c r="J6" t="str">
        <x:v>Competência</x:v>
      </x:c>
      <x:c r="K6" t="str">
        <x:v>gap e recomendação</x:v>
      </x:c>
      <x:c r="L6" t="str">
        <x:v>usar uma única evolução por pessoa-período</x:v>
      </x:c>
    </x:row>
    <x:row r="7">
      <x:c r="A7" t="str">
        <x:v>Matching e oportunidades</x:v>
      </x:c>
      <x:c r="B7" t="str">
        <x:v>●</x:v>
      </x:c>
      <x:c r="C7" t="str">
        <x:v>●</x:v>
      </x:c>
      <x:c r="D7" t="str">
        <x:v>●</x:v>
      </x:c>
      <x:c r="E7" t="str">
        <x:v>●</x:v>
      </x:c>
      <x:c r="F7" t="str">
        <x:v>○</x:v>
      </x:c>
      <x:c r="G7" t="str">
        <x:v>●</x:v>
      </x:c>
      <x:c r="H7" t="str">
        <x:v>○</x:v>
      </x:c>
      <x:c r="I7" t="str">
        <x:v>●</x:v>
      </x:c>
      <x:c r="J7" t="str">
        <x:v>Match</x:v>
      </x:c>
      <x:c r="K7" t="str">
        <x:v>fit, ciclo e conversão</x:v>
      </x:c>
      <x:c r="L7" t="str">
        <x:v>uma origem principal por contrato</x:v>
      </x:c>
    </x:row>
    <x:row r="8">
      <x:c r="A8" t="str">
        <x:v>Jornadas e desenvolvimento</x:v>
      </x:c>
      <x:c r="B8" t="str">
        <x:v>●</x:v>
      </x:c>
      <x:c r="C8" t="str">
        <x:v>●</x:v>
      </x:c>
      <x:c r="D8" t="str">
        <x:v>○</x:v>
      </x:c>
      <x:c r="E8" t="str">
        <x:v>●</x:v>
      </x:c>
      <x:c r="F8" t="str">
        <x:v>○</x:v>
      </x:c>
      <x:c r="G8" t="str">
        <x:v>●</x:v>
      </x:c>
      <x:c r="H8" t="str">
        <x:v>○</x:v>
      </x:c>
      <x:c r="I8" t="str">
        <x:v>●</x:v>
      </x:c>
      <x:c r="J8" t="str">
        <x:v>Jornada</x:v>
      </x:c>
      <x:c r="K8" t="str">
        <x:v>dose, conclusão e outcome</x:v>
      </x:c>
      <x:c r="L8" t="str">
        <x:v>não somar conclusão como benefício</x:v>
      </x:c>
    </x:row>
    <x:row r="9">
      <x:c r="A9" t="str">
        <x:v>Produtividade</x:v>
      </x:c>
      <x:c r="B9" t="str">
        <x:v>●</x:v>
      </x:c>
      <x:c r="C9" t="str">
        <x:v>●</x:v>
      </x:c>
      <x:c r="D9" t="str">
        <x:v>○</x:v>
      </x:c>
      <x:c r="E9" t="str">
        <x:v>●</x:v>
      </x:c>
      <x:c r="F9" t="str">
        <x:v>○</x:v>
      </x:c>
      <x:c r="G9" t="str">
        <x:v>○</x:v>
      </x:c>
      <x:c r="H9" t="str">
        <x:v>●</x:v>
      </x:c>
      <x:c r="I9" t="str">
        <x:v>●</x:v>
      </x:c>
      <x:c r="J9" t="str">
        <x:v>Indicador de negócio</x:v>
      </x:c>
      <x:c r="K9" t="str">
        <x:v>ganho monetizado</x:v>
      </x:c>
      <x:c r="L9" t="str">
        <x:v>não somar horas e output sobrepostos</x:v>
      </x:c>
    </x:row>
    <x:row r="10">
      <x:c r="A10" t="str">
        <x:v>Retenção</x:v>
      </x:c>
      <x:c r="B10" t="str">
        <x:v>●</x:v>
      </x:c>
      <x:c r="C10" t="str">
        <x:v>●</x:v>
      </x:c>
      <x:c r="D10" t="str">
        <x:v>○</x:v>
      </x:c>
      <x:c r="E10" t="str">
        <x:v>●</x:v>
      </x:c>
      <x:c r="F10" t="str">
        <x:v>○</x:v>
      </x:c>
      <x:c r="G10" t="str">
        <x:v>●</x:v>
      </x:c>
      <x:c r="H10" t="str">
        <x:v>●</x:v>
      </x:c>
      <x:c r="I10" t="str">
        <x:v>●</x:v>
      </x:c>
      <x:c r="J10" t="str">
        <x:v>Vínculo</x:v>
      </x:c>
      <x:c r="K10" t="str">
        <x:v>turnover evitado</x:v>
      </x:c>
      <x:c r="L10" t="str">
        <x:v>uma saída evitada por pessoa</x:v>
      </x:c>
    </x:row>
    <x:row r="11">
      <x:c r="A11" t="str">
        <x:v>Compras e fornecedores</x:v>
      </x:c>
      <x:c r="B11" t="str">
        <x:v>○</x:v>
      </x:c>
      <x:c r="C11" t="str">
        <x:v>●</x:v>
      </x:c>
      <x:c r="D11" t="str">
        <x:v>●</x:v>
      </x:c>
      <x:c r="E11" t="str">
        <x:v>●</x:v>
      </x:c>
      <x:c r="F11" t="str">
        <x:v>○</x:v>
      </x:c>
      <x:c r="G11" t="str">
        <x:v>●</x:v>
      </x:c>
      <x:c r="H11" t="str">
        <x:v>●</x:v>
      </x:c>
      <x:c r="I11" t="str">
        <x:v>●</x:v>
      </x:c>
      <x:c r="J11" t="str">
        <x:v>Fornecedor / contrato</x:v>
      </x:c>
      <x:c r="K11" t="str">
        <x:v>saving, ciclo, risco</x:v>
      </x:c>
      <x:c r="L11" t="str">
        <x:v>separar saving de custo operacional</x:v>
      </x:c>
    </x:row>
    <x:row r="12">
      <x:c r="A12" t="str">
        <x:v>Marketing e pipeline</x:v>
      </x:c>
      <x:c r="B12" t="str">
        <x:v>○</x:v>
      </x:c>
      <x:c r="C12" t="str">
        <x:v>●</x:v>
      </x:c>
      <x:c r="D12" t="str">
        <x:v>○</x:v>
      </x:c>
      <x:c r="E12" t="str">
        <x:v>●</x:v>
      </x:c>
      <x:c r="F12" t="str">
        <x:v>●</x:v>
      </x:c>
      <x:c r="G12" t="str">
        <x:v>●</x:v>
      </x:c>
      <x:c r="H12" t="str">
        <x:v>●</x:v>
      </x:c>
      <x:c r="I12" t="str">
        <x:v>●</x:v>
      </x:c>
      <x:c r="J12" t="str">
        <x:v>Campanha / oportunidade</x:v>
      </x:c>
      <x:c r="K12" t="str">
        <x:v>pipeline e margem</x:v>
      </x:c>
      <x:c r="L12" t="str">
        <x:v>não somar pipeline e receita</x:v>
      </x:c>
    </x:row>
    <x:row r="13">
      <x:c r="A13" t="str">
        <x:v>Entidade e associados</x:v>
      </x:c>
      <x:c r="B13" t="str">
        <x:v>○</x:v>
      </x:c>
      <x:c r="C13" t="str">
        <x:v>●</x:v>
      </x:c>
      <x:c r="D13" t="str">
        <x:v>●</x:v>
      </x:c>
      <x:c r="E13" t="str">
        <x:v>●</x:v>
      </x:c>
      <x:c r="F13" t="str">
        <x:v>●</x:v>
      </x:c>
      <x:c r="G13" t="str">
        <x:v>●</x:v>
      </x:c>
      <x:c r="H13" t="str">
        <x:v>●</x:v>
      </x:c>
      <x:c r="I13" t="str">
        <x:v>●</x:v>
      </x:c>
      <x:c r="J13" t="str">
        <x:v>Entidade / vínculo</x:v>
      </x:c>
      <x:c r="K13" t="str">
        <x:v>ativação, renovação, valor</x:v>
      </x:c>
      <x:c r="L13" t="str">
        <x:v>separar valor do associado e receita da entidade</x:v>
      </x:c>
    </x:row>
    <x:row r="14">
      <x:c r="A14" t="str">
        <x:v>Risco</x:v>
      </x:c>
      <x:c r="B14" t="str">
        <x:v>●</x:v>
      </x:c>
      <x:c r="C14" t="str">
        <x:v>●</x:v>
      </x:c>
      <x:c r="D14" t="str">
        <x:v>●</x:v>
      </x:c>
      <x:c r="E14" t="str">
        <x:v>●</x:v>
      </x:c>
      <x:c r="F14" t="str">
        <x:v>○</x:v>
      </x:c>
      <x:c r="G14" t="str">
        <x:v>●</x:v>
      </x:c>
      <x:c r="H14" t="str">
        <x:v>●</x:v>
      </x:c>
      <x:c r="I14" t="str">
        <x:v>●</x:v>
      </x:c>
      <x:c r="J14" t="str">
        <x:v>Risco / controle</x:v>
      </x:c>
      <x:c r="K14" t="str">
        <x:v>perda esperada evitada</x:v>
      </x:c>
      <x:c r="L14" t="str">
        <x:v>não somar risco esperado e perda real</x:v>
      </x:c>
    </x:row>
    <x:row r="15">
      <x:c r="A15" t="str">
        <x:v>Receita recorrente HUB</x:v>
      </x:c>
      <x:c r="B15" t="str">
        <x:v>○</x:v>
      </x:c>
      <x:c r="C15" t="str">
        <x:v>○</x:v>
      </x:c>
      <x:c r="D15" t="str">
        <x:v>○</x:v>
      </x:c>
      <x:c r="E15" t="str">
        <x:v>●</x:v>
      </x:c>
      <x:c r="F15" t="str">
        <x:v>●</x:v>
      </x:c>
      <x:c r="G15" t="str">
        <x:v>●</x:v>
      </x:c>
      <x:c r="H15" t="str">
        <x:v>●</x:v>
      </x:c>
      <x:c r="I15" t="str">
        <x:v>○</x:v>
      </x:c>
      <x:c r="J15" t="str">
        <x:v>Contrato / transação</x:v>
      </x:c>
      <x:c r="K15" t="str">
        <x:v>MRR, ARR, NRR</x:v>
      </x:c>
      <x:c r="L15" t="str">
        <x:v>não somar MRR e ARR</x:v>
      </x:c>
    </x:row>
    <x:row r="16">
      <x:c r="A16" t="str">
        <x:v>Impacto financeiro cliente</x:v>
      </x:c>
      <x:c r="B16" t="str">
        <x:v>○</x:v>
      </x:c>
      <x:c r="C16" t="str">
        <x:v>●</x:v>
      </x:c>
      <x:c r="D16" t="str">
        <x:v>●</x:v>
      </x:c>
      <x:c r="E16" t="str">
        <x:v>●</x:v>
      </x:c>
      <x:c r="F16" t="str">
        <x:v>●</x:v>
      </x:c>
      <x:c r="G16" t="str">
        <x:v>○</x:v>
      </x:c>
      <x:c r="H16" t="str">
        <x:v>●</x:v>
      </x:c>
      <x:c r="I16" t="str">
        <x:v>●</x:v>
      </x:c>
      <x:c r="J16" t="str">
        <x:v>Valor financeiro</x:v>
      </x:c>
      <x:c r="K16" t="str">
        <x:v>ROI e payback</x:v>
      </x:c>
      <x:c r="L16" t="str">
        <x:v>deduplicação por alavanca e período</x:v>
      </x:c>
    </x:row>
    <x:row r="17">
      <x:c r="A17" t="str">
        <x:v>Qualidade e confiança</x:v>
      </x:c>
      <x:c r="B17" t="str">
        <x:v>●</x:v>
      </x:c>
      <x:c r="C17" t="str">
        <x:v>●</x:v>
      </x:c>
      <x:c r="D17" t="str">
        <x:v>●</x:v>
      </x:c>
      <x:c r="E17" t="str">
        <x:v>●</x:v>
      </x:c>
      <x:c r="F17" t="str">
        <x:v>●</x:v>
      </x:c>
      <x:c r="G17" t="str">
        <x:v>●</x:v>
      </x:c>
      <x:c r="H17" t="str">
        <x:v>●</x:v>
      </x:c>
      <x:c r="I17" t="str">
        <x:v>●</x:v>
      </x:c>
      <x:c r="J17" t="str">
        <x:v>Consentimento / modelo</x:v>
      </x:c>
      <x:c r="K17" t="str">
        <x:v>score de confiança</x:v>
      </x:c>
      <x:c r="L17" t="str">
        <x:v>não monetizar qualidade isoladamente</x:v>
      </x:c>
    </x:row>
  </x:sheetData>
  <x:pageSetup fitToWidth="1" fitToHeight="0" orientation="landscape"/>
</x:worksheet>
</file>

<file path=xl/worksheets/sheet16.xml><?xml version="1.0" encoding="utf-8"?>
<x:worksheet xmlns:x="http://schemas.openxmlformats.org/spreadsheetml/2006/main">
  <x:sheetPr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</x:cols>
  <x:sheetData>
    <x:row r="1">
      <x:c r="A1" t="str">
        <x:v>RACI de dados, métricas e valor</x:v>
      </x:c>
    </x:row>
    <x:row r="3">
      <x:c r="A3" t="str">
        <x:v>R = executa | A = responde pelo resultado | C = consultado | I = informado.</x:v>
      </x:c>
    </x:row>
    <x:row r="5">
      <x:c r="A5" t="str">
        <x:v>Atividade</x:v>
      </x:c>
      <x:c r="B5" t="str">
        <x:v>CEO HUB</x:v>
      </x:c>
      <x:c r="C5" t="str">
        <x:v>Produto</x:v>
      </x:c>
      <x:c r="D5" t="str">
        <x:v>Data Eng.</x:v>
      </x:c>
      <x:c r="E5" t="str">
        <x:v>Data Science</x:v>
      </x:c>
      <x:c r="F5" t="str">
        <x:v>Financeiro HUB</x:v>
      </x:c>
      <x:c r="G5" t="str">
        <x:v>Cliente / patrocinador</x:v>
      </x:c>
      <x:c r="H5" t="str">
        <x:v>Owner do processo</x:v>
      </x:c>
      <x:c r="I5" t="str">
        <x:v>Controladoria cliente</x:v>
      </x:c>
      <x:c r="J5" t="str">
        <x:v>DPO / Segurança</x:v>
      </x:c>
      <x:c r="K5" t="str">
        <x:v>Entidade</x:v>
      </x:c>
      <x:c r="L5" t="str">
        <x:v>Primary A</x:v>
      </x:c>
      <x:c r="M5" t="str">
        <x:v>Observação</x:v>
      </x:c>
    </x:row>
    <x:row r="6">
      <x:c r="A6" t="str">
        <x:v>Definir objetivo e decisão</x:v>
      </x:c>
      <x:c r="B6" t="str">
        <x:v>A</x:v>
      </x:c>
      <x:c r="C6" t="str">
        <x:v>C</x:v>
      </x:c>
      <x:c r="D6" t="str">
        <x:v>I</x:v>
      </x:c>
      <x:c r="E6" t="str">
        <x:v>C</x:v>
      </x:c>
      <x:c r="F6" t="str">
        <x:v>C</x:v>
      </x:c>
      <x:c r="G6" t="str">
        <x:v>C</x:v>
      </x:c>
      <x:c r="H6" t="str">
        <x:v>R</x:v>
      </x:c>
      <x:c r="I6" t="str">
        <x:v>C</x:v>
      </x:c>
      <x:c r="J6" t="str">
        <x:v>I</x:v>
      </x:c>
      <x:c r="K6" t="str">
        <x:v>C</x:v>
      </x:c>
      <x:c r="L6" t="str">
        <x:v>CEO HUB</x:v>
      </x:c>
      <x:c r="M6" t="str">
        <x:v>Começar pela decisão, não pelo dashboard</x:v>
      </x:c>
    </x:row>
    <x:row r="7">
      <x:c r="A7" t="str">
        <x:v>Definir indicador e fórmula</x:v>
      </x:c>
      <x:c r="B7" t="str">
        <x:v>I</x:v>
      </x:c>
      <x:c r="C7" t="str">
        <x:v>C</x:v>
      </x:c>
      <x:c r="D7" t="str">
        <x:v>C</x:v>
      </x:c>
      <x:c r="E7" t="str">
        <x:v>C</x:v>
      </x:c>
      <x:c r="F7" t="str">
        <x:v>C</x:v>
      </x:c>
      <x:c r="G7" t="str">
        <x:v>C</x:v>
      </x:c>
      <x:c r="H7" t="str">
        <x:v>A</x:v>
      </x:c>
      <x:c r="I7" t="str">
        <x:v>C</x:v>
      </x:c>
      <x:c r="J7" t="str">
        <x:v>C</x:v>
      </x:c>
      <x:c r="K7" t="str">
        <x:v>C</x:v>
      </x:c>
      <x:c r="L7" t="str">
        <x:v>Owner do processo</x:v>
      </x:c>
      <x:c r="M7" t="str">
        <x:v>Owner de negócio aprova semântica</x:v>
      </x:c>
    </x:row>
    <x:row r="8">
      <x:c r="A8" t="str">
        <x:v>Instrumentar eventos</x:v>
      </x:c>
      <x:c r="B8" t="str">
        <x:v>I</x:v>
      </x:c>
      <x:c r="C8" t="str">
        <x:v>A</x:v>
      </x:c>
      <x:c r="D8" t="str">
        <x:v>R</x:v>
      </x:c>
      <x:c r="E8" t="str">
        <x:v>C</x:v>
      </x:c>
      <x:c r="F8" t="str">
        <x:v>I</x:v>
      </x:c>
      <x:c r="G8" t="str">
        <x:v>I</x:v>
      </x:c>
      <x:c r="H8" t="str">
        <x:v>C</x:v>
      </x:c>
      <x:c r="I8" t="str">
        <x:v>I</x:v>
      </x:c>
      <x:c r="J8" t="str">
        <x:v>C</x:v>
      </x:c>
      <x:c r="K8" t="str">
        <x:v>I</x:v>
      </x:c>
      <x:c r="L8" t="str">
        <x:v>Produto</x:v>
      </x:c>
      <x:c r="M8" t="str">
        <x:v>Contrato de dados versionado</x:v>
      </x:c>
    </x:row>
    <x:row r="9">
      <x:c r="A9" t="str">
        <x:v>Integrar fontes</x:v>
      </x:c>
      <x:c r="B9" t="str">
        <x:v>I</x:v>
      </x:c>
      <x:c r="C9" t="str">
        <x:v>C</x:v>
      </x:c>
      <x:c r="D9" t="str">
        <x:v>A</x:v>
      </x:c>
      <x:c r="E9" t="str">
        <x:v>C</x:v>
      </x:c>
      <x:c r="F9" t="str">
        <x:v>I</x:v>
      </x:c>
      <x:c r="G9" t="str">
        <x:v>C</x:v>
      </x:c>
      <x:c r="H9" t="str">
        <x:v>C</x:v>
      </x:c>
      <x:c r="I9" t="str">
        <x:v>I</x:v>
      </x:c>
      <x:c r="J9" t="str">
        <x:v>C</x:v>
      </x:c>
      <x:c r="K9" t="str">
        <x:v>C</x:v>
      </x:c>
      <x:c r="L9" t="str">
        <x:v>Data Eng.</x:v>
      </x:c>
      <x:c r="M9" t="str">
        <x:v>SLA e linhagem obrigatórios</x:v>
      </x:c>
    </x:row>
    <x:row r="10">
      <x:c r="A10" t="str">
        <x:v>Garantir consentimento e acesso</x:v>
      </x:c>
      <x:c r="B10" t="str">
        <x:v>I</x:v>
      </x:c>
      <x:c r="C10" t="str">
        <x:v>C</x:v>
      </x:c>
      <x:c r="D10" t="str">
        <x:v>R</x:v>
      </x:c>
      <x:c r="E10" t="str">
        <x:v>C</x:v>
      </x:c>
      <x:c r="F10" t="str">
        <x:v>I</x:v>
      </x:c>
      <x:c r="G10" t="str">
        <x:v>C</x:v>
      </x:c>
      <x:c r="H10" t="str">
        <x:v>I</x:v>
      </x:c>
      <x:c r="I10" t="str">
        <x:v>I</x:v>
      </x:c>
      <x:c r="J10" t="str">
        <x:v>A</x:v>
      </x:c>
      <x:c r="K10" t="str">
        <x:v>I</x:v>
      </x:c>
      <x:c r="L10" t="str">
        <x:v>DPO / Segurança</x:v>
      </x:c>
      <x:c r="M10" t="str">
        <x:v>Gate de privacidade</x:v>
      </x:c>
    </x:row>
    <x:row r="11">
      <x:c r="A11" t="str">
        <x:v>Certificar qualidade</x:v>
      </x:c>
      <x:c r="B11" t="str">
        <x:v>I</x:v>
      </x:c>
      <x:c r="C11" t="str">
        <x:v>C</x:v>
      </x:c>
      <x:c r="D11" t="str">
        <x:v>A</x:v>
      </x:c>
      <x:c r="E11" t="str">
        <x:v>C</x:v>
      </x:c>
      <x:c r="F11" t="str">
        <x:v>I</x:v>
      </x:c>
      <x:c r="G11" t="str">
        <x:v>C</x:v>
      </x:c>
      <x:c r="H11" t="str">
        <x:v>C</x:v>
      </x:c>
      <x:c r="I11" t="str">
        <x:v>I</x:v>
      </x:c>
      <x:c r="J11" t="str">
        <x:v>C</x:v>
      </x:c>
      <x:c r="K11" t="str">
        <x:v>I</x:v>
      </x:c>
      <x:c r="L11" t="str">
        <x:v>Data Eng.</x:v>
      </x:c>
      <x:c r="M11" t="str">
        <x:v>Quality gate antes da publicação</x:v>
      </x:c>
    </x:row>
    <x:row r="12">
      <x:c r="A12" t="str">
        <x:v>Definir baseline e cohort</x:v>
      </x:c>
      <x:c r="B12" t="str">
        <x:v>I</x:v>
      </x:c>
      <x:c r="C12" t="str">
        <x:v>C</x:v>
      </x:c>
      <x:c r="D12" t="str">
        <x:v>C</x:v>
      </x:c>
      <x:c r="E12" t="str">
        <x:v>A</x:v>
      </x:c>
      <x:c r="F12" t="str">
        <x:v>C</x:v>
      </x:c>
      <x:c r="G12" t="str">
        <x:v>C</x:v>
      </x:c>
      <x:c r="H12" t="str">
        <x:v>C</x:v>
      </x:c>
      <x:c r="I12" t="str">
        <x:v>C</x:v>
      </x:c>
      <x:c r="J12" t="str">
        <x:v>C</x:v>
      </x:c>
      <x:c r="K12" t="str">
        <x:v>I</x:v>
      </x:c>
      <x:c r="L12" t="str">
        <x:v>Data Science</x:v>
      </x:c>
      <x:c r="M12" t="str">
        <x:v>Antes da intervenção</x:v>
      </x:c>
    </x:row>
    <x:row r="13">
      <x:c r="A13" t="str">
        <x:v>Calcular efeito</x:v>
      </x:c>
      <x:c r="B13" t="str">
        <x:v>I</x:v>
      </x:c>
      <x:c r="C13" t="str">
        <x:v>I</x:v>
      </x:c>
      <x:c r="D13" t="str">
        <x:v>C</x:v>
      </x:c>
      <x:c r="E13" t="str">
        <x:v>A</x:v>
      </x:c>
      <x:c r="F13" t="str">
        <x:v>C</x:v>
      </x:c>
      <x:c r="G13" t="str">
        <x:v>C</x:v>
      </x:c>
      <x:c r="H13" t="str">
        <x:v>C</x:v>
      </x:c>
      <x:c r="I13" t="str">
        <x:v>C</x:v>
      </x:c>
      <x:c r="J13" t="str">
        <x:v>I</x:v>
      </x:c>
      <x:c r="K13" t="str">
        <x:v>I</x:v>
      </x:c>
      <x:c r="L13" t="str">
        <x:v>Data Science</x:v>
      </x:c>
      <x:c r="M13" t="str">
        <x:v>Método e incerteza registrados</x:v>
      </x:c>
    </x:row>
    <x:row r="14">
      <x:c r="A14" t="str">
        <x:v>Monetizar benefício</x:v>
      </x:c>
      <x:c r="B14" t="str">
        <x:v>I</x:v>
      </x:c>
      <x:c r="C14" t="str">
        <x:v>I</x:v>
      </x:c>
      <x:c r="D14" t="str">
        <x:v>C</x:v>
      </x:c>
      <x:c r="E14" t="str">
        <x:v>C</x:v>
      </x:c>
      <x:c r="F14" t="str">
        <x:v>A</x:v>
      </x:c>
      <x:c r="G14" t="str">
        <x:v>C</x:v>
      </x:c>
      <x:c r="H14" t="str">
        <x:v>C</x:v>
      </x:c>
      <x:c r="I14" t="str">
        <x:v>C</x:v>
      </x:c>
      <x:c r="J14" t="str">
        <x:v>I</x:v>
      </x:c>
      <x:c r="K14" t="str">
        <x:v>I</x:v>
      </x:c>
      <x:c r="L14" t="str">
        <x:v>Financeiro HUB</x:v>
      </x:c>
      <x:c r="M14" t="str">
        <x:v>Conversão financeira transparente</x:v>
      </x:c>
    </x:row>
    <x:row r="15">
      <x:c r="A15" t="str">
        <x:v>Aprovar benefício</x:v>
      </x:c>
      <x:c r="B15" t="str">
        <x:v>I</x:v>
      </x:c>
      <x:c r="C15" t="str">
        <x:v>I</x:v>
      </x:c>
      <x:c r="D15" t="str">
        <x:v>I</x:v>
      </x:c>
      <x:c r="E15" t="str">
        <x:v>C</x:v>
      </x:c>
      <x:c r="F15" t="str">
        <x:v>R</x:v>
      </x:c>
      <x:c r="G15" t="str">
        <x:v>A</x:v>
      </x:c>
      <x:c r="H15" t="str">
        <x:v>C</x:v>
      </x:c>
      <x:c r="I15" t="str">
        <x:v>C</x:v>
      </x:c>
      <x:c r="J15" t="str">
        <x:v>I</x:v>
      </x:c>
      <x:c r="K15" t="str">
        <x:v>I</x:v>
      </x:c>
      <x:c r="L15" t="str">
        <x:v>Cliente / patrocinador</x:v>
      </x:c>
      <x:c r="M15" t="str">
        <x:v>Sign-off do cliente</x:v>
      </x:c>
    </x:row>
    <x:row r="16">
      <x:c r="A16" t="str">
        <x:v>Publicar dashboard</x:v>
      </x:c>
      <x:c r="B16" t="str">
        <x:v>I</x:v>
      </x:c>
      <x:c r="C16" t="str">
        <x:v>A</x:v>
      </x:c>
      <x:c r="D16" t="str">
        <x:v>R</x:v>
      </x:c>
      <x:c r="E16" t="str">
        <x:v>C</x:v>
      </x:c>
      <x:c r="F16" t="str">
        <x:v>C</x:v>
      </x:c>
      <x:c r="G16" t="str">
        <x:v>C</x:v>
      </x:c>
      <x:c r="H16" t="str">
        <x:v>C</x:v>
      </x:c>
      <x:c r="I16" t="str">
        <x:v>I</x:v>
      </x:c>
      <x:c r="J16" t="str">
        <x:v>C</x:v>
      </x:c>
      <x:c r="K16" t="str">
        <x:v>I</x:v>
      </x:c>
      <x:c r="L16" t="str">
        <x:v>Produto</x:v>
      </x:c>
      <x:c r="M16" t="str">
        <x:v>Somente métrica certificada</x:v>
      </x:c>
    </x:row>
    <x:row r="17">
      <x:c r="A17" t="str">
        <x:v>Monitorar modelo</x:v>
      </x:c>
      <x:c r="B17" t="str">
        <x:v>I</x:v>
      </x:c>
      <x:c r="C17" t="str">
        <x:v>C</x:v>
      </x:c>
      <x:c r="D17" t="str">
        <x:v>C</x:v>
      </x:c>
      <x:c r="E17" t="str">
        <x:v>A</x:v>
      </x:c>
      <x:c r="F17" t="str">
        <x:v>I</x:v>
      </x:c>
      <x:c r="G17" t="str">
        <x:v>I</x:v>
      </x:c>
      <x:c r="H17" t="str">
        <x:v>C</x:v>
      </x:c>
      <x:c r="I17" t="str">
        <x:v>I</x:v>
      </x:c>
      <x:c r="J17" t="str">
        <x:v>C</x:v>
      </x:c>
      <x:c r="K17" t="str">
        <x:v>I</x:v>
      </x:c>
      <x:c r="L17" t="str">
        <x:v>Data Science</x:v>
      </x:c>
      <x:c r="M17" t="str">
        <x:v>Performance, fairness e drift</x:v>
      </x:c>
    </x:row>
    <x:row r="18">
      <x:c r="A18" t="str">
        <x:v>Decidir escala / correção</x:v>
      </x:c>
      <x:c r="B18" t="str">
        <x:v>A</x:v>
      </x:c>
      <x:c r="C18" t="str">
        <x:v>C</x:v>
      </x:c>
      <x:c r="D18" t="str">
        <x:v>I</x:v>
      </x:c>
      <x:c r="E18" t="str">
        <x:v>C</x:v>
      </x:c>
      <x:c r="F18" t="str">
        <x:v>C</x:v>
      </x:c>
      <x:c r="G18" t="str">
        <x:v>C</x:v>
      </x:c>
      <x:c r="H18" t="str">
        <x:v>R</x:v>
      </x:c>
      <x:c r="I18" t="str">
        <x:v>C</x:v>
      </x:c>
      <x:c r="J18" t="str">
        <x:v>I</x:v>
      </x:c>
      <x:c r="K18" t="str">
        <x:v>C</x:v>
      </x:c>
      <x:c r="L18" t="str">
        <x:v>CEO HUB</x:v>
      </x:c>
      <x:c r="M18" t="str">
        <x:v>Baseada em evidência e unit economics</x:v>
      </x:c>
    </x:row>
    <x:row r="19">
      <x:c r="A19" t="str">
        <x:v>Certificar KPI</x:v>
      </x:c>
      <x:c r="B19" t="str">
        <x:v>I</x:v>
      </x:c>
      <x:c r="C19" t="str">
        <x:v>C</x:v>
      </x:c>
      <x:c r="D19" t="str">
        <x:v>C</x:v>
      </x:c>
      <x:c r="E19" t="str">
        <x:v>C</x:v>
      </x:c>
      <x:c r="F19" t="str">
        <x:v>C</x:v>
      </x:c>
      <x:c r="G19" t="str">
        <x:v>C</x:v>
      </x:c>
      <x:c r="H19" t="str">
        <x:v>A</x:v>
      </x:c>
      <x:c r="I19" t="str">
        <x:v>C</x:v>
      </x:c>
      <x:c r="J19" t="str">
        <x:v>C</x:v>
      </x:c>
      <x:c r="K19" t="str">
        <x:v>C</x:v>
      </x:c>
      <x:c r="L19" t="str">
        <x:v>Owner do processo</x:v>
      </x:c>
      <x:c r="M19" t="str">
        <x:v>Fórmula, unidade, população, janela, fonte e versão obrigatórios</x:v>
      </x:c>
    </x:row>
    <x:row r="20">
      <x:c r="A20" t="str">
        <x:v>Administrar retenção e expurgo</x:v>
      </x:c>
      <x:c r="B20" t="str">
        <x:v>I</x:v>
      </x:c>
      <x:c r="C20" t="str">
        <x:v>C</x:v>
      </x:c>
      <x:c r="D20" t="str">
        <x:v>R</x:v>
      </x:c>
      <x:c r="E20" t="str">
        <x:v>C</x:v>
      </x:c>
      <x:c r="F20" t="str">
        <x:v>I</x:v>
      </x:c>
      <x:c r="G20" t="str">
        <x:v>I</x:v>
      </x:c>
      <x:c r="H20" t="str">
        <x:v>A</x:v>
      </x:c>
      <x:c r="I20" t="str">
        <x:v>I</x:v>
      </x:c>
      <x:c r="J20" t="str">
        <x:v>C</x:v>
      </x:c>
      <x:c r="K20" t="str">
        <x:v>I</x:v>
      </x:c>
      <x:c r="L20" t="str">
        <x:v>Owner do processo</x:v>
      </x:c>
      <x:c r="M20" t="str">
        <x:v>TTL por finalidade; exceção aprovada pelo DPO</x:v>
      </x:c>
    </x:row>
    <x:row r="21">
      <x:c r="A21" t="str">
        <x:v>Versionar contratos e taxonomias</x:v>
      </x:c>
      <x:c r="B21" t="str">
        <x:v>I</x:v>
      </x:c>
      <x:c r="C21" t="str">
        <x:v>A</x:v>
      </x:c>
      <x:c r="D21" t="str">
        <x:v>R</x:v>
      </x:c>
      <x:c r="E21" t="str">
        <x:v>C</x:v>
      </x:c>
      <x:c r="F21" t="str">
        <x:v>I</x:v>
      </x:c>
      <x:c r="G21" t="str">
        <x:v>I</x:v>
      </x:c>
      <x:c r="H21" t="str">
        <x:v>C</x:v>
      </x:c>
      <x:c r="I21" t="str">
        <x:v>I</x:v>
      </x:c>
      <x:c r="J21" t="str">
        <x:v>C</x:v>
      </x:c>
      <x:c r="K21" t="str">
        <x:v>I</x:v>
      </x:c>
      <x:c r="L21" t="str">
        <x:v>Produto</x:v>
      </x:c>
      <x:c r="M21" t="str">
        <x:v>Versão imutável após uso; changelog obrigatório</x:v>
      </x:c>
    </x:row>
    <x:row r="22">
      <x:c r="A22" t="str">
        <x:v>Responder incidente de qualidade</x:v>
      </x:c>
      <x:c r="B22" t="str">
        <x:v>I</x:v>
      </x:c>
      <x:c r="C22" t="str">
        <x:v>C</x:v>
      </x:c>
      <x:c r="D22" t="str">
        <x:v>R</x:v>
      </x:c>
      <x:c r="E22" t="str">
        <x:v>C</x:v>
      </x:c>
      <x:c r="F22" t="str">
        <x:v>I</x:v>
      </x:c>
      <x:c r="G22" t="str">
        <x:v>I</x:v>
      </x:c>
      <x:c r="H22" t="str">
        <x:v>A</x:v>
      </x:c>
      <x:c r="I22" t="str">
        <x:v>I</x:v>
      </x:c>
      <x:c r="J22" t="str">
        <x:v>C</x:v>
      </x:c>
      <x:c r="K22" t="str">
        <x:v>I</x:v>
      </x:c>
      <x:c r="L22" t="str">
        <x:v>Owner do processo</x:v>
      </x:c>
      <x:c r="M22" t="str">
        <x:v>Ticket &lt;=4h, quarentena e postmortem</x:v>
      </x:c>
    </x:row>
    <x:row r="23">
      <x:c r="A23" t="str">
        <x:v>Aprovar exceção de controle</x:v>
      </x:c>
      <x:c r="B23" t="str">
        <x:v>A</x:v>
      </x:c>
      <x:c r="C23" t="str">
        <x:v>C</x:v>
      </x:c>
      <x:c r="D23" t="str">
        <x:v>C</x:v>
      </x:c>
      <x:c r="E23" t="str">
        <x:v>C</x:v>
      </x:c>
      <x:c r="F23" t="str">
        <x:v>C</x:v>
      </x:c>
      <x:c r="G23" t="str">
        <x:v>C</x:v>
      </x:c>
      <x:c r="H23" t="str">
        <x:v>R</x:v>
      </x:c>
      <x:c r="I23" t="str">
        <x:v>C</x:v>
      </x:c>
      <x:c r="J23" t="str">
        <x:v>C</x:v>
      </x:c>
      <x:c r="K23" t="str">
        <x:v>I</x:v>
      </x:c>
      <x:c r="L23" t="str">
        <x:v>CEO HUB</x:v>
      </x:c>
      <x:c r="M23" t="str">
        <x:v>Escopo, prazo e compensação registrados</x:v>
      </x:c>
    </x:row>
    <x:row r="24">
      <x:c r="A24" t="str">
        <x:v>Executar rollback</x:v>
      </x:c>
      <x:c r="B24" t="str">
        <x:v>I</x:v>
      </x:c>
      <x:c r="C24" t="str">
        <x:v>C</x:v>
      </x:c>
      <x:c r="D24" t="str">
        <x:v>R</x:v>
      </x:c>
      <x:c r="E24" t="str">
        <x:v>A</x:v>
      </x:c>
      <x:c r="F24" t="str">
        <x:v>I</x:v>
      </x:c>
      <x:c r="G24" t="str">
        <x:v>I</x:v>
      </x:c>
      <x:c r="H24" t="str">
        <x:v>C</x:v>
      </x:c>
      <x:c r="I24" t="str">
        <x:v>I</x:v>
      </x:c>
      <x:c r="J24" t="str">
        <x:v>C</x:v>
      </x:c>
      <x:c r="K24" t="str">
        <x:v>I</x:v>
      </x:c>
      <x:c r="L24" t="str">
        <x:v>Data Science</x:v>
      </x:c>
      <x:c r="M24" t="str">
        <x:v>Gatilho e teste trimestral; decisão auditada</x:v>
      </x:c>
    </x:row>
    <x:row r="25">
      <x:c r="A25" t="str">
        <x:v>Liberar publicação de KPI</x:v>
      </x:c>
      <x:c r="B25" t="str">
        <x:v>I</x:v>
      </x:c>
      <x:c r="C25" t="str">
        <x:v>A</x:v>
      </x:c>
      <x:c r="D25" t="str">
        <x:v>C</x:v>
      </x:c>
      <x:c r="E25" t="str">
        <x:v>C</x:v>
      </x:c>
      <x:c r="F25" t="str">
        <x:v>C</x:v>
      </x:c>
      <x:c r="G25" t="str">
        <x:v>C</x:v>
      </x:c>
      <x:c r="H25" t="str">
        <x:v>C</x:v>
      </x:c>
      <x:c r="I25" t="str">
        <x:v>C</x:v>
      </x:c>
      <x:c r="J25" t="str">
        <x:v>C</x:v>
      </x:c>
      <x:c r="K25" t="str">
        <x:v>I</x:v>
      </x:c>
      <x:c r="L25" t="str">
        <x:v>Produto</x:v>
      </x:c>
      <x:c r="M25" t="str">
        <x:v>Somente status certified + versão + evidência</x:v>
      </x:c>
    </x:row>
  </x:sheetData>
  <x:pageSetup fitToWidth="1" fitToHeight="0" orientation="landscape"/>
</x:worksheet>
</file>

<file path=docProps/app.xml><?xml version="1.0" encoding="utf-8"?>
<ap:Properties xmlns:ap="http://schemas.openxmlformats.org/officeDocument/2006/extended-properties">
  <ap:Application>OfficeCLI/1.0.144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2026-08-20T08:41:53Z</dcterms:created>
  <cp:lastModifiedBy>OfficeCLI</cp:lastModifiedBy>
  <dcterms:modified xsi:type="dcterms:W3CDTF">2026-08-20T08:41:53Z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1.0.144</vt:lpwstr>
  </op:property>
  <op:property fmtid="{D5CDD505-2E9C-101B-9397-08002B2CF9AE}" pid="3" name="OfficeCLI.LastModified">
    <vt:lpwstr xmlns:vt="http://schemas.openxmlformats.org/officeDocument/2006/docPropsVTypes">2026-08-20T08:44:23Z</vt:lpwstr>
  </op:property>
</op:Properties>
</file>