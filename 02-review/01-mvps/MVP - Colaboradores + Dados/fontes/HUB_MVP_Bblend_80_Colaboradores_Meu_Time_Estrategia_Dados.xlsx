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a4db5dcb2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VP_Bblend" sheetId="1" r:id="R8f25ce6115ab4195"/>
    <x:sheet xmlns:r="http://schemas.openxmlformats.org/officeDocument/2006/relationships" name="02_Volume_80_Colaboradores" sheetId="2" r:id="R665053ccd3314cf6"/>
    <x:sheet xmlns:r="http://schemas.openxmlformats.org/officeDocument/2006/relationships" name="03_Escopo_Enxuto" sheetId="3" r:id="R805bb46b226c4207"/>
    <x:sheet xmlns:r="http://schemas.openxmlformats.org/officeDocument/2006/relationships" name="04_Premissas_Mao_de_Obra" sheetId="4" r:id="R9c1c7508e5254bd1"/>
    <x:sheet xmlns:r="http://schemas.openxmlformats.org/officeDocument/2006/relationships" name="05_Credito_Fundadores" sheetId="5" r:id="Ree2ce9b9d634489e"/>
    <x:sheet xmlns:r="http://schemas.openxmlformats.org/officeDocument/2006/relationships" name="06_Custo_MVP_e_Caixa" sheetId="6" r:id="R4b35c504eeb94b53"/>
    <x:sheet xmlns:r="http://schemas.openxmlformats.org/officeDocument/2006/relationships" name="07_Plano_Case_Bblend" sheetId="7" r:id="Rc58376995b274b1e"/>
    <x:sheet xmlns:r="http://schemas.openxmlformats.org/officeDocument/2006/relationships" name="08_Resumo_Executivo" sheetId="8" r:id="Rad8b47f395a5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"/>
    <x:numFmt numFmtId="202" formatCode="R$ #,##0;[Red](R$ #,##0);-"/>
  </x:numFmts>
  <x:fonts count="8">
    <x:font>
      <x:sz val="11"/>
      <x:name val="Carlito"/>
    </x:font>
    <x:font>
      <x:b/>
      <x:sz val="19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0000FF"/>
      <x:name val="Carlito"/>
    </x:font>
    <x:font>
      <x:b/>
      <x:sz val="11"/>
      <x:color rgb="FF063747"/>
      <x:name val="Carlito"/>
    </x:font>
    <x:font>
      <x:b/>
      <x:sz val="16"/>
      <x:color rgb="FF0637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5" fillId="5" borderId="0" xfId="0" applyNumberFormat="1" applyFont="1" applyFill="1" applyBorder="1"/>
    <x:xf numFmtId="202" fontId="5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202" fontId="6" fillId="6" borderId="0" xfId="0" applyNumberFormat="1" applyFont="1" applyFill="1" applyBorder="1"/>
    <x:xf numFmtId="202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horizontal="center" vertical="center"/>
    </x:xf>
    <x:xf numFmtId="202" fontId="7" fillId="6" borderId="0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72d1f99974c18" /><Relationship Type="http://schemas.openxmlformats.org/officeDocument/2006/relationships/theme" Target="/xl/theme/theme1.xml" Id="R1093257c14fd488a" /><Relationship Type="http://schemas.openxmlformats.org/officeDocument/2006/relationships/sharedStrings" Target="/xl/sharedStrings.xml" Id="R84390f0b27544084" /><Relationship Type="http://schemas.openxmlformats.org/officeDocument/2006/relationships/worksheet" Target="/xl/worksheets/sheet1.xml" Id="R8f25ce6115ab4195" /><Relationship Type="http://schemas.openxmlformats.org/officeDocument/2006/relationships/worksheet" Target="/xl/worksheets/sheet2.xml" Id="R665053ccd3314cf6" /><Relationship Type="http://schemas.openxmlformats.org/officeDocument/2006/relationships/worksheet" Target="/xl/worksheets/sheet3.xml" Id="R805bb46b226c4207" /><Relationship Type="http://schemas.openxmlformats.org/officeDocument/2006/relationships/worksheet" Target="/xl/worksheets/sheet4.xml" Id="R9c1c7508e5254bd1" /><Relationship Type="http://schemas.openxmlformats.org/officeDocument/2006/relationships/worksheet" Target="/xl/worksheets/sheet5.xml" Id="Ree2ce9b9d634489e" /><Relationship Type="http://schemas.openxmlformats.org/officeDocument/2006/relationships/worksheet" Target="/xl/worksheets/sheet6.xml" Id="R4b35c504eeb94b53" /><Relationship Type="http://schemas.openxmlformats.org/officeDocument/2006/relationships/worksheet" Target="/xl/worksheets/sheet7.xml" Id="Rc58376995b274b1e" /><Relationship Type="http://schemas.openxmlformats.org/officeDocument/2006/relationships/worksheet" Target="/xl/worksheets/sheet8.xml" Id="Rad8b47f395a5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42" hidden="0" customWidth="1"/>
    <x:col min="5" max="5" width="36" hidden="0" customWidth="1"/>
    <x:col min="6" max="6" width="18" hidden="0" customWidth="1"/>
    <x:col min="7" max="7" width="16" hidden="0" customWidth="1"/>
    <x:col min="8" max="8" width="38" hidden="0" customWidth="1"/>
  </x:cols>
  <x:sheetData>
    <x:row r="1">
      <x:c r="A1" s="3" t="str">
        <x:v>HUB — MVP BBLEND | COLABORADORES / MEU TIME + ESTRATÉGIA &amp; DADOS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Piloto para ~80 colaboradores. Tese: não apenas medir pessoas, mas conectar dados de pessoas às prioridades e resultados do negócio — identificando talentos, competências, riscos, oportunidades internas e ações com impacto mensurável.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Etapa</x:v>
      </x:c>
      <x:c r="B5" s="13" t="str">
        <x:v>Entrada</x:v>
      </x:c>
      <x:c r="C5" s="13" t="str">
        <x:v>Tecnologia no MVP</x:v>
      </x:c>
      <x:c r="D5" s="13" t="str">
        <x:v>Conexão com negócio</x:v>
      </x:c>
      <x:c r="E5" s="13" t="str">
        <x:v>Operação HUB/Bblend</x:v>
      </x:c>
      <x:c r="F5" s="13" t="str">
        <x:v>Automação?</x:v>
      </x:c>
      <x:c r="G5" s="13" t="str">
        <x:v>Necessário?</x:v>
      </x:c>
      <x:c r="H5" s="13" t="str">
        <x:v>Evolução</x:v>
      </x:c>
    </x:row>
    <x:row r="6">
      <x:c r="A6" s="16" t="str">
        <x:v>1. Importar base de pessoas</x:v>
      </x:c>
      <x:c r="B6" s="16" t="str">
        <x:v>Dados existentes de RH</x:v>
      </x:c>
      <x:c r="C6" s="16" t="str">
        <x:v>Upload + estruturação</x:v>
      </x:c>
      <x:c r="D6" s="16" t="str">
        <x:v>Organização, área, cargo, senioridade</x:v>
      </x:c>
      <x:c r="E6" s="16" t="str">
        <x:v>Qualidade e mapeamento</x:v>
      </x:c>
      <x:c r="F6" s="16" t="str">
        <x:v>Parcial</x:v>
      </x:c>
      <x:c r="G6" s="16" t="str">
        <x:v>Sim</x:v>
      </x:c>
      <x:c r="H6" s="16" t="str">
        <x:v>Integração HRIS</x:v>
      </x:c>
    </x:row>
    <x:row r="7">
      <x:c r="A7" s="16" t="str">
        <x:v>2. Importar dados de negócio</x:v>
      </x:c>
      <x:c r="B7" s="16" t="str">
        <x:v>KPIs por área/time</x:v>
      </x:c>
      <x:c r="C7" s="16" t="str">
        <x:v>Upload + estruturação</x:v>
      </x:c>
      <x:c r="D7" s="16" t="str">
        <x:v>Receita, produtividade, qualidade, cliente, projetos etc.</x:v>
      </x:c>
      <x:c r="E7" s="16" t="str">
        <x:v>Mapear indicadores disponíveis</x:v>
      </x:c>
      <x:c r="F7" s="16" t="str">
        <x:v>Parcial</x:v>
      </x:c>
      <x:c r="G7" s="16" t="str">
        <x:v>Sim</x:v>
      </x:c>
      <x:c r="H7" s="16" t="str">
        <x:v>Integração BI/ERP</x:v>
      </x:c>
    </x:row>
    <x:row r="8">
      <x:c r="A8" s="16" t="str">
        <x:v>3. Construir visão integrada</x:v>
      </x:c>
      <x:c r="B8" s="16" t="str">
        <x:v>Pessoas + negócio</x:v>
      </x:c>
      <x:c r="C8" s="16" t="str">
        <x:v>Dashboard e filtros</x:v>
      </x:c>
      <x:c r="D8" s="16" t="str">
        <x:v>Compara características dos times com resultados</x:v>
      </x:c>
      <x:c r="E8" s="16" t="str">
        <x:v>Leitura estratégica</x:v>
      </x:c>
      <x:c r="F8" s="16" t="str">
        <x:v>Sim</x:v>
      </x:c>
      <x:c r="G8" s="16" t="str">
        <x:v>Sim</x:v>
      </x:c>
      <x:c r="H8" s="16" t="str">
        <x:v>Modelos analíticos</x:v>
      </x:c>
    </x:row>
    <x:row r="9">
      <x:c r="A9" s="16" t="str">
        <x:v>4. Mapear competências/talentos</x:v>
      </x:c>
      <x:c r="B9" s="16" t="str">
        <x:v>Perfil, experiência, skills</x:v>
      </x:c>
      <x:c r="C9" s="16" t="str">
        <x:v>Tags e mapa de competências</x:v>
      </x:c>
      <x:c r="D9" s="16" t="str">
        <x:v>Capacidade necessária para prioridades</x:v>
      </x:c>
      <x:c r="E9" s="16" t="str">
        <x:v>Curadoria</x:v>
      </x:c>
      <x:c r="F9" s="16" t="str">
        <x:v>Parcial</x:v>
      </x:c>
      <x:c r="G9" s="16" t="str">
        <x:v>Sim</x:v>
      </x:c>
      <x:c r="H9" s="16" t="str">
        <x:v>Skill graph</x:v>
      </x:c>
    </x:row>
    <x:row r="10">
      <x:c r="A10" s="16" t="str">
        <x:v>5. Detectar sinais</x:v>
      </x:c>
      <x:c r="B10" s="16" t="str">
        <x:v>Dados integrados</x:v>
      </x:c>
      <x:c r="C10" s="16" t="str">
        <x:v>Regras/alertas</x:v>
      </x:c>
      <x:c r="D10" s="16" t="str">
        <x:v>Gaps, concentração, mobilidade, risco, performance</x:v>
      </x:c>
      <x:c r="E10" s="16" t="str">
        <x:v>Validação humana</x:v>
      </x:c>
      <x:c r="F10" s="16" t="str">
        <x:v>Sim</x:v>
      </x:c>
      <x:c r="G10" s="16" t="str">
        <x:v>Sim</x:v>
      </x:c>
      <x:c r="H10" s="16" t="str">
        <x:v>Modelos preditivos</x:v>
      </x:c>
    </x:row>
    <x:row r="11">
      <x:c r="A11" s="16" t="str">
        <x:v>6. Conectar pessoas a oportunidades</x:v>
      </x:c>
      <x:c r="B11" s="16" t="str">
        <x:v>Projetos, vagas internas, desafios</x:v>
      </x:c>
      <x:c r="C11" s="16" t="str">
        <x:v>Matching interno</x:v>
      </x:c>
      <x:c r="D11" s="16" t="str">
        <x:v>Pessoa certa × necessidade do negócio</x:v>
      </x:c>
      <x:c r="E11" s="16" t="str">
        <x:v>Curadoria e conexão</x:v>
      </x:c>
      <x:c r="F11" s="16" t="str">
        <x:v>Sim</x:v>
      </x:c>
      <x:c r="G11" s="16" t="str">
        <x:v>Sim</x:v>
      </x:c>
      <x:c r="H11" s="16" t="str">
        <x:v>Marketplace interno</x:v>
      </x:c>
    </x:row>
    <x:row r="12">
      <x:c r="A12" s="16" t="str">
        <x:v>7. Criar plano de ação</x:v>
      </x:c>
      <x:c r="B12" s="16" t="str">
        <x:v>Achados + prioridades</x:v>
      </x:c>
      <x:c r="C12" s="16" t="str">
        <x:v>Registro e acompanhamento</x:v>
      </x:c>
      <x:c r="D12" s="16" t="str">
        <x:v>Ação ligada a KPI</x:v>
      </x:c>
      <x:c r="E12" s="16" t="str">
        <x:v>HUB recomenda ações</x:v>
      </x:c>
      <x:c r="F12" s="16" t="str">
        <x:v>Parcial</x:v>
      </x:c>
      <x:c r="G12" s="16" t="str">
        <x:v>Sim</x:v>
      </x:c>
      <x:c r="H12" s="16" t="str">
        <x:v>Recomendação assistida por IA</x:v>
      </x:c>
    </x:row>
    <x:row r="13">
      <x:c r="A13" s="16" t="str">
        <x:v>8. Medir antes/depois</x:v>
      </x:c>
      <x:c r="B13" s="16" t="str">
        <x:v>Indicadores do ciclo</x:v>
      </x:c>
      <x:c r="C13" s="16" t="str">
        <x:v>Dashboard de evolução</x:v>
      </x:c>
      <x:c r="D13" s="16" t="str">
        <x:v>Mostra impacto da ação no negócio</x:v>
      </x:c>
      <x:c r="E13" s="16" t="str">
        <x:v>Interpretação</x:v>
      </x:c>
      <x:c r="F13" s="16" t="str">
        <x:v>Sim</x:v>
      </x:c>
      <x:c r="G13" s="16" t="str">
        <x:v>Sim</x:v>
      </x:c>
      <x:c r="H13" s="16" t="str">
        <x:v>Benchmark longitudinal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8" hidden="0" customWidth="1"/>
    <x:col min="6" max="6" width="32" hidden="0" customWidth="1"/>
    <x:col min="7" max="7" width="34" hidden="0" customWidth="1"/>
    <x:col min="8" max="8" width="22" hidden="0" customWidth="1"/>
  </x:cols>
  <x:sheetData>
    <x:row r="1">
      <x:c r="A1" s="18" t="str">
        <x:v>DIMENSIONAMENTO — ~80 COLABORADORES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5">
      <x:c r="A5" s="13" t="str">
        <x:v>Premissa</x:v>
      </x:c>
      <x:c r="B5" s="13" t="str">
        <x:v>Quantidade</x:v>
      </x:c>
      <x:c r="C5" s="13" t="str">
        <x:v>Unidade</x:v>
      </x:c>
      <x:c r="D5" s="13" t="str">
        <x:v>Editável?</x:v>
      </x:c>
      <x:c r="F5" s="13" t="str">
        <x:v>Indicador de capacidade</x:v>
      </x:c>
      <x:c r="G5" s="13" t="str">
        <x:v>Lógica</x:v>
      </x:c>
      <x:c r="H5" s="13" t="str">
        <x:v>Estimativa</x:v>
      </x:c>
    </x:row>
    <x:row r="6">
      <x:c r="A6" t="str">
        <x:v>Colaboradores</x:v>
      </x:c>
      <x:c r="B6" s="22" t="n">
        <x:v>80</x:v>
      </x:c>
      <x:c r="C6" t="str">
        <x:v>pessoas</x:v>
      </x:c>
      <x:c r="D6" t="str">
        <x:v>Sim</x:v>
      </x:c>
      <x:c r="F6" t="str">
        <x:v>KPIs de negócio mapeados</x:v>
      </x:c>
      <x:c r="G6" t="str">
        <x:v>áreas × KPIs</x:v>
      </x:c>
      <x:c r="H6" s="26" t="n">
        <x:f>B8*B9</x:f>
        <x:v>24</x:v>
      </x:c>
    </x:row>
    <x:row r="7">
      <x:c r="A7" t="str">
        <x:v>Lideranças / gestores</x:v>
      </x:c>
      <x:c r="B7" s="22" t="n">
        <x:v>8</x:v>
      </x:c>
      <x:c r="C7" t="str">
        <x:v>usuários</x:v>
      </x:c>
      <x:c r="D7" t="str">
        <x:v>Sim</x:v>
      </x:c>
      <x:c r="F7" t="str">
        <x:v>Matches internos</x:v>
      </x:c>
      <x:c r="G7" t="str">
        <x:v>oportunidades × matches</x:v>
      </x:c>
      <x:c r="H7" s="26" t="n">
        <x:f>B10*B11</x:f>
        <x:v>60</x:v>
      </x:c>
    </x:row>
    <x:row r="8">
      <x:c r="A8" t="str">
        <x:v>Áreas / times</x:v>
      </x:c>
      <x:c r="B8" s="22" t="n">
        <x:v>6</x:v>
      </x:c>
      <x:c r="C8" t="str">
        <x:v>áreas</x:v>
      </x:c>
      <x:c r="D8" t="str">
        <x:v>Sim</x:v>
      </x:c>
      <x:c r="F8" t="str">
        <x:v>Conexões/aceites</x:v>
      </x:c>
      <x:c r="G8" t="str">
        <x:v>matches × taxa</x:v>
      </x:c>
      <x:c r="H8" s="26" t="n">
        <x:f>H7*B12</x:f>
        <x:v>27</x:v>
      </x:c>
    </x:row>
    <x:row r="9">
      <x:c r="A9" t="str">
        <x:v>KPIs de negócio por área (média)</x:v>
      </x:c>
      <x:c r="B9" s="22" t="n">
        <x:v>4</x:v>
      </x:c>
      <x:c r="C9" t="str">
        <x:v>KPIs</x:v>
      </x:c>
      <x:c r="D9" t="str">
        <x:v>Sim</x:v>
      </x:c>
      <x:c r="F9" t="str">
        <x:v>Oportunidades ocupadas/concluídas</x:v>
      </x:c>
      <x:c r="G9" t="str">
        <x:v>conexões × taxa</x:v>
      </x:c>
      <x:c r="H9" s="26" t="n">
        <x:f>H8*B13</x:f>
        <x:v>16.2</x:v>
      </x:c>
    </x:row>
    <x:row r="10">
      <x:c r="A10" t="str">
        <x:v>Oportunidades/projetos internos no ciclo</x:v>
      </x:c>
      <x:c r="B10" s="22" t="n">
        <x:v>12</x:v>
      </x:c>
      <x:c r="C10" t="str">
        <x:v>oportunidades</x:v>
      </x:c>
      <x:c r="D10" t="str">
        <x:v>Sim</x:v>
      </x:c>
    </x:row>
    <x:row r="11">
      <x:c r="A11" t="str">
        <x:v>Matches sugeridos por oportunidade</x:v>
      </x:c>
      <x:c r="B11" s="22" t="n">
        <x:v>5</x:v>
      </x:c>
      <x:c r="C11" t="str">
        <x:v>pessoas</x:v>
      </x:c>
      <x:c r="D11" t="str">
        <x:v>Sim</x:v>
      </x:c>
    </x:row>
    <x:row r="12">
      <x:c r="A12" t="str">
        <x:v>Taxa de conexão/aceite</x:v>
      </x:c>
      <x:c r="B12" s="24" t="n">
        <x:v>0.45</x:v>
      </x:c>
      <x:c r="C12" t="str">
        <x:v>% matches</x:v>
      </x:c>
      <x:c r="D12" t="str">
        <x:v>Sim</x:v>
      </x:c>
      <x:c r="F12" s="8" t="str">
        <x:v>As taxas são premissas de capacidade, não metas prometidas. O piloto deve descobrir quais conexões entre pessoas e negócio realmente explicam resultado e quais tipos de oportunidade geram valor.</x:v>
      </x:c>
      <x:c r="G12" s="8"/>
      <x:c r="H12" s="8"/>
    </x:row>
    <x:row r="13">
      <x:c r="A13" t="str">
        <x:v>Taxa de conclusão/ocupação</x:v>
      </x:c>
      <x:c r="B13" s="24" t="n">
        <x:v>0.6</x:v>
      </x:c>
      <x:c r="C13" t="str">
        <x:v>% conexões</x:v>
      </x:c>
      <x:c r="D13" t="str">
        <x:v>Sim</x:v>
      </x:c>
      <x:c r="F13" s="8"/>
      <x:c r="G13" s="8"/>
      <x:c r="H13" s="8"/>
    </x:row>
  </x:sheetData>
  <x:mergeCells>
    <x:mergeCell ref="A1:H2"/>
    <x:mergeCell ref="F12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0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52" hidden="0" customWidth="1"/>
  </x:cols>
  <x:sheetData>
    <x:row r="1">
      <x:c r="A1" s="18" t="str">
        <x:v>ESCOPO ENXUTO — MEU TIME + ESTRATÉGIA &amp; DADOS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5">
      <x:c r="A5" s="13" t="str">
        <x:v>ID</x:v>
      </x:c>
      <x:c r="B5" s="13" t="str">
        <x:v>Tela/capacidade</x:v>
      </x:c>
      <x:c r="C5" s="13" t="str">
        <x:v>Público</x:v>
      </x:c>
      <x:c r="D5" s="13" t="str">
        <x:v>MVP</x:v>
      </x:c>
      <x:c r="E5" s="13" t="str">
        <x:v>Complex.</x:v>
      </x:c>
      <x:c r="F5" s="13" t="str">
        <x:v>Dados</x:v>
      </x:c>
      <x:c r="G5" s="13" t="str">
        <x:v>Front</x:v>
      </x:c>
      <x:c r="H5" s="13" t="str">
        <x:v>Back</x:v>
      </x:c>
      <x:c r="I5" s="13" t="str">
        <x:v>IA/Match</x:v>
      </x:c>
      <x:c r="J5" s="13" t="str">
        <x:v>Observação</x:v>
      </x:c>
    </x:row>
    <x:row r="6">
      <x:c r="A6" s="16" t="n">
        <x:v>1</x:v>
      </x:c>
      <x:c r="B6" s="16" t="str">
        <x:v>Login simples</x:v>
      </x:c>
      <x:c r="C6" s="16" t="str">
        <x:v>Gestão/HUB</x:v>
      </x:c>
      <x:c r="D6" s="16" t="str">
        <x:v>Sim</x:v>
      </x:c>
      <x:c r="E6" s="16" t="str">
        <x:v>Baixa</x:v>
      </x:c>
      <x:c r="F6" s="16" t="str">
        <x:v>Baixo</x:v>
      </x:c>
      <x:c r="G6" s="16" t="str">
        <x:v>Baixo</x:v>
      </x:c>
      <x:c r="H6" s="16" t="str">
        <x:v>Baixo</x:v>
      </x:c>
      <x:c r="I6" s="16" t="str">
        <x:v>Não</x:v>
      </x:c>
      <x:c r="J6" s="16" t="str">
        <x:v>Sem SSO enterprise</x:v>
      </x:c>
    </x:row>
    <x:row r="7">
      <x:c r="A7" s="16" t="n">
        <x:v>2</x:v>
      </x:c>
      <x:c r="B7" s="16" t="str">
        <x:v>Upload administrativo pessoas</x:v>
      </x:c>
      <x:c r="C7" s="16" t="str">
        <x:v>HUB</x:v>
      </x:c>
      <x:c r="D7" s="16" t="str">
        <x:v>Sim</x:v>
      </x:c>
      <x:c r="E7" s="16" t="str">
        <x:v>Média</x:v>
      </x:c>
      <x:c r="F7" s="16" t="str">
        <x:v>Alto</x:v>
      </x:c>
      <x:c r="G7" s="16" t="str">
        <x:v>Baixo</x:v>
      </x:c>
      <x:c r="H7" s="16" t="str">
        <x:v>Médio</x:v>
      </x:c>
      <x:c r="I7" s="16" t="str">
        <x:v>Não</x:v>
      </x:c>
      <x:c r="J7" s="16" t="str">
        <x:v>Base Bblend</x:v>
      </x:c>
    </x:row>
    <x:row r="8">
      <x:c r="A8" s="16" t="n">
        <x:v>3</x:v>
      </x:c>
      <x:c r="B8" s="16" t="str">
        <x:v>Upload administrativo negócio</x:v>
      </x:c>
      <x:c r="C8" s="16" t="str">
        <x:v>HUB</x:v>
      </x:c>
      <x:c r="D8" s="16" t="str">
        <x:v>Sim</x:v>
      </x:c>
      <x:c r="E8" s="16" t="str">
        <x:v>Média</x:v>
      </x:c>
      <x:c r="F8" s="16" t="str">
        <x:v>Alto</x:v>
      </x:c>
      <x:c r="G8" s="16" t="str">
        <x:v>Baixo</x:v>
      </x:c>
      <x:c r="H8" s="16" t="str">
        <x:v>Médio</x:v>
      </x:c>
      <x:c r="I8" s="16" t="str">
        <x:v>Não</x:v>
      </x:c>
      <x:c r="J8" s="16" t="str">
        <x:v>KPIs existentes</x:v>
      </x:c>
    </x:row>
    <x:row r="9">
      <x:c r="A9" s="16" t="n">
        <x:v>4</x:v>
      </x:c>
      <x:c r="B9" s="16" t="str">
        <x:v>Mapeamento/qualidade dos campos</x:v>
      </x:c>
      <x:c r="C9" s="16" t="str">
        <x:v>HUB</x:v>
      </x:c>
      <x:c r="D9" s="16" t="str">
        <x:v>Sim</x:v>
      </x:c>
      <x:c r="E9" s="16" t="str">
        <x:v>Média</x:v>
      </x:c>
      <x:c r="F9" s="16" t="str">
        <x:v>Alto</x:v>
      </x:c>
      <x:c r="G9" s="16" t="str">
        <x:v>Baixo</x:v>
      </x:c>
      <x:c r="H9" s="16" t="str">
        <x:v>Médio</x:v>
      </x:c>
      <x:c r="I9" s="16" t="str">
        <x:v>Leve</x:v>
      </x:c>
      <x:c r="J9" s="16" t="str">
        <x:v>Padronização assistida</x:v>
      </x:c>
    </x:row>
    <x:row r="10">
      <x:c r="A10" s="16" t="n">
        <x:v>5</x:v>
      </x:c>
      <x:c r="B10" s="16" t="str">
        <x:v>Visão executiva integrada</x:v>
      </x:c>
      <x:c r="C10" s="16" t="str">
        <x:v>Liderança</x:v>
      </x:c>
      <x:c r="D10" s="16" t="str">
        <x:v>Sim</x:v>
      </x:c>
      <x:c r="E10" s="16" t="str">
        <x:v>Alta</x:v>
      </x:c>
      <x:c r="F10" s="16" t="str">
        <x:v>Muito alto</x:v>
      </x:c>
      <x:c r="G10" s="16" t="str">
        <x:v>Alto</x:v>
      </x:c>
      <x:c r="H10" s="16" t="str">
        <x:v>Médio</x:v>
      </x:c>
      <x:c r="I10" s="16" t="str">
        <x:v>Não</x:v>
      </x:c>
      <x:c r="J10" s="16" t="str">
        <x:v>Pessoas × negócio</x:v>
      </x:c>
    </x:row>
    <x:row r="11">
      <x:c r="A11" s="16" t="n">
        <x:v>6</x:v>
      </x:c>
      <x:c r="B11" s="16" t="str">
        <x:v>Visão Meu Time</x:v>
      </x:c>
      <x:c r="C11" s="16" t="str">
        <x:v>Gestor</x:v>
      </x:c>
      <x:c r="D11" s="16" t="str">
        <x:v>Sim</x:v>
      </x:c>
      <x:c r="E11" s="16" t="str">
        <x:v>Alta</x:v>
      </x:c>
      <x:c r="F11" s="16" t="str">
        <x:v>Alto</x:v>
      </x:c>
      <x:c r="G11" s="16" t="str">
        <x:v>Alto</x:v>
      </x:c>
      <x:c r="H11" s="16" t="str">
        <x:v>Médio</x:v>
      </x:c>
      <x:c r="I11" s="16" t="str">
        <x:v>Não</x:v>
      </x:c>
      <x:c r="J11" s="16" t="str">
        <x:v>Time, skills, sinais e resultados</x:v>
      </x:c>
    </x:row>
    <x:row r="12">
      <x:c r="A12" s="16" t="n">
        <x:v>7</x:v>
      </x:c>
      <x:c r="B12" s="16" t="str">
        <x:v>Perfil/competências</x:v>
      </x:c>
      <x:c r="C12" s="16" t="str">
        <x:v>Colaborador/Gestor</x:v>
      </x:c>
      <x:c r="D12" s="16" t="str">
        <x:v>Sim</x:v>
      </x:c>
      <x:c r="E12" s="16" t="str">
        <x:v>Média</x:v>
      </x:c>
      <x:c r="F12" s="16" t="str">
        <x:v>Alto</x:v>
      </x:c>
      <x:c r="G12" s="16" t="str">
        <x:v>Médio</x:v>
      </x:c>
      <x:c r="H12" s="16" t="str">
        <x:v>Médio</x:v>
      </x:c>
      <x:c r="I12" s="16" t="str">
        <x:v>Não</x:v>
      </x:c>
      <x:c r="J12" s="16" t="str">
        <x:v>Skills e trajetória</x:v>
      </x:c>
    </x:row>
    <x:row r="13">
      <x:c r="A13" s="16" t="n">
        <x:v>8</x:v>
      </x:c>
      <x:c r="B13" s="16" t="str">
        <x:v>Mapa de competências e gaps</x:v>
      </x:c>
      <x:c r="C13" s="16" t="str">
        <x:v>Gestão/HUB</x:v>
      </x:c>
      <x:c r="D13" s="16" t="str">
        <x:v>Sim</x:v>
      </x:c>
      <x:c r="E13" s="16" t="str">
        <x:v>Alta</x:v>
      </x:c>
      <x:c r="F13" s="16" t="str">
        <x:v>Alto</x:v>
      </x:c>
      <x:c r="G13" s="16" t="str">
        <x:v>Alto</x:v>
      </x:c>
      <x:c r="H13" s="16" t="str">
        <x:v>Médio</x:v>
      </x:c>
      <x:c r="I13" s="16" t="str">
        <x:v>Leve</x:v>
      </x:c>
      <x:c r="J13" s="16" t="str">
        <x:v>Gap × prioridade do negócio</x:v>
      </x:c>
    </x:row>
    <x:row r="14">
      <x:c r="A14" s="16" t="n">
        <x:v>9</x:v>
      </x:c>
      <x:c r="B14" s="16" t="str">
        <x:v>Oportunidades/projetos internos</x:v>
      </x:c>
      <x:c r="C14" s="16" t="str">
        <x:v>Gestão/HUB</x:v>
      </x:c>
      <x:c r="D14" s="16" t="str">
        <x:v>Sim</x:v>
      </x:c>
      <x:c r="E14" s="16" t="str">
        <x:v>Média</x:v>
      </x:c>
      <x:c r="F14" s="16" t="str">
        <x:v>Médio</x:v>
      </x:c>
      <x:c r="G14" s="16" t="str">
        <x:v>Médio</x:v>
      </x:c>
      <x:c r="H14" s="16" t="str">
        <x:v>Médio</x:v>
      </x:c>
      <x:c r="I14" s="16" t="str">
        <x:v>Não</x:v>
      </x:c>
      <x:c r="J14" s="16" t="str">
        <x:v>Projetos, desafios, mobilidade</x:v>
      </x:c>
    </x:row>
    <x:row r="15">
      <x:c r="A15" s="16" t="n">
        <x:v>10</x:v>
      </x:c>
      <x:c r="B15" s="16" t="str">
        <x:v>Match pessoa × oportunidade</x:v>
      </x:c>
      <x:c r="C15" s="16" t="str">
        <x:v>Gestão/HUB</x:v>
      </x:c>
      <x:c r="D15" s="16" t="str">
        <x:v>Sim</x:v>
      </x:c>
      <x:c r="E15" s="16" t="str">
        <x:v>Alta</x:v>
      </x:c>
      <x:c r="F15" s="16" t="str">
        <x:v>Alto</x:v>
      </x:c>
      <x:c r="G15" s="16" t="str">
        <x:v>Alto</x:v>
      </x:c>
      <x:c r="H15" s="16" t="str">
        <x:v>Alto</x:v>
      </x:c>
      <x:c r="I15" s="16" t="str">
        <x:v>Sim</x:v>
      </x:c>
      <x:c r="J15" s="16" t="str">
        <x:v>Regras + curadoria</x:v>
      </x:c>
    </x:row>
    <x:row r="16">
      <x:c r="A16" s="16" t="n">
        <x:v>11</x:v>
      </x:c>
      <x:c r="B16" s="16" t="str">
        <x:v>Sinais/prioridades</x:v>
      </x:c>
      <x:c r="C16" s="16" t="str">
        <x:v>Liderança/HUB</x:v>
      </x:c>
      <x:c r="D16" s="16" t="str">
        <x:v>Sim</x:v>
      </x:c>
      <x:c r="E16" s="16" t="str">
        <x:v>Alta</x:v>
      </x:c>
      <x:c r="F16" s="16" t="str">
        <x:v>Muito alto</x:v>
      </x:c>
      <x:c r="G16" s="16" t="str">
        <x:v>Alto</x:v>
      </x:c>
      <x:c r="H16" s="16" t="str">
        <x:v>Médio</x:v>
      </x:c>
      <x:c r="I16" s="16" t="str">
        <x:v>Leve</x:v>
      </x:c>
      <x:c r="J16" s="16" t="str">
        <x:v>Onde agir primeiro</x:v>
      </x:c>
    </x:row>
    <x:row r="17">
      <x:c r="A17" s="16" t="n">
        <x:v>12</x:v>
      </x:c>
      <x:c r="B17" s="16" t="str">
        <x:v>Plano de ação</x:v>
      </x:c>
      <x:c r="C17" s="16" t="str">
        <x:v>HUB/Gestão</x:v>
      </x:c>
      <x:c r="D17" s="16" t="str">
        <x:v>Sim</x:v>
      </x:c>
      <x:c r="E17" s="16" t="str">
        <x:v>Média</x:v>
      </x:c>
      <x:c r="F17" s="16" t="str">
        <x:v>Médio</x:v>
      </x:c>
      <x:c r="G17" s="16" t="str">
        <x:v>Médio</x:v>
      </x:c>
      <x:c r="H17" s="16" t="str">
        <x:v>Médio</x:v>
      </x:c>
      <x:c r="I17" s="16" t="str">
        <x:v>Não</x:v>
      </x:c>
      <x:c r="J17" s="16" t="str">
        <x:v>Ação ligada a indicador</x:v>
      </x:c>
    </x:row>
    <x:row r="18">
      <x:c r="A18" s="16" t="n">
        <x:v>13</x:v>
      </x:c>
      <x:c r="B18" s="16" t="str">
        <x:v>Acompanhamento antes/depois</x:v>
      </x:c>
      <x:c r="C18" s="16" t="str">
        <x:v>Liderança/HUB</x:v>
      </x:c>
      <x:c r="D18" s="16" t="str">
        <x:v>Sim</x:v>
      </x:c>
      <x:c r="E18" s="16" t="str">
        <x:v>Alta</x:v>
      </x:c>
      <x:c r="F18" s="16" t="str">
        <x:v>Muito alto</x:v>
      </x:c>
      <x:c r="G18" s="16" t="str">
        <x:v>Alto</x:v>
      </x:c>
      <x:c r="H18" s="16" t="str">
        <x:v>Médio</x:v>
      </x:c>
      <x:c r="I18" s="16" t="str">
        <x:v>Não</x:v>
      </x:c>
      <x:c r="J18" s="16" t="str">
        <x:v>Prova impacto</x:v>
      </x:c>
    </x:row>
    <x:row r="19">
      <x:c r="A19" s="16" t="n">
        <x:v>14</x:v>
      </x:c>
      <x:c r="B19" s="16" t="str">
        <x:v>Recomendação automática avançada</x:v>
      </x:c>
      <x:c r="C19" s="16" t="str">
        <x:v>Gestão</x:v>
      </x:c>
      <x:c r="D19" s="16" t="str">
        <x:v>Fase 2</x:v>
      </x:c>
      <x:c r="E19" s="16" t="str">
        <x:v>Alta</x:v>
      </x:c>
      <x:c r="F19" s="16" t="str">
        <x:v>Muito alto</x:v>
      </x:c>
      <x:c r="G19" s="16" t="str">
        <x:v>Alto</x:v>
      </x:c>
      <x:c r="H19" s="16" t="str">
        <x:v>Alto</x:v>
      </x:c>
      <x:c r="I19" s="16" t="str">
        <x:v>Sim</x:v>
      </x:c>
      <x:c r="J19" s="16" t="str">
        <x:v>Só após aprender com piloto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22" hidden="0" customWidth="1"/>
    <x:col min="5" max="5" width="18" hidden="0" customWidth="1"/>
    <x:col min="6" max="6" width="62" hidden="0" customWidth="1"/>
  </x:cols>
  <x:sheetData>
    <x:row r="1">
      <x:c r="A1" s="18" t="str">
        <x:v>PREMISSAS DE MÃO DE OBRA — MVP BBLEND</x:v>
      </x:c>
      <x:c r="B1" s="18"/>
      <x:c r="C1" s="18"/>
      <x:c r="D1" s="18"/>
      <x:c r="E1" s="18"/>
      <x:c r="F1" s="18"/>
    </x:row>
    <x:row r="2">
      <x:c r="A2" s="18"/>
      <x:c r="B2" s="18"/>
      <x:c r="C2" s="18"/>
      <x:c r="D2" s="18"/>
      <x:c r="E2" s="18"/>
      <x:c r="F2" s="18"/>
    </x:row>
    <x:row r="3">
      <x:c r="A3" s="8" t="str">
        <x:v>O volume de 80 pessoas é pequeno tecnologicamente. O maior investimento está em modelar corretamente a relação pessoas × negócio, construir indicadores úteis e aprender quais conexões devem virar produto replicável.</x:v>
      </x:c>
      <x:c r="B3" s="8"/>
      <x:c r="C3" s="8"/>
      <x:c r="D3" s="8"/>
      <x:c r="E3" s="8"/>
      <x:c r="F3" s="8"/>
    </x:row>
    <x:row r="5">
      <x:c r="A5" s="13" t="str">
        <x:v>Papel</x:v>
      </x:c>
      <x:c r="B5" s="13" t="str">
        <x:v>Rate R$/h</x:v>
      </x:c>
      <x:c r="C5" s="13" t="str">
        <x:v>Horas</x:v>
      </x:c>
      <x:c r="D5" s="13" t="str">
        <x:v>Custo econômico R$</x:v>
      </x:c>
      <x:c r="E5" s="13" t="str">
        <x:v>Pago agora?</x:v>
      </x:c>
      <x:c r="F5" s="13" t="str">
        <x:v>Escopo</x:v>
      </x:c>
    </x:row>
    <x:row r="6">
      <x:c r="A6" t="str">
        <x:v>Sócio de tecnologia</x:v>
      </x:c>
      <x:c r="B6" s="28" t="n">
        <x:v>180</x:v>
      </x:c>
      <x:c r="C6" s="22" t="n">
        <x:v>430</x:v>
      </x:c>
      <x:c r="D6" s="30" t="n">
        <x:f>B6*C6</x:f>
        <x:v>77400</x:v>
      </x:c>
      <x:c r="E6" t="str">
        <x:v>Não</x:v>
      </x:c>
      <x:c r="F6" t="str">
        <x:v>Dados, dashboards, perfis, oportunidades, matching e acompanhamento</x:v>
      </x:c>
    </x:row>
    <x:row r="7">
      <x:c r="A7" t="str">
        <x:v>Tamara — estratégia e produto</x:v>
      </x:c>
      <x:c r="B7" s="28" t="n">
        <x:v>220</x:v>
      </x:c>
      <x:c r="C7" s="22" t="n">
        <x:v>230</x:v>
      </x:c>
      <x:c r="D7" s="30" t="n">
        <x:f>B7*C7</x:f>
        <x:v>50600</x:v>
      </x:c>
      <x:c r="E7" t="str">
        <x:v>Não</x:v>
      </x:c>
      <x:c r="F7" t="str">
        <x:v>Tese pessoas × negócio, indicadores, produto, estratégia e planos</x:v>
      </x:c>
    </x:row>
    <x:row r="8">
      <x:c r="A8" t="str">
        <x:v>Paulo Fábio — operação e estratégia</x:v>
      </x:c>
      <x:c r="B8" s="28" t="n">
        <x:v>160</x:v>
      </x:c>
      <x:c r="C8" s="22" t="n">
        <x:v>160</x:v>
      </x:c>
      <x:c r="D8" s="30" t="n">
        <x:f>B8*C8</x:f>
        <x:v>25600</x:v>
      </x:c>
      <x:c r="E8" t="str">
        <x:v>Não</x:v>
      </x:c>
      <x:c r="F8" t="str">
        <x:v>Operação, leitura dos sinais, conexões e planos de ação</x:v>
      </x:c>
    </x:row>
    <x:row r="9">
      <x:c r="A9" t="str">
        <x:v>Pedro — operação e comunicação</x:v>
      </x:c>
      <x:c r="B9" s="28" t="n">
        <x:v>150</x:v>
      </x:c>
      <x:c r="C9" s="22" t="n">
        <x:v>120</x:v>
      </x:c>
      <x:c r="D9" s="30" t="n">
        <x:f>B9*C9</x:f>
        <x:v>18000</x:v>
      </x:c>
      <x:c r="E9" t="str">
        <x:v>Não</x:v>
      </x:c>
      <x:c r="F9" t="str">
        <x:v>Engajamento, comunicação e apoio operacional</x:v>
      </x:c>
    </x:row>
    <x:row r="10">
      <x:c r="A10" t="str">
        <x:v>UX/UI enxuto</x:v>
      </x:c>
      <x:c r="B10" s="28" t="n">
        <x:v>140</x:v>
      </x:c>
      <x:c r="C10" s="22" t="n">
        <x:v>65</x:v>
      </x:c>
      <x:c r="D10" s="30" t="n">
        <x:f>B10*C10</x:f>
        <x:v>9100</x:v>
      </x:c>
      <x:c r="E10" t="str">
        <x:v>Sim/Não</x:v>
      </x:c>
      <x:c r="F10" t="str">
        <x:v>Executivo, Meu Time e jornadas</x:v>
      </x:c>
    </x:row>
    <x:row r="11">
      <x:c r="A11" t="str">
        <x:v>QA / testes</x:v>
      </x:c>
      <x:c r="B11" s="28" t="n">
        <x:v>120</x:v>
      </x:c>
      <x:c r="C11" s="22" t="n">
        <x:v>60</x:v>
      </x:c>
      <x:c r="D11" s="30" t="n">
        <x:f>B11*C11</x:f>
        <x:v>7200</x:v>
      </x:c>
      <x:c r="E11" t="str">
        <x:v>Sim/Não</x:v>
      </x:c>
      <x:c r="F11" t="str">
        <x:v>Dados, permissões e fluxos</x:v>
      </x:c>
    </x:row>
    <x:row r="12">
      <x:c r="A12" t="str">
        <x:v>Dados / BI adicional</x:v>
      </x:c>
      <x:c r="B12" s="28" t="n">
        <x:v>180</x:v>
      </x:c>
      <x:c r="C12" s="22" t="n">
        <x:v>90</x:v>
      </x:c>
      <x:c r="D12" s="30" t="n">
        <x:f>B12*C12</x:f>
        <x:v>16200</x:v>
      </x:c>
      <x:c r="E12" t="str">
        <x:v>Sim/Não</x:v>
      </x:c>
      <x:c r="F12" t="str">
        <x:v>Modelagem pessoas × negócio e indicadores</x:v>
      </x:c>
    </x:row>
    <x:row r="13">
      <x:c r="A13" t="str">
        <x:v>Segurança / revisão</x:v>
      </x:c>
      <x:c r="B13" s="28" t="n">
        <x:v>220</x:v>
      </x:c>
      <x:c r="C13" s="22" t="n">
        <x:v>24</x:v>
      </x:c>
      <x:c r="D13" s="30" t="n">
        <x:f>B13*C13</x:f>
        <x:v>5280</x:v>
      </x:c>
      <x:c r="E13" t="str">
        <x:v>Sim</x:v>
      </x:c>
      <x:c r="F13" t="str">
        <x:v>Dados de colaboradores e acessos</x:v>
      </x:c>
    </x:row>
    <x:row r="15">
      <x:c r="A15" s="33" t="str">
        <x:v>TOTAL MÃO DE OBRA</x:v>
      </x:c>
      <x:c r="B15" s="33"/>
      <x:c r="C15" s="33"/>
      <x:c r="D15" s="36" t="n">
        <x:f>SUM(D6:D13)</x:f>
        <x:v>209380</x:v>
      </x:c>
      <x:c r="E15" s="33"/>
      <x:c r="F15" s="33"/>
    </x:row>
  </x:sheetData>
  <x:mergeCells>
    <x:mergeCell ref="A1:F2"/>
    <x:mergeCell ref="A3:F3"/>
    <x:mergeCell ref="A15:C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54" hidden="0" customWidth="1"/>
    <x:col min="10" max="10" width="18" hidden="0" customWidth="1"/>
  </x:cols>
  <x:sheetData>
    <x:row r="1">
      <x:c r="A1" s="18" t="str">
        <x:v>INVESTIMENTO DE TRABALHO — MVP BBLEND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8" t="str">
        <x:v>Memória econômica. Eventual reembolso/compensação futura deve ser formalizado societária e contabilmente; o modelo não presume obrigação jurídica automática.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13" t="str">
        <x:v>Pessoa</x:v>
      </x:c>
      <x:c r="B5" s="13" t="str">
        <x:v>Papel</x:v>
      </x:c>
      <x:c r="C5" s="13" t="str">
        <x:v>Horas</x:v>
      </x:c>
      <x:c r="D5" s="13" t="str">
        <x:v>Rate R$/h</x:v>
      </x:c>
      <x:c r="E5" s="13" t="str">
        <x:v>Valor econômico</x:v>
      </x:c>
      <x:c r="F5" s="13" t="str">
        <x:v>Pago agora</x:v>
      </x:c>
      <x:c r="G5" s="13" t="str">
        <x:v>Saldo diferido</x:v>
      </x:c>
      <x:c r="H5" s="13" t="str">
        <x:v>Critério</x:v>
      </x:c>
      <x:c r="I5" s="13" t="str">
        <x:v>Escopo</x:v>
      </x:c>
      <x:c r="J5" s="13" t="str">
        <x:v>Obs.</x:v>
      </x:c>
    </x:row>
    <x:row r="6">
      <x:c r="A6" t="str">
        <x:v>Tamara</x:v>
      </x:c>
      <x:c r="B6" t="str">
        <x:v>Estratégia e produto</x:v>
      </x:c>
      <x:c r="C6" s="22" t="n">
        <x:v>230</x:v>
      </x:c>
      <x:c r="D6" s="28" t="n">
        <x:v>220</x:v>
      </x:c>
      <x:c r="E6" s="30" t="n">
        <x:f>C6*D6</x:f>
        <x:v>50600</x:v>
      </x:c>
      <x:c r="F6" s="28" t="n">
        <x:v>0</x:v>
      </x:c>
      <x:c r="G6" s="30" t="n">
        <x:f>E6-F6</x:f>
        <x:v>50600</x:v>
      </x:c>
      <x:c r="H6" t="str">
        <x:v>Após aporte</x:v>
      </x:c>
      <x:c r="I6" t="str">
        <x:v>Concepção pessoas × negócio, produto e estratégia</x:v>
      </x:c>
      <x:c r="J6" t="str">
        <x:v>Editável</x:v>
      </x:c>
    </x:row>
    <x:row r="7">
      <x:c r="A7" t="str">
        <x:v>Paulo Fábio</x:v>
      </x:c>
      <x:c r="B7" t="str">
        <x:v>Operação e estratégia</x:v>
      </x:c>
      <x:c r="C7" s="22" t="n">
        <x:v>160</x:v>
      </x:c>
      <x:c r="D7" s="28" t="n">
        <x:v>160</x:v>
      </x:c>
      <x:c r="E7" s="30" t="n">
        <x:f>C7*D7</x:f>
        <x:v>25600</x:v>
      </x:c>
      <x:c r="F7" s="28" t="n">
        <x:v>0</x:v>
      </x:c>
      <x:c r="G7" s="30" t="n">
        <x:f>E7-F7</x:f>
        <x:v>25600</x:v>
      </x:c>
      <x:c r="H7" t="str">
        <x:v>Após aporte</x:v>
      </x:c>
      <x:c r="I7" t="str">
        <x:v>Operação, conexões e planos de ação</x:v>
      </x:c>
      <x:c r="J7" t="str">
        <x:v>Editável</x:v>
      </x:c>
    </x:row>
    <x:row r="8">
      <x:c r="A8" t="str">
        <x:v>Pedro</x:v>
      </x:c>
      <x:c r="B8" t="str">
        <x:v>Operação e comunicação</x:v>
      </x:c>
      <x:c r="C8" s="22" t="n">
        <x:v>120</x:v>
      </x:c>
      <x:c r="D8" s="28" t="n">
        <x:v>150</x:v>
      </x:c>
      <x:c r="E8" s="30" t="n">
        <x:f>C8*D8</x:f>
        <x:v>18000</x:v>
      </x:c>
      <x:c r="F8" s="28" t="n">
        <x:v>0</x:v>
      </x:c>
      <x:c r="G8" s="30" t="n">
        <x:f>E8-F8</x:f>
        <x:v>18000</x:v>
      </x:c>
      <x:c r="H8" t="str">
        <x:v>Após aporte</x:v>
      </x:c>
      <x:c r="I8" t="str">
        <x:v>Engajamento e comunicação</x:v>
      </x:c>
      <x:c r="J8" t="str">
        <x:v>Editável</x:v>
      </x:c>
    </x:row>
    <x:row r="9">
      <x:c r="A9" t="str">
        <x:v>Sócio de tecnologia</x:v>
      </x:c>
      <x:c r="B9" t="str">
        <x:v>Tecnologia</x:v>
      </x:c>
      <x:c r="C9" s="22" t="n">
        <x:v>430</x:v>
      </x:c>
      <x:c r="D9" s="28" t="n">
        <x:v>180</x:v>
      </x:c>
      <x:c r="E9" s="30" t="n">
        <x:f>C9*D9</x:f>
        <x:v>77400</x:v>
      </x:c>
      <x:c r="F9" s="28" t="n">
        <x:v>0</x:v>
      </x:c>
      <x:c r="G9" s="30" t="n">
        <x:f>E9-F9</x:f>
        <x:v>77400</x:v>
      </x:c>
      <x:c r="H9" t="str">
        <x:v>Após aporte</x:v>
      </x:c>
      <x:c r="I9" t="str">
        <x:v>Construção e evolução técnica</x:v>
      </x:c>
      <x:c r="J9" t="str">
        <x:v>Editável</x:v>
      </x:c>
    </x:row>
    <x:row r="11">
      <x:c r="A11" s="33" t="str">
        <x:v>TOTAL DIFERIDO</x:v>
      </x:c>
      <x:c r="B11" s="33"/>
      <x:c r="C11" s="33"/>
      <x:c r="D11" s="33"/>
      <x:c r="E11" s="36" t="n">
        <x:f>SUM(G6:G9)</x:f>
        <x:v>171600</x:v>
      </x:c>
      <x:c r="F11" s="33"/>
      <x:c r="G11" s="33"/>
      <x:c r="H11" s="33"/>
      <x:c r="I11" s="33"/>
      <x:c r="J11" s="33"/>
    </x:row>
  </x:sheetData>
  <x:mergeCells>
    <x:mergeCell ref="A1:J2"/>
    <x:mergeCell ref="A3:J3"/>
    <x:mergeCell ref="A11:D11"/>
    <x:mergeCell ref="E11:G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12" hidden="0" customWidth="1"/>
    <x:col min="6" max="6" width="12" hidden="0" customWidth="1"/>
    <x:col min="7" max="7" width="22" hidden="0" customWidth="1"/>
    <x:col min="8" max="8" width="50" hidden="0" customWidth="1"/>
  </x:cols>
  <x:sheetData>
    <x:row r="1">
      <x:c r="A1" s="18" t="str">
        <x:v>MVP BBLEND — CUSTO ECONÔMICO × CAIXA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5">
      <x:c r="A5" s="13" t="str">
        <x:v>Categoria</x:v>
      </x:c>
      <x:c r="B5" s="13" t="str">
        <x:v>Custo econômico R$</x:v>
      </x:c>
      <x:c r="C5" s="13" t="str">
        <x:v>Caixa pré-aporte R$</x:v>
      </x:c>
      <x:c r="D5" s="13" t="str">
        <x:v>Diferido R$</x:v>
      </x:c>
      <x:c r="E5" s="13" t="str">
        <x:v>Mensal?</x:v>
      </x:c>
      <x:c r="F5" s="13" t="str">
        <x:v>Meses</x:v>
      </x:c>
      <x:c r="G5" s="13" t="str">
        <x:v>Total período R$</x:v>
      </x:c>
      <x:c r="H5" s="13" t="str">
        <x:v>Observação</x:v>
      </x:c>
    </x:row>
    <x:row r="6">
      <x:c r="A6" t="str">
        <x:v>Sócio tecnologia</x:v>
      </x:c>
      <x:c r="B6" s="30" t="n">
        <x:f>'04_Premissas_Mao_de_Obra'!D6</x:f>
        <x:v>77400</x:v>
      </x:c>
      <x:c r="C6" s="30" t="n">
        <x:v>0</x:v>
      </x:c>
      <x:c r="D6" s="30" t="n">
        <x:f>B6-C6</x:f>
        <x:v>77400</x:v>
      </x:c>
      <x:c r="E6" t="str">
        <x:v>Não</x:v>
      </x:c>
      <x:c r="F6" t="n">
        <x:v>1</x:v>
      </x:c>
      <x:c r="G6" s="30" t="n">
        <x:f>B6</x:f>
        <x:v>77400</x:v>
      </x:c>
      <x:c r="H6" t="str">
        <x:v>Tecnologia</x:v>
      </x:c>
    </x:row>
    <x:row r="7">
      <x:c r="A7" t="str">
        <x:v>Tamara</x:v>
      </x:c>
      <x:c r="B7" s="30" t="n">
        <x:f>'04_Premissas_Mao_de_Obra'!D7</x:f>
        <x:v>50600</x:v>
      </x:c>
      <x:c r="C7" s="30" t="n">
        <x:v>0</x:v>
      </x:c>
      <x:c r="D7" s="30" t="n">
        <x:f>B7-C7</x:f>
        <x:v>50600</x:v>
      </x:c>
      <x:c r="E7" t="str">
        <x:v>Não</x:v>
      </x:c>
      <x:c r="F7" t="n">
        <x:v>1</x:v>
      </x:c>
      <x:c r="G7" s="30" t="n">
        <x:f>B7</x:f>
        <x:v>50600</x:v>
      </x:c>
      <x:c r="H7" t="str">
        <x:v>Estratégia/produto</x:v>
      </x:c>
    </x:row>
    <x:row r="8">
      <x:c r="A8" t="str">
        <x:v>Paulo Fábio</x:v>
      </x:c>
      <x:c r="B8" s="30" t="n">
        <x:f>'04_Premissas_Mao_de_Obra'!D8</x:f>
        <x:v>25600</x:v>
      </x:c>
      <x:c r="C8" s="30" t="n">
        <x:v>0</x:v>
      </x:c>
      <x:c r="D8" s="30" t="n">
        <x:f>B8-C8</x:f>
        <x:v>25600</x:v>
      </x:c>
      <x:c r="E8" t="str">
        <x:v>Não</x:v>
      </x:c>
      <x:c r="F8" t="n">
        <x:v>1</x:v>
      </x:c>
      <x:c r="G8" s="30" t="n">
        <x:f>B8</x:f>
        <x:v>25600</x:v>
      </x:c>
      <x:c r="H8" t="str">
        <x:v>Operação/estratégia</x:v>
      </x:c>
    </x:row>
    <x:row r="9">
      <x:c r="A9" t="str">
        <x:v>Pedro</x:v>
      </x:c>
      <x:c r="B9" s="30" t="n">
        <x:f>'04_Premissas_Mao_de_Obra'!D9</x:f>
        <x:v>18000</x:v>
      </x:c>
      <x:c r="C9" s="30" t="n">
        <x:v>0</x:v>
      </x:c>
      <x:c r="D9" s="30" t="n">
        <x:f>B9-C9</x:f>
        <x:v>18000</x:v>
      </x:c>
      <x:c r="E9" t="str">
        <x:v>Não</x:v>
      </x:c>
      <x:c r="F9" t="n">
        <x:v>1</x:v>
      </x:c>
      <x:c r="G9" s="30" t="n">
        <x:f>B9</x:f>
        <x:v>18000</x:v>
      </x:c>
      <x:c r="H9" t="str">
        <x:v>Operação/comunicação</x:v>
      </x:c>
    </x:row>
    <x:row r="10">
      <x:c r="A10" t="str">
        <x:v>UX/UI</x:v>
      </x:c>
      <x:c r="B10" s="30" t="n">
        <x:f>'04_Premissas_Mao_de_Obra'!D10</x:f>
        <x:v>9100</x:v>
      </x:c>
      <x:c r="C10" s="30" t="n">
        <x:v>0</x:v>
      </x:c>
      <x:c r="D10" s="30" t="n">
        <x:f>B10-C10</x:f>
        <x:v>9100</x:v>
      </x:c>
      <x:c r="E10" t="str">
        <x:v>Não</x:v>
      </x:c>
      <x:c r="F10" t="n">
        <x:v>1</x:v>
      </x:c>
      <x:c r="G10" s="30" t="n">
        <x:f>B10</x:f>
        <x:v>9100</x:v>
      </x:c>
      <x:c r="H10" t="str">
        <x:v>Enxuto</x:v>
      </x:c>
    </x:row>
    <x:row r="11">
      <x:c r="A11" t="str">
        <x:v>QA</x:v>
      </x:c>
      <x:c r="B11" s="30" t="n">
        <x:f>'04_Premissas_Mao_de_Obra'!D11</x:f>
        <x:v>7200</x:v>
      </x:c>
      <x:c r="C11" s="30" t="n">
        <x:v>0</x:v>
      </x:c>
      <x:c r="D11" s="30" t="n">
        <x:f>B11-C11</x:f>
        <x:v>7200</x:v>
      </x:c>
      <x:c r="E11" t="str">
        <x:v>Não</x:v>
      </x:c>
      <x:c r="F11" t="n">
        <x:v>1</x:v>
      </x:c>
      <x:c r="G11" s="30" t="n">
        <x:f>B11</x:f>
        <x:v>7200</x:v>
      </x:c>
      <x:c r="H11" t="str">
        <x:v>Testes</x:v>
      </x:c>
    </x:row>
    <x:row r="12">
      <x:c r="A12" t="str">
        <x:v>Dados/BI</x:v>
      </x:c>
      <x:c r="B12" s="30" t="n">
        <x:f>'04_Premissas_Mao_de_Obra'!D12</x:f>
        <x:v>16200</x:v>
      </x:c>
      <x:c r="C12" s="30" t="n">
        <x:v>0</x:v>
      </x:c>
      <x:c r="D12" s="30" t="n">
        <x:f>B12-C12</x:f>
        <x:v>16200</x:v>
      </x:c>
      <x:c r="E12" t="str">
        <x:v>Não</x:v>
      </x:c>
      <x:c r="F12" t="n">
        <x:v>1</x:v>
      </x:c>
      <x:c r="G12" s="30" t="n">
        <x:f>B12</x:f>
        <x:v>16200</x:v>
      </x:c>
      <x:c r="H12" t="str">
        <x:v>Modelagem integrada</x:v>
      </x:c>
    </x:row>
    <x:row r="13">
      <x:c r="A13" t="str">
        <x:v>Segurança</x:v>
      </x:c>
      <x:c r="B13" s="30" t="n">
        <x:f>'04_Premissas_Mao_de_Obra'!D13</x:f>
        <x:v>5280</x:v>
      </x:c>
      <x:c r="C13" s="30" t="n">
        <x:f>B13</x:f>
        <x:v>5280</x:v>
      </x:c>
      <x:c r="D13" s="30" t="n">
        <x:v>0</x:v>
      </x:c>
      <x:c r="E13" t="str">
        <x:v>Não</x:v>
      </x:c>
      <x:c r="F13" t="n">
        <x:v>1</x:v>
      </x:c>
      <x:c r="G13" s="30" t="n">
        <x:f>B13</x:f>
        <x:v>5280</x:v>
      </x:c>
      <x:c r="H13" t="str">
        <x:v>Revisão</x:v>
      </x:c>
    </x:row>
    <x:row r="14">
      <x:c r="A14" t="str">
        <x:v>Cloud / banco / storage</x:v>
      </x:c>
      <x:c r="B14" s="28" t="n">
        <x:v>1500</x:v>
      </x:c>
      <x:c r="C14" s="28" t="n">
        <x:v>1500</x:v>
      </x:c>
      <x:c r="D14" s="30" t="n">
        <x:v>0</x:v>
      </x:c>
      <x:c r="E14" t="str">
        <x:v>Sim</x:v>
      </x:c>
      <x:c r="F14" t="n">
        <x:v>6</x:v>
      </x:c>
      <x:c r="G14" s="30" t="n">
        <x:f>B14*F14</x:f>
        <x:v>9000</x:v>
      </x:c>
      <x:c r="H14" t="str">
        <x:v>80 pessoas: baixa escala</x:v>
      </x:c>
    </x:row>
    <x:row r="15">
      <x:c r="A15" t="str">
        <x:v>Ferramentas / monitoramento</x:v>
      </x:c>
      <x:c r="B15" s="28" t="n">
        <x:v>550</x:v>
      </x:c>
      <x:c r="C15" s="28" t="n">
        <x:v>550</x:v>
      </x:c>
      <x:c r="D15" s="30" t="n">
        <x:v>0</x:v>
      </x:c>
      <x:c r="E15" t="str">
        <x:v>Sim</x:v>
      </x:c>
      <x:c r="F15" t="n">
        <x:v>6</x:v>
      </x:c>
      <x:c r="G15" s="30" t="n">
        <x:f>B15*F15</x:f>
        <x:v>3300</x:v>
      </x:c>
      <x:c r="H15" t="str">
        <x:v>Logs e analytics</x:v>
      </x:c>
    </x:row>
    <x:row r="16">
      <x:c r="A16" t="str">
        <x:v>E-mail / notificações</x:v>
      </x:c>
      <x:c r="B16" s="28" t="n">
        <x:v>400</x:v>
      </x:c>
      <x:c r="C16" s="28" t="n">
        <x:v>400</x:v>
      </x:c>
      <x:c r="D16" s="30" t="n">
        <x:v>0</x:v>
      </x:c>
      <x:c r="E16" t="str">
        <x:v>Sim</x:v>
      </x:c>
      <x:c r="F16" t="n">
        <x:v>6</x:v>
      </x:c>
      <x:c r="G16" s="30" t="n">
        <x:f>B16*F16</x:f>
        <x:v>2400</x:v>
      </x:c>
      <x:c r="H16" t="str">
        <x:v>Uso moderado</x:v>
      </x:c>
    </x:row>
    <x:row r="17">
      <x:c r="A17" t="str">
        <x:v>Reserva IA / APIs</x:v>
      </x:c>
      <x:c r="B17" s="28" t="n">
        <x:v>800</x:v>
      </x:c>
      <x:c r="C17" s="28" t="n">
        <x:v>800</x:v>
      </x:c>
      <x:c r="D17" s="30" t="n">
        <x:v>0</x:v>
      </x:c>
      <x:c r="E17" t="str">
        <x:v>Sim</x:v>
      </x:c>
      <x:c r="F17" t="n">
        <x:v>6</x:v>
      </x:c>
      <x:c r="G17" s="30" t="n">
        <x:f>B17*F17</x:f>
        <x:v>4800</x:v>
      </x:c>
      <x:c r="H17" t="str">
        <x:v>Regras primeiro</x:v>
      </x:c>
    </x:row>
    <x:row r="19">
      <x:c r="A19" s="33" t="str">
        <x:v>CUSTO ECONÔMICO MVP — 6 MESES</x:v>
      </x:c>
      <x:c r="B19" s="33"/>
      <x:c r="C19" s="33"/>
      <x:c r="D19" s="33"/>
      <x:c r="E19" s="33"/>
      <x:c r="F19" s="33"/>
      <x:c r="G19" s="33" t="n">
        <x:f>SUM(G6:G17)</x:f>
        <x:v>228880</x:v>
      </x:c>
      <x:c r="H19" s="33"/>
    </x:row>
    <x:row r="20">
      <x:c r="A20" s="33" t="str">
        <x:v>CAIXA PRÉ-APORTE</x:v>
      </x:c>
      <x:c r="B20" s="33"/>
      <x:c r="C20" s="36" t="n">
        <x:f>SUM(C6:C13)+SUMPRODUCT(C14:C17,F14:F17)</x:f>
        <x:v>24780</x:v>
      </x:c>
      <x:c r="D20" s="36" t="str">
        <x:v>DIFERIDO / FUNDADORES</x:v>
      </x:c>
      <x:c r="E20" s="36"/>
      <x:c r="F20" s="36"/>
      <x:c r="G20" s="36" t="n">
        <x:f>SUM(D6:D17)</x:f>
        <x:v>204100</x:v>
      </x:c>
      <x:c r="H20" s="33"/>
    </x:row>
  </x:sheetData>
  <x:mergeCells>
    <x:mergeCell ref="A1:H2"/>
    <x:mergeCell ref="A19:F19"/>
    <x:mergeCell ref="A20:B20"/>
    <x:mergeCell ref="D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2" hidden="0" customWidth="1"/>
    <x:col min="4" max="4" width="36" hidden="0" customWidth="1"/>
    <x:col min="5" max="5" width="36" hidden="0" customWidth="1"/>
    <x:col min="6" max="6" width="40" hidden="0" customWidth="1"/>
    <x:col min="7" max="7" width="30" hidden="0" customWidth="1"/>
    <x:col min="8" max="8" width="34" hidden="0" customWidth="1"/>
  </x:cols>
  <x:sheetData>
    <x:row r="1">
      <x:c r="A1" s="18" t="str">
        <x:v>BBLEND COMO MVP E CASE — PESSOAS CONECTADAS AO NEGÓCIO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5">
      <x:c r="A5" s="13" t="str">
        <x:v>Fase</x:v>
      </x:c>
      <x:c r="B5" s="13" t="str">
        <x:v>Período</x:v>
      </x:c>
      <x:c r="C5" s="13" t="str">
        <x:v>Objetivo</x:v>
      </x:c>
      <x:c r="D5" s="13" t="str">
        <x:v>Produto</x:v>
      </x:c>
      <x:c r="E5" s="13" t="str">
        <x:v>O que medir</x:v>
      </x:c>
      <x:c r="F5" s="13" t="str">
        <x:v>Ação HUB</x:v>
      </x:c>
      <x:c r="G5" s="13" t="str">
        <x:v>Critério de saída</x:v>
      </x:c>
      <x:c r="H5" s="13" t="str">
        <x:v>Evolução</x:v>
      </x:c>
    </x:row>
    <x:row r="6">
      <x:c r="A6" s="16" t="str">
        <x:v>0. Baseline</x:v>
      </x:c>
      <x:c r="B6" s="16" t="str">
        <x:v>Mês 1</x:v>
      </x:c>
      <x:c r="C6" s="16" t="str">
        <x:v>Definir pessoas, times, KPIs e prioridades</x:v>
      </x:c>
      <x:c r="D6" s="16" t="str">
        <x:v>Uploads + modelo de dados</x:v>
      </x:c>
      <x:c r="E6" s="16" t="str">
        <x:v>Situação inicial</x:v>
      </x:c>
      <x:c r="F6" s="16" t="str">
        <x:v>Construir leitura estratégica</x:v>
      </x:c>
      <x:c r="G6" s="16" t="str">
        <x:v>Baseline validado</x:v>
      </x:c>
      <x:c r="H6" s="16" t="str">
        <x:v>Construir</x:v>
      </x:c>
    </x:row>
    <x:row r="7">
      <x:c r="A7" s="16" t="str">
        <x:v>1. Inteligência</x:v>
      </x:c>
      <x:c r="B7" s="16" t="str">
        <x:v>Meses 2–3</x:v>
      </x:c>
      <x:c r="C7" s="16" t="str">
        <x:v>Cruzar pessoas × negócio</x:v>
      </x:c>
      <x:c r="D7" s="16" t="str">
        <x:v>Dashboards + sinais</x:v>
      </x:c>
      <x:c r="E7" s="16" t="str">
        <x:v>Relações e gaps</x:v>
      </x:c>
      <x:c r="F7" s="16" t="str">
        <x:v>Interpretar e priorizar</x:v>
      </x:c>
      <x:c r="G7" s="16" t="str">
        <x:v>Achados úteis</x:v>
      </x:c>
      <x:c r="H7" s="16" t="str">
        <x:v>Refinar</x:v>
      </x:c>
    </x:row>
    <x:row r="8">
      <x:c r="A8" s="16" t="str">
        <x:v>2. Conexão</x:v>
      </x:c>
      <x:c r="B8" s="16" t="str">
        <x:v>Meses 3–4</x:v>
      </x:c>
      <x:c r="C8" s="16" t="str">
        <x:v>Conectar pessoas a projetos/oportunidades</x:v>
      </x:c>
      <x:c r="D8" s="16" t="str">
        <x:v>Matching + Meu Time</x:v>
      </x:c>
      <x:c r="E8" s="16" t="str">
        <x:v>Aceites, mobilidade, participação</x:v>
      </x:c>
      <x:c r="F8" s="16" t="str">
        <x:v>Curadoria e planos</x:v>
      </x:c>
      <x:c r="G8" s="16" t="str">
        <x:v>Uso real</x:v>
      </x:c>
      <x:c r="H8" s="16" t="str">
        <x:v>Aprender</x:v>
      </x:c>
    </x:row>
    <x:row r="9">
      <x:c r="A9" s="16" t="str">
        <x:v>3. Resultado</x:v>
      </x:c>
      <x:c r="B9" s="16" t="str">
        <x:v>Meses 5–6</x:v>
      </x:c>
      <x:c r="C9" s="16" t="str">
        <x:v>Medir antes/depois</x:v>
      </x:c>
      <x:c r="D9" s="16" t="str">
        <x:v>Acompanhamento</x:v>
      </x:c>
      <x:c r="E9" s="16" t="str">
        <x:v>Mudança nos KPIs</x:v>
      </x:c>
      <x:c r="F9" s="16" t="str">
        <x:v>Recomendar próximos ciclos</x:v>
      </x:c>
      <x:c r="G9" s="16" t="str">
        <x:v>Impacto demonstrável</x:v>
      </x:c>
      <x:c r="H9" s="16" t="str">
        <x:v>Case/escalar</x:v>
      </x:c>
    </x:row>
    <x:row r="12">
      <x:c r="A12" s="13" t="str">
        <x:v>O QUE O CASE PRECISA PROVAR</x:v>
      </x:c>
      <x:c r="B12" s="13"/>
      <x:c r="C12" s="13"/>
      <x:c r="D12" s="13"/>
      <x:c r="E12" s="13"/>
      <x:c r="F12" s="13"/>
      <x:c r="G12" s="13"/>
      <x:c r="H12" s="13"/>
    </x:row>
    <x:row r="13">
      <x:c r="A13" t="str">
        <x:v>1</x:v>
      </x:c>
      <x:c r="B13" t="str">
        <x:v>A empresa consegue enxergar pessoas e resultado de negócio na mesma leitura</x:v>
      </x:c>
    </x:row>
    <x:row r="14">
      <x:c r="A14" t="str">
        <x:v>2</x:v>
      </x:c>
      <x:c r="B14" t="str">
        <x:v>É possível identificar competências/gaps ligados a prioridades reais</x:v>
      </x:c>
    </x:row>
    <x:row r="15">
      <x:c r="A15" t="str">
        <x:v>3</x:v>
      </x:c>
      <x:c r="B15" t="str">
        <x:v>Gestores encontram talentos além da estrutura/cargo atual</x:v>
      </x:c>
    </x:row>
    <x:row r="16">
      <x:c r="A16" t="str">
        <x:v>4</x:v>
      </x:c>
      <x:c r="B16" t="str">
        <x:v>Pessoas são conectadas a projetos, desafios ou oportunidades internas aderentes</x:v>
      </x:c>
    </x:row>
    <x:row r="17">
      <x:c r="A17" t="str">
        <x:v>5</x:v>
      </x:c>
      <x:c r="B17" t="str">
        <x:v>Planos de desenvolvimento deixam de ser genéricos e passam a responder ao negócio</x:v>
      </x:c>
    </x:row>
    <x:row r="18">
      <x:c r="A18" t="str">
        <x:v>6</x:v>
      </x:c>
      <x:c r="B18" t="str">
        <x:v>Ações de pessoas podem ser acompanhadas contra KPIs antes/depois</x:v>
      </x:c>
    </x:row>
    <x:row r="19">
      <x:c r="A19" t="str">
        <x:v>7</x:v>
      </x:c>
      <x:c r="B19" t="str">
        <x:v>A Bblend identifica onde investir em desenvolvimento, mobilidade ou contratação</x:v>
      </x:c>
    </x:row>
    <x:row r="20">
      <x:c r="A20" t="str">
        <x:v>8</x:v>
      </x:c>
      <x:c r="B20" t="str">
        <x:v>O modelo pode ser replicado em empresas maiores sem depender de diversidade como único recorte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2" hidden="0" customWidth="1"/>
    <x:col min="5" max="5" width="26" hidden="0" customWidth="1"/>
    <x:col min="6" max="6" width="22" hidden="0" customWidth="1"/>
  </x:cols>
  <x:sheetData>
    <x:row r="1">
      <x:c r="A1" s="18" t="str">
        <x:v>HUB — MVP BBLEND | VISÃO ECONÔMICA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8" t="str">
        <x:v>80 colaboradores são suficientes para validar a tese central: a plataforma mede pessoas e negócio, mas também transforma a leitura em conexão — talentos, competências, projetos, mobilidade e planos de ação vinculados a resultado.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39" t="str">
        <x:v>CUSTO ECONÔMICO MVP</x:v>
      </x:c>
      <x:c r="B5" s="39"/>
      <x:c r="D5" s="39" t="str">
        <x:v>CAIXA PRÉ-APORTE</x:v>
      </x:c>
      <x:c r="E5" s="39"/>
      <x:c r="G5" s="39" t="str">
        <x:v>DIFERIDO / FUNDADORES</x:v>
      </x:c>
      <x:c r="H5" s="39"/>
      <x:c r="I5" s="39" t="str">
        <x:v>COLABORADORES</x:v>
      </x:c>
      <x:c r="J5" s="39"/>
    </x:row>
    <x:row r="6">
      <x:c r="A6" s="44" t="n">
        <x:f>'06_Custo_MVP_e_Caixa'!G19</x:f>
        <x:v>228880</x:v>
      </x:c>
      <x:c r="B6" s="39"/>
      <x:c r="D6" s="44" t="n">
        <x:f>'06_Custo_MVP_e_Caixa'!C20</x:f>
        <x:v>24780</x:v>
      </x:c>
      <x:c r="E6" s="39"/>
      <x:c r="G6" s="44" t="n">
        <x:f>'06_Custo_MVP_e_Caixa'!G20</x:f>
        <x:v>204100</x:v>
      </x:c>
      <x:c r="H6" s="39"/>
      <x:c r="I6" s="42" t="n">
        <x:f>'02_Volume_80_Colaboradores'!B6</x:f>
        <x:v>80</x:v>
      </x:c>
      <x:c r="J6" s="39"/>
    </x:row>
    <x:row r="7">
      <x:c r="A7" s="39"/>
      <x:c r="B7" s="39"/>
      <x:c r="D7" s="39"/>
      <x:c r="E7" s="39"/>
      <x:c r="G7" s="39"/>
      <x:c r="H7" s="39"/>
      <x:c r="I7" s="39"/>
      <x:c r="J7" s="39"/>
    </x:row>
    <x:row r="10">
      <x:c r="A10" s="13" t="str">
        <x:v>Capacidade inicial</x:v>
      </x:c>
      <x:c r="B10" s="13" t="str">
        <x:v>Colaboradores</x:v>
      </x:c>
      <x:c r="C10" s="13" t="str">
        <x:v>Áreas</x:v>
      </x:c>
      <x:c r="D10" s="13" t="str">
        <x:v>KPIs negócio</x:v>
      </x:c>
      <x:c r="E10" s="13" t="str">
        <x:v>Oportunidades internas</x:v>
      </x:c>
      <x:c r="F10" s="13" t="str">
        <x:v>Matches internos</x:v>
      </x:c>
    </x:row>
    <x:row r="11">
      <x:c r="A11" t="str">
        <x:v>Piloto Bblend</x:v>
      </x:c>
      <x:c r="B11" t="n">
        <x:f>'02_Volume_80_Colaboradores'!B6</x:f>
        <x:v>80</x:v>
      </x:c>
      <x:c r="C11" t="n">
        <x:f>'02_Volume_80_Colaboradores'!B8</x:f>
        <x:v>6</x:v>
      </x:c>
      <x:c r="D11" t="n">
        <x:f>'02_Volume_80_Colaboradores'!H6</x:f>
        <x:v>24</x:v>
      </x:c>
      <x:c r="E11" t="n">
        <x:f>'02_Volume_80_Colaboradores'!B10</x:f>
        <x:v>12</x:v>
      </x:c>
      <x:c r="F11" t="n">
        <x:f>'02_Volume_80_Colaboradores'!H7</x:f>
        <x:v>60</x:v>
      </x:c>
    </x:row>
    <x:row r="13">
      <x:c r="A13" s="8" t="str">
        <x:v>O diferencial do MVP não é criar mais um dashboard de RH. É mostrar: “este é o resultado do time; estas são as pessoas e competências disponíveis; estes são os gaps; estas são as oportunidades; estas são as ações; e isto mudou depois da intervenção.”</x:v>
      </x:c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13:F14"/>
  </x:mergeCells>
  <x:pageMargins left="0.7" right="0.7" top="0.75" bottom="0.75" header="0.3" footer="0.3"/>
</x:worksheet>
</file>