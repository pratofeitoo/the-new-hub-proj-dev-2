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Visao_Geral" sheetId="1" state="visible" r:id="rId1"/>
    <sheet xmlns:r="http://schemas.openxmlformats.org/officeDocument/2006/relationships" name="02_Inventario_Paginas" sheetId="2" state="visible" r:id="rId2"/>
    <sheet xmlns:r="http://schemas.openxmlformats.org/officeDocument/2006/relationships" name="03_Resumo_Modulos" sheetId="3" state="visible" r:id="rId3"/>
    <sheet xmlns:r="http://schemas.openxmlformats.org/officeDocument/2006/relationships" name="04_Matriz_Integracoes" sheetId="4" state="visible" r:id="rId4"/>
    <sheet xmlns:r="http://schemas.openxmlformats.org/officeDocument/2006/relationships" name="05_Fluxos_Diretos" sheetId="5" state="visible" r:id="rId5"/>
    <sheet xmlns:r="http://schemas.openxmlformats.org/officeDocument/2006/relationships" name="06_Cenarios_Implantacao" sheetId="6" state="visible" r:id="rId6"/>
    <sheet xmlns:r="http://schemas.openxmlformats.org/officeDocument/2006/relationships" name="07_Base_Para_Precificacao" sheetId="7" state="visible" r:id="rId7"/>
    <sheet xmlns:r="http://schemas.openxmlformats.org/officeDocument/2006/relationships" name="08_Premissas_Custos" sheetId="8" state="visible" r:id="rId8"/>
    <sheet xmlns:r="http://schemas.openxmlformats.org/officeDocument/2006/relationships" name="09_Estimativa_96_Telas" sheetId="9" state="visible" r:id="rId9"/>
    <sheet xmlns:r="http://schemas.openxmlformats.org/officeDocument/2006/relationships" name="10_CAPEX_por_Modulo" sheetId="10" state="visible" r:id="rId10"/>
    <sheet xmlns:r="http://schemas.openxmlformats.org/officeDocument/2006/relationships" name="11_OPEX_Mensal" sheetId="11" state="visible" r:id="rId11"/>
    <sheet xmlns:r="http://schemas.openxmlformats.org/officeDocument/2006/relationships" name="12_Dashboard_Custos" sheetId="12" state="visible" r:id="rId12"/>
  </sheets>
  <definedNames/>
</workbook>
</file>

<file path=xl/styles.xml><?xml version="1.0" encoding="utf-8"?>
<styleSheet xmlns="http://schemas.openxmlformats.org/spreadsheetml/2006/main">
  <numFmts count="4">
    <numFmt numFmtId="164" formatCode="0.00x"/>
    <numFmt numFmtId="165" formatCode="0.0%"/>
    <numFmt numFmtId="166" formatCode="R$ #,##0;[Red](R$ #,##0);-"/>
    <numFmt numFmtId="167" formatCode="#,##0;[Red](#,##0);-"/>
  </numFmts>
  <fonts count="12">
    <font>
      <name val="Carlito"/>
      <sz val="11"/>
    </font>
    <font>
      <name val="Carlito"/>
      <b val="1"/>
      <color rgb="FFFFFFFF"/>
      <sz val="20"/>
    </font>
    <font>
      <name val="Carlito"/>
      <i val="1"/>
      <color rgb="FF063747"/>
      <sz val="11"/>
    </font>
    <font>
      <name val="Carlito"/>
      <b val="1"/>
      <color rgb="FFFFFFFF"/>
      <sz val="11"/>
    </font>
    <font>
      <name val="Carlito"/>
      <color rgb="FF063747"/>
      <sz val="11"/>
    </font>
    <font>
      <name val="Carlito"/>
      <color rgb="FF0000FF"/>
      <sz val="11"/>
    </font>
    <font>
      <name val="Carlito"/>
      <b val="1"/>
      <color rgb="FF0000FF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63747"/>
      <sz val="11"/>
    </font>
    <font>
      <name val="Carlito"/>
      <b val="1"/>
      <color rgb="FF063747"/>
      <sz val="14"/>
    </font>
    <font>
      <name val="Carlito"/>
      <b val="1"/>
      <color rgb="FF063747"/>
      <sz val="16"/>
    </font>
  </fonts>
  <fills count="11">
    <fill>
      <patternFill/>
    </fill>
    <fill>
      <patternFill patternType="gray125"/>
    </fill>
    <fill>
      <patternFill patternType="solid">
        <fgColor rgb="FF063747"/>
      </patternFill>
    </fill>
    <fill>
      <patternFill patternType="solid">
        <fgColor rgb="FFF7F4EC"/>
      </patternFill>
    </fill>
    <fill>
      <patternFill patternType="solid">
        <fgColor rgb="FF073E32"/>
      </patternFill>
    </fill>
    <fill>
      <patternFill patternType="solid">
        <fgColor rgb="FFEEF2EA"/>
      </patternFill>
    </fill>
    <fill>
      <patternFill patternType="solid">
        <fgColor rgb="FF063747"/>
      </patternFill>
    </fill>
    <fill>
      <patternFill patternType="solid">
        <fgColor rgb="FFF7F4EC"/>
      </patternFill>
    </fill>
    <fill>
      <patternFill patternType="solid">
        <fgColor rgb="FF073E32"/>
      </patternFill>
    </fill>
    <fill>
      <patternFill patternType="solid">
        <fgColor rgb="FFEEF2EA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1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5" fillId="0" borderId="0" pivotButton="0" quotePrefix="0" xfId="0"/>
    <xf numFmtId="0" fontId="6" fillId="8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6" fillId="8" borderId="0" pivotButton="0" quotePrefix="0" xfId="0"/>
    <xf numFmtId="166" fontId="5" fillId="0" borderId="0" pivotButton="0" quotePrefix="0" xfId="0"/>
    <xf numFmtId="0" fontId="1" fillId="6" borderId="0" applyAlignment="1" pivotButton="0" quotePrefix="0" xfId="0">
      <alignment wrapText="1"/>
    </xf>
    <xf numFmtId="0" fontId="3" fillId="8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5" fontId="5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165" fontId="6" fillId="8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9" fontId="5" fillId="0" borderId="0" pivotButton="0" quotePrefix="0" xfId="0"/>
    <xf numFmtId="164" fontId="7" fillId="0" borderId="0" pivotButton="0" quotePrefix="0" xfId="0"/>
    <xf numFmtId="167" fontId="7" fillId="0" borderId="0" pivotButton="0" quotePrefix="0" xfId="0"/>
    <xf numFmtId="167" fontId="8" fillId="0" borderId="0" pivotButton="0" quotePrefix="0" xfId="0"/>
    <xf numFmtId="166" fontId="8" fillId="0" borderId="0" pivotButton="0" quotePrefix="0" xfId="0"/>
    <xf numFmtId="9" fontId="5" fillId="0" borderId="0" applyAlignment="1" pivotButton="0" quotePrefix="0" xfId="0">
      <alignment wrapText="1"/>
    </xf>
    <xf numFmtId="164" fontId="7" fillId="0" borderId="0" applyAlignment="1" pivotButton="0" quotePrefix="0" xfId="0">
      <alignment wrapText="1"/>
    </xf>
    <xf numFmtId="167" fontId="7" fillId="0" borderId="0" applyAlignment="1" pivotButton="0" quotePrefix="0" xfId="0">
      <alignment wrapText="1"/>
    </xf>
    <xf numFmtId="167" fontId="8" fillId="0" borderId="0" applyAlignment="1" pivotButton="0" quotePrefix="0" xfId="0">
      <alignment wrapText="1"/>
    </xf>
    <xf numFmtId="166" fontId="8" fillId="0" borderId="0" applyAlignment="1" pivotButton="0" quotePrefix="0" xfId="0">
      <alignment wrapText="1"/>
    </xf>
    <xf numFmtId="167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8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0" fillId="9" borderId="0" pivotButton="0" quotePrefix="0" xfId="0"/>
    <xf numFmtId="0" fontId="9" fillId="9" borderId="0" pivotButton="0" quotePrefix="0" xfId="0"/>
    <xf numFmtId="166" fontId="9" fillId="9" borderId="0" pivotButton="0" quotePrefix="0" xfId="0"/>
    <xf numFmtId="0" fontId="5" fillId="10" borderId="0" pivotButton="0" quotePrefix="0" xfId="0"/>
    <xf numFmtId="166" fontId="7" fillId="0" borderId="0" pivotButton="0" quotePrefix="0" xfId="0"/>
    <xf numFmtId="9" fontId="5" fillId="10" borderId="0" pivotButton="0" quotePrefix="0" xfId="0"/>
    <xf numFmtId="9" fontId="8" fillId="0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10" fillId="9" borderId="0" applyAlignment="1" pivotButton="0" quotePrefix="0" xfId="0">
      <alignment horizontal="center" wrapText="1"/>
    </xf>
    <xf numFmtId="0" fontId="10" fillId="9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wrapText="1"/>
    </xf>
    <xf numFmtId="166" fontId="10" fillId="9" borderId="0" applyAlignment="1" pivotButton="0" quotePrefix="0" xfId="0">
      <alignment horizontal="center" vertical="center" wrapText="1"/>
    </xf>
    <xf numFmtId="166" fontId="11" fillId="9" borderId="0" applyAlignment="1" pivotButton="0" quotePrefix="0" xfId="0">
      <alignment horizontal="center" vertical="center" wrapText="1"/>
    </xf>
    <xf numFmtId="1" fontId="10" fillId="9" borderId="0" applyAlignment="1" pivotButton="0" quotePrefix="0" xfId="0">
      <alignment horizontal="center" vertical="center" wrapText="1"/>
    </xf>
    <xf numFmtId="1" fontId="11" fillId="9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5" fontId="5" fillId="0" borderId="0" applyAlignment="1" pivotButton="0" quotePrefix="0" xfId="0">
      <alignment wrapText="1"/>
    </xf>
    <xf numFmtId="165" fontId="6" fillId="8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0" fontId="1" fillId="6" borderId="1" pivotButton="0" quotePrefix="0" xfId="0"/>
    <xf numFmtId="9" fontId="5" fillId="0" borderId="0" applyAlignment="1" pivotButton="0" quotePrefix="0" xfId="0">
      <alignment wrapText="1"/>
    </xf>
    <xf numFmtId="164" fontId="7" fillId="0" borderId="0" applyAlignment="1" pivotButton="0" quotePrefix="0" xfId="0">
      <alignment wrapText="1"/>
    </xf>
    <xf numFmtId="167" fontId="7" fillId="0" borderId="0" applyAlignment="1" pivotButton="0" quotePrefix="0" xfId="0">
      <alignment wrapText="1"/>
    </xf>
    <xf numFmtId="167" fontId="8" fillId="0" borderId="0" applyAlignment="1" pivotButton="0" quotePrefix="0" xfId="0">
      <alignment wrapText="1"/>
    </xf>
    <xf numFmtId="166" fontId="8" fillId="0" borderId="0" applyAlignment="1" pivotButton="0" quotePrefix="0" xfId="0">
      <alignment wrapText="1"/>
    </xf>
    <xf numFmtId="0" fontId="2" fillId="7" borderId="1" pivotButton="0" quotePrefix="0" xfId="0"/>
    <xf numFmtId="165" fontId="8" fillId="0" borderId="0" applyAlignment="1" pivotButton="0" quotePrefix="0" xfId="0">
      <alignment wrapText="1"/>
    </xf>
    <xf numFmtId="0" fontId="9" fillId="9" borderId="1" pivotButton="0" quotePrefix="0" xfId="0"/>
    <xf numFmtId="166" fontId="9" fillId="9" borderId="0" pivotButton="0" quotePrefix="0" xfId="0"/>
    <xf numFmtId="166" fontId="7" fillId="0" borderId="0" pivotButton="0" quotePrefix="0" xfId="0"/>
    <xf numFmtId="9" fontId="5" fillId="10" borderId="0" pivotButton="0" quotePrefix="0" xfId="0"/>
    <xf numFmtId="9" fontId="8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0" fillId="9" borderId="1" applyAlignment="1" pivotButton="0" quotePrefix="0" xfId="0">
      <alignment horizontal="center" vertical="center" wrapText="1"/>
    </xf>
    <xf numFmtId="166" fontId="11" fillId="9" borderId="1" applyAlignment="1" pivotButton="0" quotePrefix="0" xfId="0">
      <alignment horizontal="center" vertical="center" wrapText="1"/>
    </xf>
    <xf numFmtId="1" fontId="11" fillId="9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wrapText="1"/>
    </xf>
  </cellXfs>
  <cellStyles count="1">
    <cellStyle name="Normal" xfId="0"/>
  </cellStyles>
  <dxfs count="6">
    <dxf>
      <font>
        <b val="1"/>
        <color rgb="FF073E32"/>
      </font>
      <fill>
        <patternFill>
          <bgColor rgb="FFE1F1E7"/>
        </patternFill>
      </fill>
    </dxf>
    <dxf>
      <font>
        <color rgb="FF6F5D00"/>
      </font>
      <fill>
        <patternFill>
          <bgColor rgb="FFF4EBC8"/>
        </patternFill>
      </fill>
    </dxf>
    <dxf>
      <font>
        <b val="1"/>
        <color rgb="FF073E32"/>
      </font>
      <fill>
        <patternFill>
          <bgColor rgb="FFB9DFC7"/>
        </patternFill>
      </fill>
    </dxf>
    <dxf>
      <font>
        <color rgb="FF6F5D00"/>
      </font>
      <fill>
        <patternFill>
          <bgColor rgb="FFF4EBC8"/>
        </patternFill>
      </fill>
    </dxf>
    <dxf>
      <font>
        <color rgb="FF999999"/>
      </font>
      <fill>
        <patternFill>
          <bgColor rgb="FFF1F1F1"/>
        </patternFill>
      </fill>
    </dxf>
    <dxf>
      <font>
        <b val="1"/>
        <color rgb="FFFFFFFF"/>
      </font>
      <fill>
        <patternFill>
          <bgColor rgb="FF06374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incremental por módulo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CAPEX incremental</v>
          </tx>
          <spPr>
            <a:ln xmlns:a="http://schemas.openxmlformats.org/drawingml/2006/main">
              <a:prstDash val="solid"/>
            </a:ln>
          </spPr>
          <cat>
            <strRef>
              <f>'12_Dashboard_Custos'!$B$11:$B$17</f>
              <strCache>
                <ptCount val="0"/>
              </strCache>
            </strRef>
          </cat>
          <val>
            <numRef>
              <f>'12_Dashboard_Custos'!$C$11:$C$17</f>
              <numCache>
                <formatCode>R$ #,##0;[Red](R$ #,##0);-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0</colOff>
      <row>9</row>
      <rowOff>0</rowOff>
    </from>
    <to>
      <col>14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28" customWidth="1" style="26" min="2" max="2"/>
    <col width="25" customWidth="1" style="26" min="3" max="3"/>
    <col width="28" customWidth="1" style="26" min="4" max="4"/>
    <col width="16" customWidth="1" style="26" min="5" max="5"/>
    <col width="46" customWidth="1" style="26" min="6" max="6"/>
    <col width="46" customWidth="1" style="26" min="7" max="7"/>
    <col width="38" customWidth="1" style="26" min="8" max="8"/>
  </cols>
  <sheetData>
    <row r="1">
      <c r="A1" s="5" t="inlineStr">
        <is>
          <t>ARQUITETURA INICIAL DA PLATAFORMA HUB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9" t="inlineStr">
        <is>
          <t>Primeiro dimensionamento funcional para, no segundo momento, transformar escopo em custo real de produto, tecnologia, dados e operação.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1" t="inlineStr">
        <is>
          <t>Código</t>
        </is>
      </c>
      <c r="B5" s="11" t="inlineStr">
        <is>
          <t>Frente / módulo</t>
        </is>
      </c>
      <c r="C5" s="11" t="inlineStr">
        <is>
          <t>Público</t>
        </is>
      </c>
      <c r="D5" s="11" t="inlineStr">
        <is>
          <t>Modelo</t>
        </is>
      </c>
      <c r="E5" s="11" t="inlineStr">
        <is>
          <t>Standalone?</t>
        </is>
      </c>
      <c r="F5" s="11" t="inlineStr">
        <is>
          <t>O que resolve</t>
        </is>
      </c>
      <c r="G5" s="11" t="inlineStr">
        <is>
          <t>Integrações</t>
        </is>
      </c>
      <c r="H5" s="11" t="inlineStr">
        <is>
          <t>Leitura</t>
        </is>
      </c>
      <c r="I5" t="inlineStr">
        <is>
          <t>MOD (Tecnica)</t>
        </is>
      </c>
    </row>
    <row r="6">
      <c r="A6" s="14" t="inlineStr">
        <is>
          <t>CORE</t>
        </is>
      </c>
      <c r="B6" s="14" t="inlineStr">
        <is>
          <t>Core / Plataforma</t>
        </is>
      </c>
      <c r="C6" s="14" t="inlineStr">
        <is>
          <t>Transversal</t>
        </is>
      </c>
      <c r="D6" s="14" t="inlineStr">
        <is>
          <t>Base comum</t>
        </is>
      </c>
      <c r="E6" s="14" t="inlineStr">
        <is>
          <t>Sim</t>
        </is>
      </c>
      <c r="F6" s="14" t="inlineStr">
        <is>
          <t>Autenticação, perfis, permissões, consentimentos, integrações, notificações, analytics e administração.</t>
        </is>
      </c>
      <c r="G6" s="14" t="inlineStr">
        <is>
          <t>Todas as frentes usam o Core.</t>
        </is>
      </c>
      <c r="H6" s="14" t="inlineStr">
        <is>
          <t>Obrigatório para qualquer implantação.</t>
        </is>
      </c>
      <c r="I6" t="inlineStr">
        <is>
          <t>MOD-01</t>
        </is>
      </c>
    </row>
    <row r="7">
      <c r="A7" s="14" t="inlineStr">
        <is>
          <t>ED</t>
        </is>
      </c>
      <c r="B7" s="14" t="inlineStr">
        <is>
          <t>Estratégia &amp; Dados</t>
        </is>
      </c>
      <c r="C7" s="14" t="inlineStr">
        <is>
          <t>Empresas</t>
        </is>
      </c>
      <c r="D7" s="14" t="inlineStr">
        <is>
          <t>Produto independente</t>
        </is>
      </c>
      <c r="E7" s="14" t="inlineStr">
        <is>
          <t>Sim</t>
        </is>
      </c>
      <c r="F7" s="14" t="inlineStr">
        <is>
          <t>Conecta dados internos de pessoas e negócio para diagnóstico, prioridades, planos de ação e ROI.</t>
        </is>
      </c>
      <c r="G7" s="14" t="inlineStr">
        <is>
          <t>Pode receber dados de RH/ERP/BI sem usar candidatos, fornecedores, acadêmico ou eventos.</t>
        </is>
      </c>
      <c r="H7" s="14" t="inlineStr">
        <is>
          <t>Pode ser vendido sozinho.</t>
        </is>
      </c>
      <c r="I7" t="inlineStr">
        <is>
          <t>MOD-08</t>
        </is>
      </c>
    </row>
    <row r="8">
      <c r="A8" s="14" t="inlineStr">
        <is>
          <t>COL</t>
        </is>
      </c>
      <c r="B8" s="14" t="inlineStr">
        <is>
          <t>Colaboradores / Meu Time</t>
        </is>
      </c>
      <c r="C8" s="14" t="inlineStr">
        <is>
          <t>Empresas</t>
        </is>
      </c>
      <c r="D8" s="14" t="inlineStr">
        <is>
          <t>Independente ou conectado a ED</t>
        </is>
      </c>
      <c r="E8" s="14" t="inlineStr">
        <is>
          <t>Sim</t>
        </is>
      </c>
      <c r="F8" s="14" t="inlineStr">
        <is>
          <t>Desempenho, competências, desenvolvimento, liderança, saúde do time e talentos internos.</t>
        </is>
      </c>
      <c r="G8" s="14" t="inlineStr">
        <is>
          <t>Alimenta ED com sinais de pessoas e recebe prioridades/planos.</t>
        </is>
      </c>
      <c r="H8" s="14" t="inlineStr">
        <is>
          <t>Pode operar sem marketplace externo.</t>
        </is>
      </c>
      <c r="I8" t="inlineStr">
        <is>
          <t>MOD-02/03</t>
        </is>
      </c>
    </row>
    <row r="9">
      <c r="A9" s="14" t="inlineStr">
        <is>
          <t>CAN</t>
        </is>
      </c>
      <c r="B9" s="14" t="inlineStr">
        <is>
          <t>Candidatos &amp; Carreira</t>
        </is>
      </c>
      <c r="C9" s="14" t="inlineStr">
        <is>
          <t>Pessoas + Empresas</t>
        </is>
      </c>
      <c r="D9" s="14" t="inlineStr">
        <is>
          <t>Marketplace / jornada</t>
        </is>
      </c>
      <c r="E9" s="14" t="inlineStr">
        <is>
          <t>Sim</t>
        </is>
      </c>
      <c r="F9" s="14" t="inlineStr">
        <is>
          <t>Perfil, competências, capacitação, oportunidades, candidatura, match e acompanhamento.</t>
        </is>
      </c>
      <c r="G9" s="14" t="inlineStr">
        <is>
          <t>Conversa com Acadêmico, Empresas, Eventos e Core.</t>
        </is>
      </c>
      <c r="H9" s="14" t="inlineStr">
        <is>
          <t>Vertical de empregabilidade.</t>
        </is>
      </c>
      <c r="I9" t="inlineStr">
        <is>
          <t>MOD-03</t>
        </is>
      </c>
    </row>
    <row r="10">
      <c r="A10" s="14" t="inlineStr">
        <is>
          <t>FOR</t>
        </is>
      </c>
      <c r="B10" s="14" t="inlineStr">
        <is>
          <t>Fornecedores &amp; Negócios</t>
        </is>
      </c>
      <c r="C10" s="14" t="inlineStr">
        <is>
          <t>Fornecedores + Compradores</t>
        </is>
      </c>
      <c r="D10" s="14" t="inlineStr">
        <is>
          <t>Marketplace B2B</t>
        </is>
      </c>
      <c r="E10" s="14" t="inlineStr">
        <is>
          <t>Sim</t>
        </is>
      </c>
      <c r="F10" s="14" t="inlineStr">
        <is>
          <t>Maturidade, demandas, desenvolvimento, match, negociação e conversão.</t>
        </is>
      </c>
      <c r="G10" s="14" t="inlineStr">
        <is>
          <t>Conversa com Eventos, ED e Core.</t>
        </is>
      </c>
      <c r="H10" s="14" t="inlineStr">
        <is>
          <t>Pode operar sozinho para acesso a mercado.</t>
        </is>
      </c>
      <c r="I10" t="inlineStr">
        <is>
          <t>MOD-05</t>
        </is>
      </c>
    </row>
    <row r="11">
      <c r="A11" s="14" t="inlineStr">
        <is>
          <t>ACA</t>
        </is>
      </c>
      <c r="B11" s="14" t="inlineStr">
        <is>
          <t>Acadêmico / Universidades</t>
        </is>
      </c>
      <c r="C11" s="14" t="inlineStr">
        <is>
          <t>Alunos + Universidades + Empresas</t>
        </is>
      </c>
      <c r="D11" s="14" t="inlineStr">
        <is>
          <t>Educação-mercado</t>
        </is>
      </c>
      <c r="E11" s="14" t="inlineStr">
        <is>
          <t>Sim</t>
        </is>
      </c>
      <c r="F11" s="14" t="inlineStr">
        <is>
          <t>Projetos, bolsas, pesquisa aplicada, estágio, carreira, formação e conexão com empresas.</t>
        </is>
      </c>
      <c r="G11" s="14" t="inlineStr">
        <is>
          <t>Conversa fortemente com Candidatos e Empresas; opcionalmente Eventos.</t>
        </is>
      </c>
      <c r="H11" s="14" t="inlineStr">
        <is>
          <t>Pode ser vendido sozinho para universidade.</t>
        </is>
      </c>
      <c r="I11" t="inlineStr">
        <is>
          <t>MOD-06</t>
        </is>
      </c>
    </row>
    <row r="12">
      <c r="A12" s="14" t="inlineStr">
        <is>
          <t>EVT</t>
        </is>
      </c>
      <c r="B12" s="14" t="inlineStr">
        <is>
          <t>Eventos</t>
        </is>
      </c>
      <c r="C12" s="14" t="inlineStr">
        <is>
          <t>Organizadores + Público + Empresas</t>
        </is>
      </c>
      <c r="D12" s="14" t="inlineStr">
        <is>
          <t>Orquestrador transversal</t>
        </is>
      </c>
      <c r="E12" s="14" t="inlineStr">
        <is>
          <t>Parcial</t>
        </is>
      </c>
      <c r="F12" s="14" t="inlineStr">
        <is>
          <t>Talentos, fornecedores, pesquisa, patrocínios, acessibilidade, segurança/assédio e ROI.</t>
        </is>
      </c>
      <c r="G12" s="14" t="inlineStr">
        <is>
          <t>Consome Candidatos, Fornecedores e Dados; pode ativar Acadêmico.</t>
        </is>
      </c>
      <c r="H12" s="14" t="inlineStr">
        <is>
          <t>Pode começar standalone, mas ganha valor com outros módulos.</t>
        </is>
      </c>
      <c r="I12" t="inlineStr">
        <is>
          <t>MOD-07</t>
        </is>
      </c>
    </row>
    <row r="13">
      <c r="A13" s="14" t="inlineStr">
        <is>
          <t>COM</t>
        </is>
      </c>
      <c r="B13" s="14" t="inlineStr">
        <is>
          <t>Comunidades / Eu &amp; Eu / Cultura</t>
        </is>
      </c>
      <c r="C13" s="14" t="inlineStr">
        <is>
          <t>Pessoas</t>
        </is>
      </c>
      <c r="D13" s="14" t="inlineStr">
        <is>
          <t>Jornada individual</t>
        </is>
      </c>
      <c r="E13" s="14" t="inlineStr">
        <is>
          <t>Sim</t>
        </is>
      </c>
      <c r="F13" s="14" t="inlineStr">
        <is>
          <t>Perfil, objetivos, plano, preparação, mentoria, cuidado, eventos e conexões.</t>
        </is>
      </c>
      <c r="G13" s="14" t="inlineStr">
        <is>
          <t>Pode alimentar Candidatos, Acadêmico e Eventos com consentimento.</t>
        </is>
      </c>
      <c r="H13" s="14" t="inlineStr">
        <is>
          <t>Camada B2C; não é pré-requisito B2B.</t>
        </is>
      </c>
      <c r="I13" t="inlineStr">
        <is>
          <t>MOD-07</t>
        </is>
      </c>
    </row>
    <row r="14">
      <c r="A14" t="inlineStr">
        <is>
          <t>CUST</t>
        </is>
      </c>
      <c r="B14" t="inlineStr">
        <is>
          <t>Clientes &amp; Receita</t>
        </is>
      </c>
      <c r="C14" t="inlineStr">
        <is>
          <t>Empresas/CS</t>
        </is>
      </c>
      <c r="D14" t="inlineStr">
        <is>
          <t>Independente ou conectado a ED</t>
        </is>
      </c>
      <c r="E14" t="inlineStr">
        <is>
          <t>Sim</t>
        </is>
      </c>
      <c r="F14" t="inlineStr">
        <is>
          <t>Contas, contratos, NPS, churn, receita e margem por cliente.</t>
        </is>
      </c>
      <c r="G14" t="inlineStr">
        <is>
          <t>CRM/ERP; alimenta ED/HUB Impact.</t>
        </is>
      </c>
      <c r="H14" t="inlineStr">
        <is>
          <t>Novo — MOD-04 Tecnica (MVP).</t>
        </is>
      </c>
      <c r="I14" t="inlineStr">
        <is>
          <t>MOD-04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7" t="inlineStr">
        <is>
          <t>PRINCÍPIO DE ARQUITETURA</t>
        </is>
      </c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H17" s="1" t="n"/>
    </row>
    <row r="18">
      <c r="A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4">
    <mergeCell ref="A1:H2"/>
    <mergeCell ref="A3:H3"/>
    <mergeCell ref="A16:H19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7" customWidth="1" style="26" min="1" max="1"/>
    <col width="9" customWidth="1" style="26" min="2" max="2"/>
    <col width="28" customWidth="1" style="26" min="3" max="3"/>
    <col width="32" customWidth="1" style="26" min="4" max="4"/>
    <col width="14" customWidth="1" style="26" min="5" max="5"/>
    <col width="12" customWidth="1" style="26" min="6" max="6"/>
    <col width="16" customWidth="1" style="26" min="7" max="7"/>
    <col width="16" customWidth="1" style="26" min="8" max="8"/>
    <col width="16" customWidth="1" style="26" min="9" max="9"/>
    <col width="38" customWidth="1" style="26" min="10" max="10"/>
  </cols>
  <sheetData>
    <row r="1">
      <c r="A1" s="5" t="inlineStr">
        <is>
          <t>INVENTÁRIO DE PÁGINAS / TELAS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5">
      <c r="A5" s="11" t="inlineStr">
        <is>
          <t>ID</t>
        </is>
      </c>
      <c r="B5" s="11" t="inlineStr">
        <is>
          <t>Código</t>
        </is>
      </c>
      <c r="C5" s="11" t="inlineStr">
        <is>
          <t>Frente</t>
        </is>
      </c>
      <c r="D5" s="11" t="inlineStr">
        <is>
          <t>Página / tela</t>
        </is>
      </c>
      <c r="E5" s="11" t="inlineStr">
        <is>
          <t>Canal</t>
        </is>
      </c>
      <c r="F5" s="11" t="inlineStr">
        <is>
          <t>Fase</t>
        </is>
      </c>
      <c r="G5" s="11" t="inlineStr">
        <is>
          <t>Complexidade</t>
        </is>
      </c>
      <c r="H5" s="11" t="inlineStr">
        <is>
          <t>Compartilhável?</t>
        </is>
      </c>
      <c r="I5" s="11" t="inlineStr">
        <is>
          <t>Dependência</t>
        </is>
      </c>
      <c r="J5" s="11" t="inlineStr">
        <is>
          <t>Observação</t>
        </is>
      </c>
      <c r="K5" t="inlineStr">
        <is>
          <t>MOD (Tecnica)</t>
        </is>
      </c>
      <c r="L5" t="inlineStr">
        <is>
          <t>Fase Tecnica</t>
        </is>
      </c>
      <c r="M5" t="inlineStr">
        <is>
          <t>Ref Tecnica</t>
        </is>
      </c>
    </row>
    <row r="6">
      <c r="A6" s="14" t="n">
        <v>1</v>
      </c>
      <c r="B6" s="14" t="inlineStr">
        <is>
          <t>CORE</t>
        </is>
      </c>
      <c r="C6" s="14" t="inlineStr">
        <is>
          <t>Core / Plataforma</t>
        </is>
      </c>
      <c r="D6" s="14" t="inlineStr">
        <is>
          <t>Login / SSO</t>
        </is>
      </c>
      <c r="E6" s="14" t="inlineStr">
        <is>
          <t>Web</t>
        </is>
      </c>
      <c r="F6" s="14" t="inlineStr">
        <is>
          <t>MVP</t>
        </is>
      </c>
      <c r="G6" s="14" t="inlineStr">
        <is>
          <t>Baixa</t>
        </is>
      </c>
      <c r="H6" s="14" t="inlineStr">
        <is>
          <t>Sim</t>
        </is>
      </c>
      <c r="I6" s="14" t="inlineStr">
        <is>
          <t>-</t>
        </is>
      </c>
      <c r="J6" s="14" t="inlineStr">
        <is>
          <t>Autenticação</t>
        </is>
      </c>
      <c r="K6" t="inlineStr">
        <is>
          <t>MOD-01</t>
        </is>
      </c>
      <c r="L6" t="inlineStr">
        <is>
          <t>MVP (F0/MVP1)</t>
        </is>
      </c>
      <c r="M6" t="inlineStr">
        <is>
          <t>INT-08/BL-001</t>
        </is>
      </c>
    </row>
    <row r="7">
      <c r="A7" s="14" t="n">
        <v>2</v>
      </c>
      <c r="B7" s="14" t="inlineStr">
        <is>
          <t>CORE</t>
        </is>
      </c>
      <c r="C7" s="14" t="inlineStr">
        <is>
          <t>Core / Plataforma</t>
        </is>
      </c>
      <c r="D7" s="14" t="inlineStr">
        <is>
          <t>Cadastro / onboarding</t>
        </is>
      </c>
      <c r="E7" s="14" t="inlineStr">
        <is>
          <t>Web/Mobile</t>
        </is>
      </c>
      <c r="F7" s="14" t="inlineStr">
        <is>
          <t>MVP</t>
        </is>
      </c>
      <c r="G7" s="14" t="inlineStr">
        <is>
          <t>Média</t>
        </is>
      </c>
      <c r="H7" s="14" t="inlineStr">
        <is>
          <t>Sim</t>
        </is>
      </c>
      <c r="I7" s="14" t="inlineStr">
        <is>
          <t>-</t>
        </is>
      </c>
      <c r="J7" s="14" t="inlineStr">
        <is>
          <t>Entrada por tipo</t>
        </is>
      </c>
      <c r="K7" t="inlineStr">
        <is>
          <t>MOD-01</t>
        </is>
      </c>
      <c r="L7" t="inlineStr">
        <is>
          <t>MVP (F0/MVP1)</t>
        </is>
      </c>
      <c r="M7" t="inlineStr">
        <is>
          <t>BL-001</t>
        </is>
      </c>
    </row>
    <row r="8">
      <c r="A8" s="14" t="n">
        <v>3</v>
      </c>
      <c r="B8" s="14" t="inlineStr">
        <is>
          <t>CORE</t>
        </is>
      </c>
      <c r="C8" s="14" t="inlineStr">
        <is>
          <t>Core / Plataforma</t>
        </is>
      </c>
      <c r="D8" s="14" t="inlineStr">
        <is>
          <t>Perfis e organizações</t>
        </is>
      </c>
      <c r="E8" s="14" t="inlineStr">
        <is>
          <t>Web</t>
        </is>
      </c>
      <c r="F8" s="14" t="inlineStr">
        <is>
          <t>MVP</t>
        </is>
      </c>
      <c r="G8" s="14" t="inlineStr">
        <is>
          <t>Média</t>
        </is>
      </c>
      <c r="H8" s="14" t="inlineStr">
        <is>
          <t>Sim</t>
        </is>
      </c>
      <c r="I8" s="14" t="inlineStr">
        <is>
          <t>-</t>
        </is>
      </c>
      <c r="J8" s="14" t="inlineStr">
        <is>
          <t>Entidades</t>
        </is>
      </c>
      <c r="K8" t="inlineStr">
        <is>
          <t>MOD-01</t>
        </is>
      </c>
      <c r="L8" t="inlineStr">
        <is>
          <t>MVP (F0/MVP1)</t>
        </is>
      </c>
      <c r="M8" t="inlineStr">
        <is>
          <t>BL-001</t>
        </is>
      </c>
    </row>
    <row r="9">
      <c r="A9" s="14" t="n">
        <v>4</v>
      </c>
      <c r="B9" s="14" t="inlineStr">
        <is>
          <t>CORE</t>
        </is>
      </c>
      <c r="C9" s="14" t="inlineStr">
        <is>
          <t>Core / Plataforma</t>
        </is>
      </c>
      <c r="D9" s="14" t="inlineStr">
        <is>
          <t>Papéis e permissões</t>
        </is>
      </c>
      <c r="E9" s="14" t="inlineStr">
        <is>
          <t>Admin</t>
        </is>
      </c>
      <c r="F9" s="14" t="inlineStr">
        <is>
          <t>MVP</t>
        </is>
      </c>
      <c r="G9" s="14" t="inlineStr">
        <is>
          <t>Alta</t>
        </is>
      </c>
      <c r="H9" s="14" t="inlineStr">
        <is>
          <t>Sim</t>
        </is>
      </c>
      <c r="I9" s="14" t="inlineStr">
        <is>
          <t>-</t>
        </is>
      </c>
      <c r="J9" s="14" t="inlineStr">
        <is>
          <t>RBAC</t>
        </is>
      </c>
      <c r="K9" t="inlineStr">
        <is>
          <t>MOD-01</t>
        </is>
      </c>
      <c r="L9" t="inlineStr">
        <is>
          <t>MVP (F0/MVP1)</t>
        </is>
      </c>
      <c r="M9" t="inlineStr">
        <is>
          <t>GOV-03/BL-016</t>
        </is>
      </c>
    </row>
    <row r="10">
      <c r="A10" s="14" t="n">
        <v>5</v>
      </c>
      <c r="B10" s="14" t="inlineStr">
        <is>
          <t>CORE</t>
        </is>
      </c>
      <c r="C10" s="14" t="inlineStr">
        <is>
          <t>Core / Plataforma</t>
        </is>
      </c>
      <c r="D10" s="14" t="inlineStr">
        <is>
          <t>Consentimentos / LGPD</t>
        </is>
      </c>
      <c r="E10" s="14" t="inlineStr">
        <is>
          <t>Web/Admin</t>
        </is>
      </c>
      <c r="F10" s="14" t="inlineStr">
        <is>
          <t>MVP</t>
        </is>
      </c>
      <c r="G10" s="14" t="inlineStr">
        <is>
          <t>Alta</t>
        </is>
      </c>
      <c r="H10" s="14" t="inlineStr">
        <is>
          <t>Sim</t>
        </is>
      </c>
      <c r="I10" s="14" t="inlineStr">
        <is>
          <t>-</t>
        </is>
      </c>
      <c r="J10" s="14" t="inlineStr">
        <is>
          <t>Privacidade</t>
        </is>
      </c>
      <c r="K10" t="inlineStr">
        <is>
          <t>MOD-01</t>
        </is>
      </c>
      <c r="L10" t="inlineStr">
        <is>
          <t>MVP (F0/MVP1)</t>
        </is>
      </c>
      <c r="M10" t="inlineStr">
        <is>
          <t>GOV-01/GOV-04</t>
        </is>
      </c>
    </row>
    <row r="11">
      <c r="A11" s="14" t="n">
        <v>6</v>
      </c>
      <c r="B11" s="14" t="inlineStr">
        <is>
          <t>CORE</t>
        </is>
      </c>
      <c r="C11" s="14" t="inlineStr">
        <is>
          <t>Core / Plataforma</t>
        </is>
      </c>
      <c r="D11" s="14" t="inlineStr">
        <is>
          <t>Central de integrações</t>
        </is>
      </c>
      <c r="E11" s="14" t="inlineStr">
        <is>
          <t>Admin</t>
        </is>
      </c>
      <c r="F11" s="14" t="inlineStr">
        <is>
          <t>MVP</t>
        </is>
      </c>
      <c r="G11" s="14" t="inlineStr">
        <is>
          <t>Alta</t>
        </is>
      </c>
      <c r="H11" s="14" t="inlineStr">
        <is>
          <t>Sim</t>
        </is>
      </c>
      <c r="I11" s="14" t="inlineStr">
        <is>
          <t>-</t>
        </is>
      </c>
      <c r="J11" s="14" t="inlineStr">
        <is>
          <t>APIs/RHIS/ERP/CRM/LMS</t>
        </is>
      </c>
      <c r="K11" t="inlineStr">
        <is>
          <t>MOD-01</t>
        </is>
      </c>
      <c r="L11" t="inlineStr">
        <is>
          <t>MVP (F0/MVP1)</t>
        </is>
      </c>
      <c r="M11" t="inlineStr">
        <is>
          <t>INT-01..06/BL-002..005</t>
        </is>
      </c>
    </row>
    <row r="12">
      <c r="A12" s="14" t="n">
        <v>7</v>
      </c>
      <c r="B12" s="14" t="inlineStr">
        <is>
          <t>CORE</t>
        </is>
      </c>
      <c r="C12" s="14" t="inlineStr">
        <is>
          <t>Core / Plataforma</t>
        </is>
      </c>
      <c r="D12" s="14" t="inlineStr">
        <is>
          <t>Notificações</t>
        </is>
      </c>
      <c r="E12" s="14" t="inlineStr">
        <is>
          <t>Web/Mobile</t>
        </is>
      </c>
      <c r="F12" s="14" t="inlineStr">
        <is>
          <t>MVP</t>
        </is>
      </c>
      <c r="G12" s="14" t="inlineStr">
        <is>
          <t>Média</t>
        </is>
      </c>
      <c r="H12" s="14" t="inlineStr">
        <is>
          <t>Sim</t>
        </is>
      </c>
      <c r="I12" s="14" t="inlineStr">
        <is>
          <t>-</t>
        </is>
      </c>
      <c r="J12" s="14" t="inlineStr">
        <is>
          <t>Gatilhos</t>
        </is>
      </c>
      <c r="K12" t="inlineStr">
        <is>
          <t>MOD-01</t>
        </is>
      </c>
      <c r="L12" t="inlineStr">
        <is>
          <t>MVP (F0/MVP1)</t>
        </is>
      </c>
      <c r="M12" t="inlineStr">
        <is>
          <t>BL-010</t>
        </is>
      </c>
    </row>
    <row r="13">
      <c r="A13" s="14" t="n">
        <v>8</v>
      </c>
      <c r="B13" s="14" t="inlineStr">
        <is>
          <t>CORE</t>
        </is>
      </c>
      <c r="C13" s="14" t="inlineStr">
        <is>
          <t>Core / Plataforma</t>
        </is>
      </c>
      <c r="D13" s="14" t="inlineStr">
        <is>
          <t>Mensagens</t>
        </is>
      </c>
      <c r="E13" s="14" t="inlineStr">
        <is>
          <t>Web/Mobile</t>
        </is>
      </c>
      <c r="F13" s="14" t="inlineStr">
        <is>
          <t>Fase 2</t>
        </is>
      </c>
      <c r="G13" s="14" t="inlineStr">
        <is>
          <t>Alta</t>
        </is>
      </c>
      <c r="H13" s="14" t="inlineStr">
        <is>
          <t>Sim</t>
        </is>
      </c>
      <c r="I13" s="14" t="inlineStr">
        <is>
          <t>-</t>
        </is>
      </c>
      <c r="J13" s="14" t="inlineStr">
        <is>
          <t>Conversas</t>
        </is>
      </c>
      <c r="K13" t="inlineStr">
        <is>
          <t>MOD-01</t>
        </is>
      </c>
      <c r="L13" t="inlineStr">
        <is>
          <t>Fase 2</t>
        </is>
      </c>
      <c r="M13" t="inlineStr">
        <is>
          <t>sem ref direta (Fase 2)</t>
        </is>
      </c>
    </row>
    <row r="14">
      <c r="A14" s="14" t="n">
        <v>9</v>
      </c>
      <c r="B14" s="14" t="inlineStr">
        <is>
          <t>CORE</t>
        </is>
      </c>
      <c r="C14" s="14" t="inlineStr">
        <is>
          <t>Core / Plataforma</t>
        </is>
      </c>
      <c r="D14" s="14" t="inlineStr">
        <is>
          <t>Busca global</t>
        </is>
      </c>
      <c r="E14" s="14" t="inlineStr">
        <is>
          <t>Web</t>
        </is>
      </c>
      <c r="F14" s="14" t="inlineStr">
        <is>
          <t>Fase 2</t>
        </is>
      </c>
      <c r="G14" s="14" t="inlineStr">
        <is>
          <t>Média</t>
        </is>
      </c>
      <c r="H14" s="14" t="inlineStr">
        <is>
          <t>Sim</t>
        </is>
      </c>
      <c r="I14" s="14" t="inlineStr">
        <is>
          <t>-</t>
        </is>
      </c>
      <c r="J14" s="14" t="inlineStr">
        <is>
          <t>Busca</t>
        </is>
      </c>
      <c r="K14" t="inlineStr">
        <is>
          <t>MOD-01</t>
        </is>
      </c>
      <c r="L14" t="inlineStr">
        <is>
          <t>Fase 2</t>
        </is>
      </c>
      <c r="M14" t="inlineStr">
        <is>
          <t>sem ref direta (Fase 2)</t>
        </is>
      </c>
    </row>
    <row r="15">
      <c r="A15" s="14" t="n">
        <v>10</v>
      </c>
      <c r="B15" s="14" t="inlineStr">
        <is>
          <t>CORE</t>
        </is>
      </c>
      <c r="C15" s="14" t="inlineStr">
        <is>
          <t>Core / Plataforma</t>
        </is>
      </c>
      <c r="D15" s="14" t="inlineStr">
        <is>
          <t>Analytics de uso</t>
        </is>
      </c>
      <c r="E15" s="14" t="inlineStr">
        <is>
          <t>Admin</t>
        </is>
      </c>
      <c r="F15" s="14" t="inlineStr">
        <is>
          <t>MVP</t>
        </is>
      </c>
      <c r="G15" s="14" t="inlineStr">
        <is>
          <t>Média</t>
        </is>
      </c>
      <c r="H15" s="14" t="inlineStr">
        <is>
          <t>Sim</t>
        </is>
      </c>
      <c r="I15" s="14" t="inlineStr">
        <is>
          <t>-</t>
        </is>
      </c>
      <c r="J15" s="14" t="inlineStr">
        <is>
          <t>Adoção</t>
        </is>
      </c>
      <c r="K15" t="inlineStr">
        <is>
          <t>MOD-01</t>
        </is>
      </c>
      <c r="L15" t="inlineStr">
        <is>
          <t>MVP (F0/MVP1)</t>
        </is>
      </c>
      <c r="M15" t="inlineStr">
        <is>
          <t>KPI-HUB-01/BL-014</t>
        </is>
      </c>
    </row>
    <row r="16">
      <c r="A16" s="14" t="n">
        <v>11</v>
      </c>
      <c r="B16" s="14" t="inlineStr">
        <is>
          <t>CORE</t>
        </is>
      </c>
      <c r="C16" s="14" t="inlineStr">
        <is>
          <t>Core / Plataforma</t>
        </is>
      </c>
      <c r="D16" s="14" t="inlineStr">
        <is>
          <t>Administração</t>
        </is>
      </c>
      <c r="E16" s="14" t="inlineStr">
        <is>
          <t>Admin</t>
        </is>
      </c>
      <c r="F16" s="14" t="inlineStr">
        <is>
          <t>MVP</t>
        </is>
      </c>
      <c r="G16" s="14" t="inlineStr">
        <is>
          <t>Alta</t>
        </is>
      </c>
      <c r="H16" s="14" t="inlineStr">
        <is>
          <t>Sim</t>
        </is>
      </c>
      <c r="I16" s="14" t="inlineStr">
        <is>
          <t>-</t>
        </is>
      </c>
      <c r="J16" s="14" t="inlineStr">
        <is>
          <t>Configurações</t>
        </is>
      </c>
      <c r="K16" t="inlineStr">
        <is>
          <t>MOD-01</t>
        </is>
      </c>
      <c r="L16" t="inlineStr">
        <is>
          <t>MVP (F0/MVP1)</t>
        </is>
      </c>
      <c r="M16" t="inlineStr">
        <is>
          <t>BL-001</t>
        </is>
      </c>
    </row>
    <row r="17">
      <c r="A17" s="14" t="n">
        <v>12</v>
      </c>
      <c r="B17" s="14" t="inlineStr">
        <is>
          <t>CORE</t>
        </is>
      </c>
      <c r="C17" s="14" t="inlineStr">
        <is>
          <t>Core / Plataforma</t>
        </is>
      </c>
      <c r="D17" s="14" t="inlineStr">
        <is>
          <t>Auditoria e logs</t>
        </is>
      </c>
      <c r="E17" s="14" t="inlineStr">
        <is>
          <t>Admin</t>
        </is>
      </c>
      <c r="F17" s="14" t="inlineStr">
        <is>
          <t>MVP</t>
        </is>
      </c>
      <c r="G17" s="14" t="inlineStr">
        <is>
          <t>Alta</t>
        </is>
      </c>
      <c r="H17" s="14" t="inlineStr">
        <is>
          <t>Sim</t>
        </is>
      </c>
      <c r="I17" s="14" t="inlineStr">
        <is>
          <t>-</t>
        </is>
      </c>
      <c r="J17" s="14" t="inlineStr">
        <is>
          <t>Rastreabilidade</t>
        </is>
      </c>
      <c r="K17" t="inlineStr">
        <is>
          <t>MOD-01</t>
        </is>
      </c>
      <c r="L17" t="inlineStr">
        <is>
          <t>MVP (F0/MVP1)</t>
        </is>
      </c>
      <c r="M17" t="inlineStr">
        <is>
          <t>GOV-09/SRC-12</t>
        </is>
      </c>
    </row>
    <row r="18">
      <c r="A18" s="14" t="n">
        <v>13</v>
      </c>
      <c r="B18" s="14" t="inlineStr">
        <is>
          <t>ED</t>
        </is>
      </c>
      <c r="C18" s="14" t="inlineStr">
        <is>
          <t>Estratégia &amp; Dados</t>
        </is>
      </c>
      <c r="D18" s="14" t="inlineStr">
        <is>
          <t>Visão executiva</t>
        </is>
      </c>
      <c r="E18" s="14" t="inlineStr">
        <is>
          <t>Web</t>
        </is>
      </c>
      <c r="F18" s="14" t="inlineStr">
        <is>
          <t>MVP</t>
        </is>
      </c>
      <c r="G18" s="14" t="inlineStr">
        <is>
          <t>Alta</t>
        </is>
      </c>
      <c r="H18" s="14" t="inlineStr">
        <is>
          <t>Não</t>
        </is>
      </c>
      <c r="I18" s="14" t="inlineStr">
        <is>
          <t>CORE</t>
        </is>
      </c>
      <c r="J18" s="14" t="inlineStr">
        <is>
          <t>KPIs pessoas x negócio</t>
        </is>
      </c>
      <c r="K18" t="inlineStr">
        <is>
          <t>MOD-08</t>
        </is>
      </c>
      <c r="L18" t="inlineStr">
        <is>
          <t>MVP (MVP1)</t>
        </is>
      </c>
      <c r="M18" t="inlineStr">
        <is>
          <t>SCR-01</t>
        </is>
      </c>
    </row>
    <row r="19">
      <c r="A19" s="14" t="n">
        <v>14</v>
      </c>
      <c r="B19" s="14" t="inlineStr">
        <is>
          <t>ED</t>
        </is>
      </c>
      <c r="C19" s="14" t="inlineStr">
        <is>
          <t>Estratégia &amp; Dados</t>
        </is>
      </c>
      <c r="D19" s="14" t="inlineStr">
        <is>
          <t>Conectores de dados</t>
        </is>
      </c>
      <c r="E19" s="14" t="inlineStr">
        <is>
          <t>Admin</t>
        </is>
      </c>
      <c r="F19" s="14" t="inlineStr">
        <is>
          <t>MVP</t>
        </is>
      </c>
      <c r="G19" s="14" t="inlineStr">
        <is>
          <t>Alta</t>
        </is>
      </c>
      <c r="H19" s="14" t="inlineStr">
        <is>
          <t>Não</t>
        </is>
      </c>
      <c r="I19" s="14" t="inlineStr">
        <is>
          <t>CORE</t>
        </is>
      </c>
      <c r="J19" s="14" t="inlineStr">
        <is>
          <t>Dados existentes</t>
        </is>
      </c>
      <c r="K19" t="inlineStr">
        <is>
          <t>MOD-08</t>
        </is>
      </c>
      <c r="L19" t="inlineStr">
        <is>
          <t>MVP (MVP1)</t>
        </is>
      </c>
      <c r="M19" t="inlineStr">
        <is>
          <t>BL-002..005/INT-01..06</t>
        </is>
      </c>
    </row>
    <row r="20">
      <c r="A20" s="14" t="n">
        <v>15</v>
      </c>
      <c r="B20" s="14" t="inlineStr">
        <is>
          <t>ED</t>
        </is>
      </c>
      <c r="C20" s="14" t="inlineStr">
        <is>
          <t>Estratégia &amp; Dados</t>
        </is>
      </c>
      <c r="D20" s="14" t="inlineStr">
        <is>
          <t>Mapeamento de indicadores</t>
        </is>
      </c>
      <c r="E20" s="14" t="inlineStr">
        <is>
          <t>Admin</t>
        </is>
      </c>
      <c r="F20" s="14" t="inlineStr">
        <is>
          <t>MVP</t>
        </is>
      </c>
      <c r="G20" s="14" t="inlineStr">
        <is>
          <t>Alta</t>
        </is>
      </c>
      <c r="H20" s="14" t="inlineStr">
        <is>
          <t>Não</t>
        </is>
      </c>
      <c r="I20" s="14" t="inlineStr">
        <is>
          <t>CORE</t>
        </is>
      </c>
      <c r="J20" s="14" t="inlineStr">
        <is>
          <t>Dicionário</t>
        </is>
      </c>
      <c r="K20" t="inlineStr">
        <is>
          <t>MOD-08</t>
        </is>
      </c>
      <c r="L20" t="inlineStr">
        <is>
          <t>MVP (MVP1)</t>
        </is>
      </c>
      <c r="M20" t="inlineStr">
        <is>
          <t>SCR-04/BL-006</t>
        </is>
      </c>
    </row>
    <row r="21">
      <c r="A21" s="14" t="n">
        <v>16</v>
      </c>
      <c r="B21" s="14" t="inlineStr">
        <is>
          <t>ED</t>
        </is>
      </c>
      <c r="C21" s="14" t="inlineStr">
        <is>
          <t>Estratégia &amp; Dados</t>
        </is>
      </c>
      <c r="D21" s="14" t="inlineStr">
        <is>
          <t>Diagnóstico</t>
        </is>
      </c>
      <c r="E21" s="14" t="inlineStr">
        <is>
          <t>Web</t>
        </is>
      </c>
      <c r="F21" s="14" t="inlineStr">
        <is>
          <t>MVP</t>
        </is>
      </c>
      <c r="G21" s="14" t="inlineStr">
        <is>
          <t>Alta</t>
        </is>
      </c>
      <c r="H21" s="14" t="inlineStr">
        <is>
          <t>Não</t>
        </is>
      </c>
      <c r="I21" s="14" t="inlineStr">
        <is>
          <t>CORE</t>
        </is>
      </c>
      <c r="J21" s="14" t="inlineStr">
        <is>
          <t>Contexto</t>
        </is>
      </c>
      <c r="K21" t="inlineStr">
        <is>
          <t>MOD-08</t>
        </is>
      </c>
      <c r="L21" t="inlineStr">
        <is>
          <t>MVP (MVP1)</t>
        </is>
      </c>
      <c r="M21" t="inlineStr">
        <is>
          <t>SCR-02/REL-01..04</t>
        </is>
      </c>
    </row>
    <row r="22">
      <c r="A22" s="14" t="n">
        <v>17</v>
      </c>
      <c r="B22" s="14" t="inlineStr">
        <is>
          <t>ED</t>
        </is>
      </c>
      <c r="C22" s="14" t="inlineStr">
        <is>
          <t>Estratégia &amp; Dados</t>
        </is>
      </c>
      <c r="D22" s="14" t="inlineStr">
        <is>
          <t>Análises e correlações</t>
        </is>
      </c>
      <c r="E22" s="14" t="inlineStr">
        <is>
          <t>Web</t>
        </is>
      </c>
      <c r="F22" s="14" t="inlineStr">
        <is>
          <t>MVP</t>
        </is>
      </c>
      <c r="G22" s="14" t="inlineStr">
        <is>
          <t>Muito alta</t>
        </is>
      </c>
      <c r="H22" s="14" t="inlineStr">
        <is>
          <t>Não</t>
        </is>
      </c>
      <c r="I22" s="14" t="inlineStr">
        <is>
          <t>CORE</t>
        </is>
      </c>
      <c r="J22" s="14" t="inlineStr">
        <is>
          <t>Padrões</t>
        </is>
      </c>
      <c r="K22" t="inlineStr">
        <is>
          <t>MOD-08</t>
        </is>
      </c>
      <c r="L22" t="inlineStr">
        <is>
          <t>MVP (MVP1)</t>
        </is>
      </c>
      <c r="M22" t="inlineStr">
        <is>
          <t>REL-01..09</t>
        </is>
      </c>
    </row>
    <row r="23">
      <c r="A23" s="14" t="n">
        <v>18</v>
      </c>
      <c r="B23" s="14" t="inlineStr">
        <is>
          <t>ED</t>
        </is>
      </c>
      <c r="C23" s="14" t="inlineStr">
        <is>
          <t>Estratégia &amp; Dados</t>
        </is>
      </c>
      <c r="D23" s="14" t="inlineStr">
        <is>
          <t>Prioridades</t>
        </is>
      </c>
      <c r="E23" s="14" t="inlineStr">
        <is>
          <t>Web</t>
        </is>
      </c>
      <c r="F23" s="14" t="inlineStr">
        <is>
          <t>MVP</t>
        </is>
      </c>
      <c r="G23" s="14" t="inlineStr">
        <is>
          <t>Alta</t>
        </is>
      </c>
      <c r="H23" s="14" t="inlineStr">
        <is>
          <t>Não</t>
        </is>
      </c>
      <c r="I23" s="14" t="inlineStr">
        <is>
          <t>CORE</t>
        </is>
      </c>
      <c r="J23" s="14" t="inlineStr">
        <is>
          <t>Riscos/oportunidades</t>
        </is>
      </c>
      <c r="K23" t="inlineStr">
        <is>
          <t>MOD-08</t>
        </is>
      </c>
      <c r="L23" t="inlineStr">
        <is>
          <t>MVP (MVP1)</t>
        </is>
      </c>
      <c r="M23" t="inlineStr">
        <is>
          <t>SCR-01</t>
        </is>
      </c>
    </row>
    <row r="24">
      <c r="A24" s="14" t="n">
        <v>19</v>
      </c>
      <c r="B24" s="14" t="inlineStr">
        <is>
          <t>ED</t>
        </is>
      </c>
      <c r="C24" s="14" t="inlineStr">
        <is>
          <t>Estratégia &amp; Dados</t>
        </is>
      </c>
      <c r="D24" s="14" t="inlineStr">
        <is>
          <t>Planos de ação</t>
        </is>
      </c>
      <c r="E24" s="14" t="inlineStr">
        <is>
          <t>Web</t>
        </is>
      </c>
      <c r="F24" s="14" t="inlineStr">
        <is>
          <t>MVP</t>
        </is>
      </c>
      <c r="G24" s="14" t="inlineStr">
        <is>
          <t>Média</t>
        </is>
      </c>
      <c r="H24" s="14" t="inlineStr">
        <is>
          <t>Não</t>
        </is>
      </c>
      <c r="I24" s="14" t="inlineStr">
        <is>
          <t>CORE</t>
        </is>
      </c>
      <c r="J24" s="14" t="inlineStr">
        <is>
          <t>Ações</t>
        </is>
      </c>
      <c r="K24" t="inlineStr">
        <is>
          <t>MOD-08</t>
        </is>
      </c>
      <c r="L24" t="inlineStr">
        <is>
          <t>MVP (MVP1)</t>
        </is>
      </c>
      <c r="M24" t="inlineStr">
        <is>
          <t>SCR-02/BL-011</t>
        </is>
      </c>
    </row>
    <row r="25">
      <c r="A25" s="14" t="n">
        <v>20</v>
      </c>
      <c r="B25" s="14" t="inlineStr">
        <is>
          <t>ED</t>
        </is>
      </c>
      <c r="C25" s="14" t="inlineStr">
        <is>
          <t>Estratégia &amp; Dados</t>
        </is>
      </c>
      <c r="D25" s="14" t="inlineStr">
        <is>
          <t>Cenários / simulações</t>
        </is>
      </c>
      <c r="E25" s="14" t="inlineStr">
        <is>
          <t>Web</t>
        </is>
      </c>
      <c r="F25" s="14" t="inlineStr">
        <is>
          <t>Fase 2</t>
        </is>
      </c>
      <c r="G25" s="14" t="inlineStr">
        <is>
          <t>Muito alta</t>
        </is>
      </c>
      <c r="H25" s="14" t="inlineStr">
        <is>
          <t>Não</t>
        </is>
      </c>
      <c r="I25" s="14" t="inlineStr">
        <is>
          <t>CORE</t>
        </is>
      </c>
      <c r="J25" s="14" t="inlineStr">
        <is>
          <t>Projeções</t>
        </is>
      </c>
      <c r="K25" t="inlineStr">
        <is>
          <t>MOD-08</t>
        </is>
      </c>
      <c r="L25" t="inlineStr">
        <is>
          <t>Fase 2</t>
        </is>
      </c>
      <c r="M25" t="inlineStr">
        <is>
          <t>SCR-01 (Fase 2)</t>
        </is>
      </c>
    </row>
    <row r="26">
      <c r="A26" s="14" t="n">
        <v>21</v>
      </c>
      <c r="B26" s="14" t="inlineStr">
        <is>
          <t>ED</t>
        </is>
      </c>
      <c r="C26" s="14" t="inlineStr">
        <is>
          <t>Estratégia &amp; Dados</t>
        </is>
      </c>
      <c r="D26" s="14" t="inlineStr">
        <is>
          <t>ROI / valor capturado</t>
        </is>
      </c>
      <c r="E26" s="14" t="inlineStr">
        <is>
          <t>Web</t>
        </is>
      </c>
      <c r="F26" s="14" t="inlineStr">
        <is>
          <t>MVP</t>
        </is>
      </c>
      <c r="G26" s="14" t="inlineStr">
        <is>
          <t>Alta</t>
        </is>
      </c>
      <c r="H26" s="14" t="inlineStr">
        <is>
          <t>Não</t>
        </is>
      </c>
      <c r="I26" s="14" t="inlineStr">
        <is>
          <t>CORE</t>
        </is>
      </c>
      <c r="J26" s="14" t="inlineStr">
        <is>
          <t>Financeiro</t>
        </is>
      </c>
      <c r="K26" t="inlineStr">
        <is>
          <t>MOD-08</t>
        </is>
      </c>
      <c r="L26" t="inlineStr">
        <is>
          <t>MVP (MVP1)</t>
        </is>
      </c>
      <c r="M26" t="inlineStr">
        <is>
          <t>SCR-06/BL-015</t>
        </is>
      </c>
    </row>
    <row r="27">
      <c r="A27" s="14" t="n">
        <v>22</v>
      </c>
      <c r="B27" s="14" t="inlineStr">
        <is>
          <t>ED</t>
        </is>
      </c>
      <c r="C27" s="14" t="inlineStr">
        <is>
          <t>Estratégia &amp; Dados</t>
        </is>
      </c>
      <c r="D27" s="14" t="inlineStr">
        <is>
          <t>Relatórios executivos</t>
        </is>
      </c>
      <c r="E27" s="14" t="inlineStr">
        <is>
          <t>Web</t>
        </is>
      </c>
      <c r="F27" s="14" t="inlineStr">
        <is>
          <t>MVP</t>
        </is>
      </c>
      <c r="G27" s="14" t="inlineStr">
        <is>
          <t>Média</t>
        </is>
      </c>
      <c r="H27" s="14" t="inlineStr">
        <is>
          <t>Não</t>
        </is>
      </c>
      <c r="I27" s="14" t="inlineStr">
        <is>
          <t>CORE</t>
        </is>
      </c>
      <c r="J27" s="14" t="inlineStr">
        <is>
          <t>Exportação</t>
        </is>
      </c>
      <c r="K27" t="inlineStr">
        <is>
          <t>MOD-08</t>
        </is>
      </c>
      <c r="L27" t="inlineStr">
        <is>
          <t>MVP (MVP1)</t>
        </is>
      </c>
      <c r="M27" t="inlineStr">
        <is>
          <t>SCR-01</t>
        </is>
      </c>
    </row>
    <row r="28">
      <c r="A28" s="14" t="n">
        <v>23</v>
      </c>
      <c r="B28" s="14" t="inlineStr">
        <is>
          <t>ED</t>
        </is>
      </c>
      <c r="C28" s="14" t="inlineStr">
        <is>
          <t>Estratégia &amp; Dados</t>
        </is>
      </c>
      <c r="D28" s="14" t="inlineStr">
        <is>
          <t>Alertas estratégicos</t>
        </is>
      </c>
      <c r="E28" s="14" t="inlineStr">
        <is>
          <t>Web</t>
        </is>
      </c>
      <c r="F28" s="14" t="inlineStr">
        <is>
          <t>MVP</t>
        </is>
      </c>
      <c r="G28" s="14" t="inlineStr">
        <is>
          <t>Alta</t>
        </is>
      </c>
      <c r="H28" s="14" t="inlineStr">
        <is>
          <t>Não</t>
        </is>
      </c>
      <c r="I28" s="14" t="inlineStr">
        <is>
          <t>CORE</t>
        </is>
      </c>
      <c r="J28" s="14" t="inlineStr">
        <is>
          <t>Sinais</t>
        </is>
      </c>
      <c r="K28" t="inlineStr">
        <is>
          <t>MOD-08</t>
        </is>
      </c>
      <c r="L28" t="inlineStr">
        <is>
          <t>MVP (MVP1)</t>
        </is>
      </c>
      <c r="M28" t="inlineStr">
        <is>
          <t>SCR-05/BL-010</t>
        </is>
      </c>
    </row>
    <row r="29">
      <c r="A29" s="14" t="n">
        <v>24</v>
      </c>
      <c r="B29" s="14" t="inlineStr">
        <is>
          <t>COL</t>
        </is>
      </c>
      <c r="C29" s="14" t="inlineStr">
        <is>
          <t>Colaboradores / Meu Time</t>
        </is>
      </c>
      <c r="D29" s="14" t="inlineStr">
        <is>
          <t>Meu time</t>
        </is>
      </c>
      <c r="E29" s="14" t="inlineStr">
        <is>
          <t>Web</t>
        </is>
      </c>
      <c r="F29" s="14" t="inlineStr">
        <is>
          <t>MVP</t>
        </is>
      </c>
      <c r="G29" s="14" t="inlineStr">
        <is>
          <t>Alta</t>
        </is>
      </c>
      <c r="H29" s="14" t="inlineStr">
        <is>
          <t>Não</t>
        </is>
      </c>
      <c r="I29" s="14" t="inlineStr">
        <is>
          <t>CORE</t>
        </is>
      </c>
      <c r="J29" s="14" t="inlineStr">
        <is>
          <t>Mapa</t>
        </is>
      </c>
      <c r="K29" t="inlineStr">
        <is>
          <t>MOD-02</t>
        </is>
      </c>
      <c r="L29" t="inlineStr">
        <is>
          <t>MVP (MVP1)</t>
        </is>
      </c>
      <c r="M29" t="inlineStr">
        <is>
          <t>SCR-02</t>
        </is>
      </c>
    </row>
    <row r="30">
      <c r="A30" s="14" t="n">
        <v>25</v>
      </c>
      <c r="B30" s="14" t="inlineStr">
        <is>
          <t>COL</t>
        </is>
      </c>
      <c r="C30" s="14" t="inlineStr">
        <is>
          <t>Colaboradores / Meu Time</t>
        </is>
      </c>
      <c r="D30" s="14" t="inlineStr">
        <is>
          <t>Perfil do colaborador</t>
        </is>
      </c>
      <c r="E30" s="14" t="inlineStr">
        <is>
          <t>Web</t>
        </is>
      </c>
      <c r="F30" s="14" t="inlineStr">
        <is>
          <t>MVP</t>
        </is>
      </c>
      <c r="G30" s="14" t="inlineStr">
        <is>
          <t>Média</t>
        </is>
      </c>
      <c r="H30" s="14" t="inlineStr">
        <is>
          <t>Parcial</t>
        </is>
      </c>
      <c r="I30" s="14" t="inlineStr">
        <is>
          <t>CORE</t>
        </is>
      </c>
      <c r="J30" s="14" t="inlineStr">
        <is>
          <t>360</t>
        </is>
      </c>
      <c r="K30" t="inlineStr">
        <is>
          <t>MOD-02</t>
        </is>
      </c>
      <c r="L30" t="inlineStr">
        <is>
          <t>MVP (MVP1)</t>
        </is>
      </c>
      <c r="M30" t="inlineStr">
        <is>
          <t>MOD-02</t>
        </is>
      </c>
    </row>
    <row r="31">
      <c r="A31" s="14" t="n">
        <v>26</v>
      </c>
      <c r="B31" s="14" t="inlineStr">
        <is>
          <t>COL</t>
        </is>
      </c>
      <c r="C31" s="14" t="inlineStr">
        <is>
          <t>Colaboradores / Meu Time</t>
        </is>
      </c>
      <c r="D31" s="14" t="inlineStr">
        <is>
          <t>Objetivos e combinados</t>
        </is>
      </c>
      <c r="E31" s="14" t="inlineStr">
        <is>
          <t>Web</t>
        </is>
      </c>
      <c r="F31" s="14" t="inlineStr">
        <is>
          <t>MVP</t>
        </is>
      </c>
      <c r="G31" s="14" t="inlineStr">
        <is>
          <t>Média</t>
        </is>
      </c>
      <c r="H31" s="14" t="inlineStr">
        <is>
          <t>Não</t>
        </is>
      </c>
      <c r="I31" s="14" t="inlineStr">
        <is>
          <t>CORE</t>
        </is>
      </c>
      <c r="J31" s="14" t="inlineStr">
        <is>
          <t>Metas</t>
        </is>
      </c>
      <c r="K31" t="inlineStr">
        <is>
          <t>MOD-02</t>
        </is>
      </c>
      <c r="L31" t="inlineStr">
        <is>
          <t>MVP (MVP1)</t>
        </is>
      </c>
      <c r="M31" t="inlineStr">
        <is>
          <t>KPI-PERF-01/SCR-02</t>
        </is>
      </c>
    </row>
    <row r="32">
      <c r="A32" s="14" t="n">
        <v>27</v>
      </c>
      <c r="B32" s="14" t="inlineStr">
        <is>
          <t>COL</t>
        </is>
      </c>
      <c r="C32" s="14" t="inlineStr">
        <is>
          <t>Colaboradores / Meu Time</t>
        </is>
      </c>
      <c r="D32" s="14" t="inlineStr">
        <is>
          <t>Competências</t>
        </is>
      </c>
      <c r="E32" s="14" t="inlineStr">
        <is>
          <t>Web</t>
        </is>
      </c>
      <c r="F32" s="14" t="inlineStr">
        <is>
          <t>MVP</t>
        </is>
      </c>
      <c r="G32" s="14" t="inlineStr">
        <is>
          <t>Média</t>
        </is>
      </c>
      <c r="H32" s="14" t="inlineStr">
        <is>
          <t>Não</t>
        </is>
      </c>
      <c r="I32" s="14" t="inlineStr">
        <is>
          <t>CORE</t>
        </is>
      </c>
      <c r="J32" s="14" t="inlineStr">
        <is>
          <t>Skills</t>
        </is>
      </c>
      <c r="K32" t="inlineStr">
        <is>
          <t>MOD-02</t>
        </is>
      </c>
      <c r="L32" t="inlineStr">
        <is>
          <t>MVP (MVP1)</t>
        </is>
      </c>
      <c r="M32" t="inlineStr">
        <is>
          <t>MOD-02</t>
        </is>
      </c>
    </row>
    <row r="33">
      <c r="A33" s="14" t="n">
        <v>28</v>
      </c>
      <c r="B33" s="14" t="inlineStr">
        <is>
          <t>COL</t>
        </is>
      </c>
      <c r="C33" s="14" t="inlineStr">
        <is>
          <t>Colaboradores / Meu Time</t>
        </is>
      </c>
      <c r="D33" s="14" t="inlineStr">
        <is>
          <t>Feedbacks / check-ins</t>
        </is>
      </c>
      <c r="E33" s="14" t="inlineStr">
        <is>
          <t>Web/Mobile</t>
        </is>
      </c>
      <c r="F33" s="14" t="inlineStr">
        <is>
          <t>MVP</t>
        </is>
      </c>
      <c r="G33" s="14" t="inlineStr">
        <is>
          <t>Média</t>
        </is>
      </c>
      <c r="H33" s="14" t="inlineStr">
        <is>
          <t>Não</t>
        </is>
      </c>
      <c r="I33" s="14" t="inlineStr">
        <is>
          <t>CORE</t>
        </is>
      </c>
      <c r="J33" s="14" t="inlineStr">
        <is>
          <t>Ciclo</t>
        </is>
      </c>
      <c r="K33" t="inlineStr">
        <is>
          <t>MOD-02</t>
        </is>
      </c>
      <c r="L33" t="inlineStr">
        <is>
          <t>MVP (MVP1)</t>
        </is>
      </c>
      <c r="M33" t="inlineStr">
        <is>
          <t>BL-009</t>
        </is>
      </c>
    </row>
    <row r="34">
      <c r="A34" s="14" t="n">
        <v>29</v>
      </c>
      <c r="B34" s="14" t="inlineStr">
        <is>
          <t>COL</t>
        </is>
      </c>
      <c r="C34" s="14" t="inlineStr">
        <is>
          <t>Colaboradores / Meu Time</t>
        </is>
      </c>
      <c r="D34" s="14" t="inlineStr">
        <is>
          <t>Plano de desenvolvimento</t>
        </is>
      </c>
      <c r="E34" s="14" t="inlineStr">
        <is>
          <t>Web</t>
        </is>
      </c>
      <c r="F34" s="14" t="inlineStr">
        <is>
          <t>MVP</t>
        </is>
      </c>
      <c r="G34" s="14" t="inlineStr">
        <is>
          <t>Média</t>
        </is>
      </c>
      <c r="H34" s="14" t="inlineStr">
        <is>
          <t>Parcial</t>
        </is>
      </c>
      <c r="I34" s="14" t="inlineStr">
        <is>
          <t>CORE</t>
        </is>
      </c>
      <c r="J34" s="14" t="inlineStr">
        <is>
          <t>PDI</t>
        </is>
      </c>
      <c r="K34" t="inlineStr">
        <is>
          <t>MOD-02</t>
        </is>
      </c>
      <c r="L34" t="inlineStr">
        <is>
          <t>MVP (MVP1)</t>
        </is>
      </c>
      <c r="M34" t="inlineStr">
        <is>
          <t>MOD-02</t>
        </is>
      </c>
    </row>
    <row r="35">
      <c r="A35" s="14" t="n">
        <v>30</v>
      </c>
      <c r="B35" s="14" t="inlineStr">
        <is>
          <t>COL</t>
        </is>
      </c>
      <c r="C35" s="14" t="inlineStr">
        <is>
          <t>Colaboradores / Meu Time</t>
        </is>
      </c>
      <c r="D35" s="14" t="inlineStr">
        <is>
          <t>Mentorias</t>
        </is>
      </c>
      <c r="E35" s="14" t="inlineStr">
        <is>
          <t>Web</t>
        </is>
      </c>
      <c r="F35" s="14" t="inlineStr">
        <is>
          <t>MVP+1</t>
        </is>
      </c>
      <c r="G35" s="14" t="inlineStr">
        <is>
          <t>Média</t>
        </is>
      </c>
      <c r="H35" s="14" t="inlineStr">
        <is>
          <t>Não</t>
        </is>
      </c>
      <c r="I35" s="14" t="inlineStr">
        <is>
          <t>CORE</t>
        </is>
      </c>
      <c r="J35" s="14" t="inlineStr">
        <is>
          <t>Matching</t>
        </is>
      </c>
      <c r="K35" t="inlineStr">
        <is>
          <t>MOD-03</t>
        </is>
      </c>
      <c r="L35" t="inlineStr">
        <is>
          <t>MVP+1 (MVP2)</t>
        </is>
      </c>
      <c r="M35" t="inlineStr">
        <is>
          <t>MOD-03</t>
        </is>
      </c>
    </row>
    <row r="36">
      <c r="A36" s="14" t="n">
        <v>31</v>
      </c>
      <c r="B36" s="14" t="inlineStr">
        <is>
          <t>COL</t>
        </is>
      </c>
      <c r="C36" s="14" t="inlineStr">
        <is>
          <t>Colaboradores / Meu Time</t>
        </is>
      </c>
      <c r="D36" s="14" t="inlineStr">
        <is>
          <t>Aprendizagem / trilhas</t>
        </is>
      </c>
      <c r="E36" s="14" t="inlineStr">
        <is>
          <t>Web</t>
        </is>
      </c>
      <c r="F36" s="14" t="inlineStr">
        <is>
          <t>MVP+1</t>
        </is>
      </c>
      <c r="G36" s="14" t="inlineStr">
        <is>
          <t>Média</t>
        </is>
      </c>
      <c r="H36" s="14" t="inlineStr">
        <is>
          <t>Não</t>
        </is>
      </c>
      <c r="I36" s="14" t="inlineStr">
        <is>
          <t>CORE</t>
        </is>
      </c>
      <c r="J36" s="14" t="inlineStr">
        <is>
          <t>Conteúdo</t>
        </is>
      </c>
      <c r="K36" t="inlineStr">
        <is>
          <t>MOD-03</t>
        </is>
      </c>
      <c r="L36" t="inlineStr">
        <is>
          <t>MVP+1 (MVP2)</t>
        </is>
      </c>
      <c r="M36" t="inlineStr">
        <is>
          <t>MOD-03</t>
        </is>
      </c>
    </row>
    <row r="37">
      <c r="A37" s="14" t="n">
        <v>32</v>
      </c>
      <c r="B37" s="14" t="inlineStr">
        <is>
          <t>COL</t>
        </is>
      </c>
      <c r="C37" s="14" t="inlineStr">
        <is>
          <t>Colaboradores / Meu Time</t>
        </is>
      </c>
      <c r="D37" s="14" t="inlineStr">
        <is>
          <t>Talentos internos / mobilidade</t>
        </is>
      </c>
      <c r="E37" s="14" t="inlineStr">
        <is>
          <t>Web</t>
        </is>
      </c>
      <c r="F37" s="14" t="inlineStr">
        <is>
          <t>MVP+1</t>
        </is>
      </c>
      <c r="G37" s="14" t="inlineStr">
        <is>
          <t>Alta</t>
        </is>
      </c>
      <c r="H37" s="14" t="inlineStr">
        <is>
          <t>Não</t>
        </is>
      </c>
      <c r="I37" s="14" t="inlineStr">
        <is>
          <t>CORE</t>
        </is>
      </c>
      <c r="J37" s="14" t="inlineStr">
        <is>
          <t>Oportunidades</t>
        </is>
      </c>
      <c r="K37" t="inlineStr">
        <is>
          <t>MOD-03</t>
        </is>
      </c>
      <c r="L37" t="inlineStr">
        <is>
          <t>MVP+1 (MVP2)</t>
        </is>
      </c>
      <c r="M37" t="inlineStr">
        <is>
          <t>KPI-PEO-03</t>
        </is>
      </c>
    </row>
    <row r="38">
      <c r="A38" s="14" t="n">
        <v>33</v>
      </c>
      <c r="B38" s="14" t="inlineStr">
        <is>
          <t>COL</t>
        </is>
      </c>
      <c r="C38" s="14" t="inlineStr">
        <is>
          <t>Colaboradores / Meu Time</t>
        </is>
      </c>
      <c r="D38" s="14" t="inlineStr">
        <is>
          <t>Sucessão</t>
        </is>
      </c>
      <c r="E38" s="14" t="inlineStr">
        <is>
          <t>Web</t>
        </is>
      </c>
      <c r="F38" s="14" t="inlineStr">
        <is>
          <t>MVP+1</t>
        </is>
      </c>
      <c r="G38" s="14" t="inlineStr">
        <is>
          <t>Alta</t>
        </is>
      </c>
      <c r="H38" s="14" t="inlineStr">
        <is>
          <t>Não</t>
        </is>
      </c>
      <c r="I38" s="14" t="inlineStr">
        <is>
          <t>CORE</t>
        </is>
      </c>
      <c r="J38" s="14" t="inlineStr">
        <is>
          <t>Prontidão</t>
        </is>
      </c>
      <c r="K38" t="inlineStr">
        <is>
          <t>MOD-03</t>
        </is>
      </c>
      <c r="L38" t="inlineStr">
        <is>
          <t>MVP+1 (MVP2)</t>
        </is>
      </c>
      <c r="M38" t="inlineStr">
        <is>
          <t>MOD-03</t>
        </is>
      </c>
    </row>
    <row r="39">
      <c r="A39" s="14" t="n">
        <v>34</v>
      </c>
      <c r="B39" s="14" t="inlineStr">
        <is>
          <t>COL</t>
        </is>
      </c>
      <c r="C39" s="14" t="inlineStr">
        <is>
          <t>Colaboradores / Meu Time</t>
        </is>
      </c>
      <c r="D39" s="14" t="inlineStr">
        <is>
          <t>Saúde do time / alertas</t>
        </is>
      </c>
      <c r="E39" s="14" t="inlineStr">
        <is>
          <t>Web</t>
        </is>
      </c>
      <c r="F39" s="14" t="inlineStr">
        <is>
          <t>MVP</t>
        </is>
      </c>
      <c r="G39" s="14" t="inlineStr">
        <is>
          <t>Alta</t>
        </is>
      </c>
      <c r="H39" s="14" t="inlineStr">
        <is>
          <t>Não</t>
        </is>
      </c>
      <c r="I39" s="14" t="inlineStr">
        <is>
          <t>CORE</t>
        </is>
      </c>
      <c r="J39" s="14" t="inlineStr">
        <is>
          <t>Risco</t>
        </is>
      </c>
      <c r="K39" t="inlineStr">
        <is>
          <t>MOD-02</t>
        </is>
      </c>
      <c r="L39" t="inlineStr">
        <is>
          <t>MVP (MVP1)</t>
        </is>
      </c>
      <c r="M39" t="inlineStr">
        <is>
          <t>ALT-01/SCR-02</t>
        </is>
      </c>
    </row>
    <row r="40">
      <c r="A40" s="14" t="n">
        <v>35</v>
      </c>
      <c r="B40" s="14" t="inlineStr">
        <is>
          <t>CAN</t>
        </is>
      </c>
      <c r="C40" s="14" t="inlineStr">
        <is>
          <t>Candidatos &amp; Carreira</t>
        </is>
      </c>
      <c r="D40" s="14" t="inlineStr">
        <is>
          <t>Perfil do candidato</t>
        </is>
      </c>
      <c r="E40" s="14" t="inlineStr">
        <is>
          <t>Web/Mobile</t>
        </is>
      </c>
      <c r="F40" s="14" t="inlineStr">
        <is>
          <t>MVP+1</t>
        </is>
      </c>
      <c r="G40" s="14" t="inlineStr">
        <is>
          <t>Média</t>
        </is>
      </c>
      <c r="H40" s="14" t="inlineStr">
        <is>
          <t>Parcial</t>
        </is>
      </c>
      <c r="I40" s="14" t="inlineStr">
        <is>
          <t>CORE</t>
        </is>
      </c>
      <c r="J40" s="14" t="inlineStr">
        <is>
          <t>Perfil</t>
        </is>
      </c>
      <c r="K40" t="inlineStr">
        <is>
          <t>MOD-03</t>
        </is>
      </c>
      <c r="L40" t="inlineStr">
        <is>
          <t>MVP+1 (MVP2)</t>
        </is>
      </c>
      <c r="M40" t="inlineStr">
        <is>
          <t>PER-07</t>
        </is>
      </c>
    </row>
    <row r="41">
      <c r="A41" s="14" t="n">
        <v>36</v>
      </c>
      <c r="B41" s="14" t="inlineStr">
        <is>
          <t>CAN</t>
        </is>
      </c>
      <c r="C41" s="14" t="inlineStr">
        <is>
          <t>Candidatos &amp; Carreira</t>
        </is>
      </c>
      <c r="D41" s="14" t="inlineStr">
        <is>
          <t>Currículo / portfólio</t>
        </is>
      </c>
      <c r="E41" s="14" t="inlineStr">
        <is>
          <t>Web/Mobile</t>
        </is>
      </c>
      <c r="F41" s="14" t="inlineStr">
        <is>
          <t>MVP+1</t>
        </is>
      </c>
      <c r="G41" s="14" t="inlineStr">
        <is>
          <t>Média</t>
        </is>
      </c>
      <c r="H41" s="14" t="inlineStr">
        <is>
          <t>Não</t>
        </is>
      </c>
      <c r="I41" s="14" t="inlineStr">
        <is>
          <t>CORE</t>
        </is>
      </c>
      <c r="J41" s="14" t="inlineStr">
        <is>
          <t>Evidências</t>
        </is>
      </c>
      <c r="K41" t="inlineStr">
        <is>
          <t>MOD-03</t>
        </is>
      </c>
      <c r="L41" t="inlineStr">
        <is>
          <t>MVP+1 (MVP2)</t>
        </is>
      </c>
      <c r="M41" t="inlineStr">
        <is>
          <t>MOD-03</t>
        </is>
      </c>
    </row>
    <row r="42">
      <c r="A42" s="14" t="n">
        <v>37</v>
      </c>
      <c r="B42" s="14" t="inlineStr">
        <is>
          <t>CAN</t>
        </is>
      </c>
      <c r="C42" s="14" t="inlineStr">
        <is>
          <t>Candidatos &amp; Carreira</t>
        </is>
      </c>
      <c r="D42" s="14" t="inlineStr">
        <is>
          <t>Competências e interesses</t>
        </is>
      </c>
      <c r="E42" s="14" t="inlineStr">
        <is>
          <t>Web/Mobile</t>
        </is>
      </c>
      <c r="F42" s="14" t="inlineStr">
        <is>
          <t>MVP+1</t>
        </is>
      </c>
      <c r="G42" s="14" t="inlineStr">
        <is>
          <t>Média</t>
        </is>
      </c>
      <c r="H42" s="14" t="inlineStr">
        <is>
          <t>Não</t>
        </is>
      </c>
      <c r="I42" s="14" t="inlineStr">
        <is>
          <t>CORE</t>
        </is>
      </c>
      <c r="J42" s="14" t="inlineStr">
        <is>
          <t>Skills</t>
        </is>
      </c>
      <c r="K42" t="inlineStr">
        <is>
          <t>MOD-03</t>
        </is>
      </c>
      <c r="L42" t="inlineStr">
        <is>
          <t>MVP+1 (MVP2)</t>
        </is>
      </c>
      <c r="M42" t="inlineStr">
        <is>
          <t>MOD-03</t>
        </is>
      </c>
    </row>
    <row r="43">
      <c r="A43" s="14" t="n">
        <v>38</v>
      </c>
      <c r="B43" s="14" t="inlineStr">
        <is>
          <t>CAN</t>
        </is>
      </c>
      <c r="C43" s="14" t="inlineStr">
        <is>
          <t>Candidatos &amp; Carreira</t>
        </is>
      </c>
      <c r="D43" s="14" t="inlineStr">
        <is>
          <t>Oportunidades recomendadas</t>
        </is>
      </c>
      <c r="E43" s="14" t="inlineStr">
        <is>
          <t>Web/Mobile</t>
        </is>
      </c>
      <c r="F43" s="14" t="inlineStr">
        <is>
          <t>MVP+1</t>
        </is>
      </c>
      <c r="G43" s="14" t="inlineStr">
        <is>
          <t>Alta</t>
        </is>
      </c>
      <c r="H43" s="14" t="inlineStr">
        <is>
          <t>Não</t>
        </is>
      </c>
      <c r="I43" s="14" t="inlineStr">
        <is>
          <t>CORE</t>
        </is>
      </c>
      <c r="J43" s="14" t="inlineStr">
        <is>
          <t>Feed</t>
        </is>
      </c>
      <c r="K43" t="inlineStr">
        <is>
          <t>MOD-03</t>
        </is>
      </c>
      <c r="L43" t="inlineStr">
        <is>
          <t>MVP+1 (MVP2)</t>
        </is>
      </c>
      <c r="M43" t="inlineStr">
        <is>
          <t>BL-019</t>
        </is>
      </c>
    </row>
    <row r="44">
      <c r="A44" s="14" t="n">
        <v>39</v>
      </c>
      <c r="B44" s="14" t="inlineStr">
        <is>
          <t>CAN</t>
        </is>
      </c>
      <c r="C44" s="14" t="inlineStr">
        <is>
          <t>Candidatos &amp; Carreira</t>
        </is>
      </c>
      <c r="D44" s="14" t="inlineStr">
        <is>
          <t>Detalhe da oportunidade</t>
        </is>
      </c>
      <c r="E44" s="14" t="inlineStr">
        <is>
          <t>Web/Mobile</t>
        </is>
      </c>
      <c r="F44" s="14" t="inlineStr">
        <is>
          <t>MVP+1</t>
        </is>
      </c>
      <c r="G44" s="14" t="inlineStr">
        <is>
          <t>Baixa</t>
        </is>
      </c>
      <c r="H44" s="14" t="inlineStr">
        <is>
          <t>Não</t>
        </is>
      </c>
      <c r="I44" s="14" t="inlineStr">
        <is>
          <t>CORE</t>
        </is>
      </c>
      <c r="J44" s="14" t="inlineStr">
        <is>
          <t>Vaga/projeto</t>
        </is>
      </c>
      <c r="K44" t="inlineStr">
        <is>
          <t>MOD-03</t>
        </is>
      </c>
      <c r="L44" t="inlineStr">
        <is>
          <t>MVP+1 (MVP2)</t>
        </is>
      </c>
      <c r="M44" t="inlineStr">
        <is>
          <t>BL-019</t>
        </is>
      </c>
    </row>
    <row r="45">
      <c r="A45" s="14" t="n">
        <v>40</v>
      </c>
      <c r="B45" s="14" t="inlineStr">
        <is>
          <t>CAN</t>
        </is>
      </c>
      <c r="C45" s="14" t="inlineStr">
        <is>
          <t>Candidatos &amp; Carreira</t>
        </is>
      </c>
      <c r="D45" s="14" t="inlineStr">
        <is>
          <t>Candidatura</t>
        </is>
      </c>
      <c r="E45" s="14" t="inlineStr">
        <is>
          <t>Web/Mobile</t>
        </is>
      </c>
      <c r="F45" s="14" t="inlineStr">
        <is>
          <t>MVP+1</t>
        </is>
      </c>
      <c r="G45" s="14" t="inlineStr">
        <is>
          <t>Média</t>
        </is>
      </c>
      <c r="H45" s="14" t="inlineStr">
        <is>
          <t>Não</t>
        </is>
      </c>
      <c r="I45" s="14" t="inlineStr">
        <is>
          <t>CORE</t>
        </is>
      </c>
      <c r="J45" s="14" t="inlineStr">
        <is>
          <t>Aplicação</t>
        </is>
      </c>
      <c r="K45" t="inlineStr">
        <is>
          <t>MOD-03</t>
        </is>
      </c>
      <c r="L45" t="inlineStr">
        <is>
          <t>MVP+1 (MVP2)</t>
        </is>
      </c>
      <c r="M45" t="inlineStr">
        <is>
          <t>BL-019</t>
        </is>
      </c>
    </row>
    <row r="46">
      <c r="A46" s="14" t="n">
        <v>41</v>
      </c>
      <c r="B46" s="14" t="inlineStr">
        <is>
          <t>CAN</t>
        </is>
      </c>
      <c r="C46" s="14" t="inlineStr">
        <is>
          <t>Candidatos &amp; Carreira</t>
        </is>
      </c>
      <c r="D46" s="14" t="inlineStr">
        <is>
          <t>Match candidato-vaga</t>
        </is>
      </c>
      <c r="E46" s="14" t="inlineStr">
        <is>
          <t>Web</t>
        </is>
      </c>
      <c r="F46" s="14" t="inlineStr">
        <is>
          <t>MVP+1</t>
        </is>
      </c>
      <c r="G46" s="14" t="inlineStr">
        <is>
          <t>Muito alta</t>
        </is>
      </c>
      <c r="H46" s="14" t="inlineStr">
        <is>
          <t>Não</t>
        </is>
      </c>
      <c r="I46" s="14" t="inlineStr">
        <is>
          <t>CORE</t>
        </is>
      </c>
      <c r="J46" s="14" t="inlineStr">
        <is>
          <t>Aderência</t>
        </is>
      </c>
      <c r="K46" t="inlineStr">
        <is>
          <t>MOD-03</t>
        </is>
      </c>
      <c r="L46" t="inlineStr">
        <is>
          <t>MVP+1 (MVP2)</t>
        </is>
      </c>
      <c r="M46" t="inlineStr">
        <is>
          <t>BL-019</t>
        </is>
      </c>
    </row>
    <row r="47">
      <c r="A47" s="14" t="n">
        <v>42</v>
      </c>
      <c r="B47" s="14" t="inlineStr">
        <is>
          <t>CAN</t>
        </is>
      </c>
      <c r="C47" s="14" t="inlineStr">
        <is>
          <t>Candidatos &amp; Carreira</t>
        </is>
      </c>
      <c r="D47" s="14" t="inlineStr">
        <is>
          <t>Minha jornada</t>
        </is>
      </c>
      <c r="E47" s="14" t="inlineStr">
        <is>
          <t>Web/Mobile</t>
        </is>
      </c>
      <c r="F47" s="14" t="inlineStr">
        <is>
          <t>MVP+1</t>
        </is>
      </c>
      <c r="G47" s="14" t="inlineStr">
        <is>
          <t>Média</t>
        </is>
      </c>
      <c r="H47" s="14" t="inlineStr">
        <is>
          <t>Não</t>
        </is>
      </c>
      <c r="I47" s="14" t="inlineStr">
        <is>
          <t>CORE</t>
        </is>
      </c>
      <c r="J47" s="14" t="inlineStr">
        <is>
          <t>Progresso</t>
        </is>
      </c>
      <c r="K47" t="inlineStr">
        <is>
          <t>MOD-03</t>
        </is>
      </c>
      <c r="L47" t="inlineStr">
        <is>
          <t>MVP+1 (MVP2)</t>
        </is>
      </c>
      <c r="M47" t="inlineStr">
        <is>
          <t>SCR-03</t>
        </is>
      </c>
    </row>
    <row r="48">
      <c r="A48" s="14" t="n">
        <v>43</v>
      </c>
      <c r="B48" s="14" t="inlineStr">
        <is>
          <t>CAN</t>
        </is>
      </c>
      <c r="C48" s="14" t="inlineStr">
        <is>
          <t>Candidatos &amp; Carreira</t>
        </is>
      </c>
      <c r="D48" s="14" t="inlineStr">
        <is>
          <t>Capacitação recomendada</t>
        </is>
      </c>
      <c r="E48" s="14" t="inlineStr">
        <is>
          <t>Web/Mobile</t>
        </is>
      </c>
      <c r="F48" s="14" t="inlineStr">
        <is>
          <t>MVP+1</t>
        </is>
      </c>
      <c r="G48" s="14" t="inlineStr">
        <is>
          <t>Alta</t>
        </is>
      </c>
      <c r="H48" s="14" t="inlineStr">
        <is>
          <t>Não</t>
        </is>
      </c>
      <c r="I48" s="14" t="inlineStr">
        <is>
          <t>CORE</t>
        </is>
      </c>
      <c r="J48" s="14" t="inlineStr">
        <is>
          <t>Gap-&gt;trilha</t>
        </is>
      </c>
      <c r="K48" t="inlineStr">
        <is>
          <t>MOD-03</t>
        </is>
      </c>
      <c r="L48" t="inlineStr">
        <is>
          <t>MVP+1 (MVP2)</t>
        </is>
      </c>
      <c r="M48" t="inlineStr">
        <is>
          <t>MOD-03</t>
        </is>
      </c>
    </row>
    <row r="49">
      <c r="A49" s="14" t="n">
        <v>44</v>
      </c>
      <c r="B49" s="14" t="inlineStr">
        <is>
          <t>CAN</t>
        </is>
      </c>
      <c r="C49" s="14" t="inlineStr">
        <is>
          <t>Candidatos &amp; Carreira</t>
        </is>
      </c>
      <c r="D49" s="14" t="inlineStr">
        <is>
          <t>Mentoria / preparação</t>
        </is>
      </c>
      <c r="E49" s="14" t="inlineStr">
        <is>
          <t>Web/Mobile</t>
        </is>
      </c>
      <c r="F49" s="14" t="inlineStr">
        <is>
          <t>MVP+1</t>
        </is>
      </c>
      <c r="G49" s="14" t="inlineStr">
        <is>
          <t>Média</t>
        </is>
      </c>
      <c r="H49" s="14" t="inlineStr">
        <is>
          <t>Não</t>
        </is>
      </c>
      <c r="I49" s="14" t="inlineStr">
        <is>
          <t>CORE</t>
        </is>
      </c>
      <c r="J49" s="14" t="inlineStr">
        <is>
          <t>Carreira</t>
        </is>
      </c>
      <c r="K49" t="inlineStr">
        <is>
          <t>MOD-03</t>
        </is>
      </c>
      <c r="L49" t="inlineStr">
        <is>
          <t>MVP+1 (MVP2)</t>
        </is>
      </c>
      <c r="M49" t="inlineStr">
        <is>
          <t>MOD-03</t>
        </is>
      </c>
    </row>
    <row r="50">
      <c r="A50" s="14" t="n">
        <v>45</v>
      </c>
      <c r="B50" s="14" t="inlineStr">
        <is>
          <t>CAN</t>
        </is>
      </c>
      <c r="C50" s="14" t="inlineStr">
        <is>
          <t>Candidatos &amp; Carreira</t>
        </is>
      </c>
      <c r="D50" s="14" t="inlineStr">
        <is>
          <t>Feedbacks do processo</t>
        </is>
      </c>
      <c r="E50" s="14" t="inlineStr">
        <is>
          <t>Web/Mobile</t>
        </is>
      </c>
      <c r="F50" s="14" t="inlineStr">
        <is>
          <t>MVP+1</t>
        </is>
      </c>
      <c r="G50" s="14" t="inlineStr">
        <is>
          <t>Média</t>
        </is>
      </c>
      <c r="H50" s="14" t="inlineStr">
        <is>
          <t>Não</t>
        </is>
      </c>
      <c r="I50" s="14" t="inlineStr">
        <is>
          <t>CORE</t>
        </is>
      </c>
      <c r="J50" s="14" t="inlineStr">
        <is>
          <t>Retorno</t>
        </is>
      </c>
      <c r="K50" t="inlineStr">
        <is>
          <t>MOD-03</t>
        </is>
      </c>
      <c r="L50" t="inlineStr">
        <is>
          <t>MVP+1 (MVP2)</t>
        </is>
      </c>
      <c r="M50" t="inlineStr">
        <is>
          <t>MOD-03</t>
        </is>
      </c>
    </row>
    <row r="51">
      <c r="A51" s="14" t="n">
        <v>46</v>
      </c>
      <c r="B51" s="14" t="inlineStr">
        <is>
          <t>CAN</t>
        </is>
      </c>
      <c r="C51" s="14" t="inlineStr">
        <is>
          <t>Candidatos &amp; Carreira</t>
        </is>
      </c>
      <c r="D51" s="14" t="inlineStr">
        <is>
          <t>Painel empresa - talentos</t>
        </is>
      </c>
      <c r="E51" s="14" t="inlineStr">
        <is>
          <t>Web</t>
        </is>
      </c>
      <c r="F51" s="14" t="inlineStr">
        <is>
          <t>MVP+1</t>
        </is>
      </c>
      <c r="G51" s="14" t="inlineStr">
        <is>
          <t>Alta</t>
        </is>
      </c>
      <c r="H51" s="14" t="inlineStr">
        <is>
          <t>Não</t>
        </is>
      </c>
      <c r="I51" s="14" t="inlineStr">
        <is>
          <t>CORE</t>
        </is>
      </c>
      <c r="J51" s="14" t="inlineStr">
        <is>
          <t>Shortlist</t>
        </is>
      </c>
      <c r="K51" t="inlineStr">
        <is>
          <t>MOD-03</t>
        </is>
      </c>
      <c r="L51" t="inlineStr">
        <is>
          <t>MVP+1 (MVP2)</t>
        </is>
      </c>
      <c r="M51" t="inlineStr">
        <is>
          <t>MOD-03</t>
        </is>
      </c>
    </row>
    <row r="52">
      <c r="A52" s="14" t="n">
        <v>47</v>
      </c>
      <c r="B52" s="14" t="inlineStr">
        <is>
          <t>CAN</t>
        </is>
      </c>
      <c r="C52" s="14" t="inlineStr">
        <is>
          <t>Candidatos &amp; Carreira</t>
        </is>
      </c>
      <c r="D52" s="14" t="inlineStr">
        <is>
          <t>Inteligência de vagas</t>
        </is>
      </c>
      <c r="E52" s="14" t="inlineStr">
        <is>
          <t>Web</t>
        </is>
      </c>
      <c r="F52" s="14" t="inlineStr">
        <is>
          <t>Fase 2</t>
        </is>
      </c>
      <c r="G52" s="14" t="inlineStr">
        <is>
          <t>Muito alta</t>
        </is>
      </c>
      <c r="H52" s="14" t="inlineStr">
        <is>
          <t>Não</t>
        </is>
      </c>
      <c r="I52" s="14" t="inlineStr">
        <is>
          <t>CORE</t>
        </is>
      </c>
      <c r="J52" s="14" t="inlineStr">
        <is>
          <t>Requisitos por evidência</t>
        </is>
      </c>
      <c r="K52" t="inlineStr">
        <is>
          <t>MOD-03</t>
        </is>
      </c>
      <c r="L52" t="inlineStr">
        <is>
          <t>Fase 2</t>
        </is>
      </c>
      <c r="M52" t="inlineStr">
        <is>
          <t>Fase 2 — sem ref direta</t>
        </is>
      </c>
    </row>
    <row r="53">
      <c r="A53" s="14" t="n">
        <v>48</v>
      </c>
      <c r="B53" s="14" t="inlineStr">
        <is>
          <t>FOR</t>
        </is>
      </c>
      <c r="C53" s="14" t="inlineStr">
        <is>
          <t>Fornecedores &amp; Negócios</t>
        </is>
      </c>
      <c r="D53" s="14" t="inlineStr">
        <is>
          <t>Perfil do fornecedor</t>
        </is>
      </c>
      <c r="E53" s="14" t="inlineStr">
        <is>
          <t>Web</t>
        </is>
      </c>
      <c r="F53" s="14" t="inlineStr">
        <is>
          <t>MVP+1</t>
        </is>
      </c>
      <c r="G53" s="14" t="inlineStr">
        <is>
          <t>Média</t>
        </is>
      </c>
      <c r="H53" s="14" t="inlineStr">
        <is>
          <t>Parcial</t>
        </is>
      </c>
      <c r="I53" s="14" t="inlineStr">
        <is>
          <t>CORE</t>
        </is>
      </c>
      <c r="J53" s="14" t="inlineStr">
        <is>
          <t>Capacidades</t>
        </is>
      </c>
      <c r="K53" t="inlineStr">
        <is>
          <t>MOD-05</t>
        </is>
      </c>
      <c r="L53" t="inlineStr">
        <is>
          <t>MVP+1 (MVP3)</t>
        </is>
      </c>
      <c r="M53" t="inlineStr">
        <is>
          <t>PER-08</t>
        </is>
      </c>
    </row>
    <row r="54">
      <c r="A54" s="14" t="n">
        <v>49</v>
      </c>
      <c r="B54" s="14" t="inlineStr">
        <is>
          <t>FOR</t>
        </is>
      </c>
      <c r="C54" s="14" t="inlineStr">
        <is>
          <t>Fornecedores &amp; Negócios</t>
        </is>
      </c>
      <c r="D54" s="14" t="inlineStr">
        <is>
          <t>Documentos e compliance</t>
        </is>
      </c>
      <c r="E54" s="14" t="inlineStr">
        <is>
          <t>Web</t>
        </is>
      </c>
      <c r="F54" s="14" t="inlineStr">
        <is>
          <t>MVP+1</t>
        </is>
      </c>
      <c r="G54" s="14" t="inlineStr">
        <is>
          <t>Alta</t>
        </is>
      </c>
      <c r="H54" s="14" t="inlineStr">
        <is>
          <t>Não</t>
        </is>
      </c>
      <c r="I54" s="14" t="inlineStr">
        <is>
          <t>CORE</t>
        </is>
      </c>
      <c r="J54" s="14" t="inlineStr">
        <is>
          <t>Certificações</t>
        </is>
      </c>
      <c r="K54" t="inlineStr">
        <is>
          <t>MOD-05</t>
        </is>
      </c>
      <c r="L54" t="inlineStr">
        <is>
          <t>MVP+1 (MVP3)</t>
        </is>
      </c>
      <c r="M54" t="inlineStr">
        <is>
          <t>MOD-05</t>
        </is>
      </c>
    </row>
    <row r="55">
      <c r="A55" s="14" t="n">
        <v>50</v>
      </c>
      <c r="B55" s="14" t="inlineStr">
        <is>
          <t>FOR</t>
        </is>
      </c>
      <c r="C55" s="14" t="inlineStr">
        <is>
          <t>Fornecedores &amp; Negócios</t>
        </is>
      </c>
      <c r="D55" s="14" t="inlineStr">
        <is>
          <t>Maturidade</t>
        </is>
      </c>
      <c r="E55" s="14" t="inlineStr">
        <is>
          <t>Web</t>
        </is>
      </c>
      <c r="F55" s="14" t="inlineStr">
        <is>
          <t>MVP+1</t>
        </is>
      </c>
      <c r="G55" s="14" t="inlineStr">
        <is>
          <t>Alta</t>
        </is>
      </c>
      <c r="H55" s="14" t="inlineStr">
        <is>
          <t>Não</t>
        </is>
      </c>
      <c r="I55" s="14" t="inlineStr">
        <is>
          <t>CORE</t>
        </is>
      </c>
      <c r="J55" s="14" t="inlineStr">
        <is>
          <t>Diagnóstico</t>
        </is>
      </c>
      <c r="K55" t="inlineStr">
        <is>
          <t>MOD-05</t>
        </is>
      </c>
      <c r="L55" t="inlineStr">
        <is>
          <t>MVP+1 (MVP3)</t>
        </is>
      </c>
      <c r="M55" t="inlineStr">
        <is>
          <t>MOD-05</t>
        </is>
      </c>
    </row>
    <row r="56">
      <c r="A56" s="14" t="n">
        <v>51</v>
      </c>
      <c r="B56" s="14" t="inlineStr">
        <is>
          <t>FOR</t>
        </is>
      </c>
      <c r="C56" s="14" t="inlineStr">
        <is>
          <t>Fornecedores &amp; Negócios</t>
        </is>
      </c>
      <c r="D56" s="14" t="inlineStr">
        <is>
          <t>Plano de desenvolvimento</t>
        </is>
      </c>
      <c r="E56" s="14" t="inlineStr">
        <is>
          <t>Web</t>
        </is>
      </c>
      <c r="F56" s="14" t="inlineStr">
        <is>
          <t>MVP+1</t>
        </is>
      </c>
      <c r="G56" s="14" t="inlineStr">
        <is>
          <t>Alta</t>
        </is>
      </c>
      <c r="H56" s="14" t="inlineStr">
        <is>
          <t>Parcial</t>
        </is>
      </c>
      <c r="I56" s="14" t="inlineStr">
        <is>
          <t>CORE</t>
        </is>
      </c>
      <c r="J56" s="14" t="inlineStr">
        <is>
          <t>Gaps</t>
        </is>
      </c>
      <c r="K56" t="inlineStr">
        <is>
          <t>MOD-05</t>
        </is>
      </c>
      <c r="L56" t="inlineStr">
        <is>
          <t>MVP+1 (MVP3)</t>
        </is>
      </c>
      <c r="M56" t="inlineStr">
        <is>
          <t>MOD-05</t>
        </is>
      </c>
    </row>
    <row r="57">
      <c r="A57" s="14" t="n">
        <v>52</v>
      </c>
      <c r="B57" s="14" t="inlineStr">
        <is>
          <t>FOR</t>
        </is>
      </c>
      <c r="C57" s="14" t="inlineStr">
        <is>
          <t>Fornecedores &amp; Negócios</t>
        </is>
      </c>
      <c r="D57" s="14" t="inlineStr">
        <is>
          <t>Trilhas / apoio</t>
        </is>
      </c>
      <c r="E57" s="14" t="inlineStr">
        <is>
          <t>Web</t>
        </is>
      </c>
      <c r="F57" s="14" t="inlineStr">
        <is>
          <t>Fase 2</t>
        </is>
      </c>
      <c r="G57" s="14" t="inlineStr">
        <is>
          <t>Média</t>
        </is>
      </c>
      <c r="H57" s="14" t="inlineStr">
        <is>
          <t>Não</t>
        </is>
      </c>
      <c r="I57" s="14" t="inlineStr">
        <is>
          <t>CORE</t>
        </is>
      </c>
      <c r="J57" s="14" t="inlineStr">
        <is>
          <t>Cursos/crédito</t>
        </is>
      </c>
      <c r="K57" t="inlineStr">
        <is>
          <t>MOD-05</t>
        </is>
      </c>
      <c r="L57" t="inlineStr">
        <is>
          <t>Fase 2</t>
        </is>
      </c>
      <c r="M57" t="inlineStr">
        <is>
          <t>Fase 2</t>
        </is>
      </c>
    </row>
    <row r="58">
      <c r="A58" s="14" t="n">
        <v>53</v>
      </c>
      <c r="B58" s="14" t="inlineStr">
        <is>
          <t>FOR</t>
        </is>
      </c>
      <c r="C58" s="14" t="inlineStr">
        <is>
          <t>Fornecedores &amp; Negócios</t>
        </is>
      </c>
      <c r="D58" s="14" t="inlineStr">
        <is>
          <t>Oportunidades / demandas</t>
        </is>
      </c>
      <c r="E58" s="14" t="inlineStr">
        <is>
          <t>Web</t>
        </is>
      </c>
      <c r="F58" s="14" t="inlineStr">
        <is>
          <t>MVP+1</t>
        </is>
      </c>
      <c r="G58" s="14" t="inlineStr">
        <is>
          <t>Média</t>
        </is>
      </c>
      <c r="H58" s="14" t="inlineStr">
        <is>
          <t>Não</t>
        </is>
      </c>
      <c r="I58" s="14" t="inlineStr">
        <is>
          <t>CORE</t>
        </is>
      </c>
      <c r="J58" s="14" t="inlineStr">
        <is>
          <t>Compras</t>
        </is>
      </c>
      <c r="K58" t="inlineStr">
        <is>
          <t>MOD-05</t>
        </is>
      </c>
      <c r="L58" t="inlineStr">
        <is>
          <t>MVP+1 (MVP3)</t>
        </is>
      </c>
      <c r="M58" t="inlineStr">
        <is>
          <t>SCR-08</t>
        </is>
      </c>
    </row>
    <row r="59">
      <c r="A59" s="14" t="n">
        <v>54</v>
      </c>
      <c r="B59" s="14" t="inlineStr">
        <is>
          <t>FOR</t>
        </is>
      </c>
      <c r="C59" s="14" t="inlineStr">
        <is>
          <t>Fornecedores &amp; Negócios</t>
        </is>
      </c>
      <c r="D59" s="14" t="inlineStr">
        <is>
          <t>Detalhe da demanda</t>
        </is>
      </c>
      <c r="E59" s="14" t="inlineStr">
        <is>
          <t>Web</t>
        </is>
      </c>
      <c r="F59" s="14" t="inlineStr">
        <is>
          <t>MVP+1</t>
        </is>
      </c>
      <c r="G59" s="14" t="inlineStr">
        <is>
          <t>Baixa</t>
        </is>
      </c>
      <c r="H59" s="14" t="inlineStr">
        <is>
          <t>Não</t>
        </is>
      </c>
      <c r="I59" s="14" t="inlineStr">
        <is>
          <t>CORE</t>
        </is>
      </c>
      <c r="J59" s="14" t="inlineStr">
        <is>
          <t>Critérios</t>
        </is>
      </c>
      <c r="K59" t="inlineStr">
        <is>
          <t>MOD-05</t>
        </is>
      </c>
      <c r="L59" t="inlineStr">
        <is>
          <t>MVP+1 (MVP3)</t>
        </is>
      </c>
      <c r="M59" t="inlineStr">
        <is>
          <t>SCR-08</t>
        </is>
      </c>
    </row>
    <row r="60">
      <c r="A60" s="14" t="n">
        <v>55</v>
      </c>
      <c r="B60" s="14" t="inlineStr">
        <is>
          <t>FOR</t>
        </is>
      </c>
      <c r="C60" s="14" t="inlineStr">
        <is>
          <t>Fornecedores &amp; Negócios</t>
        </is>
      </c>
      <c r="D60" s="14" t="inlineStr">
        <is>
          <t>Match fornecedor-demanda</t>
        </is>
      </c>
      <c r="E60" s="14" t="inlineStr">
        <is>
          <t>Web</t>
        </is>
      </c>
      <c r="F60" s="14" t="inlineStr">
        <is>
          <t>MVP+1</t>
        </is>
      </c>
      <c r="G60" s="14" t="inlineStr">
        <is>
          <t>Muito alta</t>
        </is>
      </c>
      <c r="H60" s="14" t="inlineStr">
        <is>
          <t>Não</t>
        </is>
      </c>
      <c r="I60" s="14" t="inlineStr">
        <is>
          <t>CORE</t>
        </is>
      </c>
      <c r="J60" s="14" t="inlineStr">
        <is>
          <t>Aderência</t>
        </is>
      </c>
      <c r="K60" t="inlineStr">
        <is>
          <t>MOD-05</t>
        </is>
      </c>
      <c r="L60" t="inlineStr">
        <is>
          <t>MVP+1 (MVP3)</t>
        </is>
      </c>
      <c r="M60" t="inlineStr">
        <is>
          <t>BL-018/ALT-06</t>
        </is>
      </c>
    </row>
    <row r="61">
      <c r="A61" s="14" t="n">
        <v>56</v>
      </c>
      <c r="B61" s="14" t="inlineStr">
        <is>
          <t>FOR</t>
        </is>
      </c>
      <c r="C61" s="14" t="inlineStr">
        <is>
          <t>Fornecedores &amp; Negócios</t>
        </is>
      </c>
      <c r="D61" s="14" t="inlineStr">
        <is>
          <t>Painel empresa compradora</t>
        </is>
      </c>
      <c r="E61" s="14" t="inlineStr">
        <is>
          <t>Web</t>
        </is>
      </c>
      <c r="F61" s="14" t="inlineStr">
        <is>
          <t>MVP+1</t>
        </is>
      </c>
      <c r="G61" s="14" t="inlineStr">
        <is>
          <t>Alta</t>
        </is>
      </c>
      <c r="H61" s="14" t="inlineStr">
        <is>
          <t>Não</t>
        </is>
      </c>
      <c r="I61" s="14" t="inlineStr">
        <is>
          <t>CORE</t>
        </is>
      </c>
      <c r="J61" s="14" t="inlineStr">
        <is>
          <t>Criar demanda</t>
        </is>
      </c>
      <c r="K61" t="inlineStr">
        <is>
          <t>MOD-05</t>
        </is>
      </c>
      <c r="L61" t="inlineStr">
        <is>
          <t>MVP+1 (MVP3)</t>
        </is>
      </c>
      <c r="M61" t="inlineStr">
        <is>
          <t>PER-09/SCR-08</t>
        </is>
      </c>
    </row>
    <row r="62">
      <c r="A62" s="14" t="n">
        <v>57</v>
      </c>
      <c r="B62" s="14" t="inlineStr">
        <is>
          <t>FOR</t>
        </is>
      </c>
      <c r="C62" s="14" t="inlineStr">
        <is>
          <t>Fornecedores &amp; Negócios</t>
        </is>
      </c>
      <c r="D62" s="14" t="inlineStr">
        <is>
          <t>Reuniões / conexões</t>
        </is>
      </c>
      <c r="E62" s="14" t="inlineStr">
        <is>
          <t>Web</t>
        </is>
      </c>
      <c r="F62" s="14" t="inlineStr">
        <is>
          <t>MVP+1</t>
        </is>
      </c>
      <c r="G62" s="14" t="inlineStr">
        <is>
          <t>Média</t>
        </is>
      </c>
      <c r="H62" s="14" t="inlineStr">
        <is>
          <t>Não</t>
        </is>
      </c>
      <c r="I62" s="14" t="inlineStr">
        <is>
          <t>CORE</t>
        </is>
      </c>
      <c r="J62" s="14" t="inlineStr">
        <is>
          <t>Agenda</t>
        </is>
      </c>
      <c r="K62" t="inlineStr">
        <is>
          <t>MOD-05</t>
        </is>
      </c>
      <c r="L62" t="inlineStr">
        <is>
          <t>MVP+1 (MVP3)</t>
        </is>
      </c>
      <c r="M62" t="inlineStr">
        <is>
          <t>MOD-05</t>
        </is>
      </c>
    </row>
    <row r="63">
      <c r="A63" s="14" t="n">
        <v>58</v>
      </c>
      <c r="B63" s="14" t="inlineStr">
        <is>
          <t>FOR</t>
        </is>
      </c>
      <c r="C63" s="14" t="inlineStr">
        <is>
          <t>Fornecedores &amp; Negócios</t>
        </is>
      </c>
      <c r="D63" s="14" t="inlineStr">
        <is>
          <t>Propostas</t>
        </is>
      </c>
      <c r="E63" s="14" t="inlineStr">
        <is>
          <t>Web</t>
        </is>
      </c>
      <c r="F63" s="14" t="inlineStr">
        <is>
          <t>Fase 2</t>
        </is>
      </c>
      <c r="G63" s="14" t="inlineStr">
        <is>
          <t>Alta</t>
        </is>
      </c>
      <c r="H63" s="14" t="inlineStr">
        <is>
          <t>Não</t>
        </is>
      </c>
      <c r="I63" s="14" t="inlineStr">
        <is>
          <t>CORE</t>
        </is>
      </c>
      <c r="J63" s="14" t="inlineStr">
        <is>
          <t>Pipeline</t>
        </is>
      </c>
      <c r="K63" t="inlineStr">
        <is>
          <t>MOD-05</t>
        </is>
      </c>
      <c r="L63" t="inlineStr">
        <is>
          <t>Fase 2</t>
        </is>
      </c>
      <c r="M63" t="inlineStr">
        <is>
          <t>Fase 2</t>
        </is>
      </c>
    </row>
    <row r="64">
      <c r="A64" s="14" t="n">
        <v>59</v>
      </c>
      <c r="B64" s="14" t="inlineStr">
        <is>
          <t>FOR</t>
        </is>
      </c>
      <c r="C64" s="14" t="inlineStr">
        <is>
          <t>Fornecedores &amp; Negócios</t>
        </is>
      </c>
      <c r="D64" s="14" t="inlineStr">
        <is>
          <t>Negociações</t>
        </is>
      </c>
      <c r="E64" s="14" t="inlineStr">
        <is>
          <t>Web</t>
        </is>
      </c>
      <c r="F64" s="14" t="inlineStr">
        <is>
          <t>Fase 2</t>
        </is>
      </c>
      <c r="G64" s="14" t="inlineStr">
        <is>
          <t>Alta</t>
        </is>
      </c>
      <c r="H64" s="14" t="inlineStr">
        <is>
          <t>Não</t>
        </is>
      </c>
      <c r="I64" s="14" t="inlineStr">
        <is>
          <t>CORE</t>
        </is>
      </c>
      <c r="J64" s="14" t="inlineStr">
        <is>
          <t>Pipeline</t>
        </is>
      </c>
      <c r="K64" t="inlineStr">
        <is>
          <t>MOD-05</t>
        </is>
      </c>
      <c r="L64" t="inlineStr">
        <is>
          <t>Fase 2</t>
        </is>
      </c>
      <c r="M64" t="inlineStr">
        <is>
          <t>Fase 2</t>
        </is>
      </c>
    </row>
    <row r="65">
      <c r="A65" s="14" t="n">
        <v>60</v>
      </c>
      <c r="B65" s="14" t="inlineStr">
        <is>
          <t>FOR</t>
        </is>
      </c>
      <c r="C65" s="14" t="inlineStr">
        <is>
          <t>Fornecedores &amp; Negócios</t>
        </is>
      </c>
      <c r="D65" s="14" t="inlineStr">
        <is>
          <t>Contratos / negócios</t>
        </is>
      </c>
      <c r="E65" s="14" t="inlineStr">
        <is>
          <t>Web</t>
        </is>
      </c>
      <c r="F65" s="14" t="inlineStr">
        <is>
          <t>Fase 2</t>
        </is>
      </c>
      <c r="G65" s="14" t="inlineStr">
        <is>
          <t>Alta</t>
        </is>
      </c>
      <c r="H65" s="14" t="inlineStr">
        <is>
          <t>Não</t>
        </is>
      </c>
      <c r="I65" s="14" t="inlineStr">
        <is>
          <t>CORE</t>
        </is>
      </c>
      <c r="J65" s="14" t="inlineStr">
        <is>
          <t>Conversão</t>
        </is>
      </c>
      <c r="K65" t="inlineStr">
        <is>
          <t>MOD-05</t>
        </is>
      </c>
      <c r="L65" t="inlineStr">
        <is>
          <t>Fase 2</t>
        </is>
      </c>
      <c r="M65" t="inlineStr">
        <is>
          <t>Fase 2</t>
        </is>
      </c>
    </row>
    <row r="66">
      <c r="A66" s="14" t="n">
        <v>61</v>
      </c>
      <c r="B66" s="14" t="inlineStr">
        <is>
          <t>FOR</t>
        </is>
      </c>
      <c r="C66" s="14" t="inlineStr">
        <is>
          <t>Fornecedores &amp; Negócios</t>
        </is>
      </c>
      <c r="D66" s="14" t="inlineStr">
        <is>
          <t>Indicadores do ecossistema</t>
        </is>
      </c>
      <c r="E66" s="14" t="inlineStr">
        <is>
          <t>Web</t>
        </is>
      </c>
      <c r="F66" s="14" t="inlineStr">
        <is>
          <t>MVP+1</t>
        </is>
      </c>
      <c r="G66" s="14" t="inlineStr">
        <is>
          <t>Alta</t>
        </is>
      </c>
      <c r="H66" s="14" t="inlineStr">
        <is>
          <t>Parcial</t>
        </is>
      </c>
      <c r="I66" s="14" t="inlineStr">
        <is>
          <t>CORE</t>
        </is>
      </c>
      <c r="J66" s="14" t="inlineStr">
        <is>
          <t>Impacto</t>
        </is>
      </c>
      <c r="K66" t="inlineStr">
        <is>
          <t>MOD-05</t>
        </is>
      </c>
      <c r="L66" t="inlineStr">
        <is>
          <t>MVP+1 (MVP3)</t>
        </is>
      </c>
      <c r="M66" t="inlineStr">
        <is>
          <t>MOD-05</t>
        </is>
      </c>
    </row>
    <row r="67">
      <c r="A67" s="14" t="n">
        <v>62</v>
      </c>
      <c r="B67" s="14" t="inlineStr">
        <is>
          <t>ACA</t>
        </is>
      </c>
      <c r="C67" s="14" t="inlineStr">
        <is>
          <t>Acadêmico / Universidades</t>
        </is>
      </c>
      <c r="D67" s="14" t="inlineStr">
        <is>
          <t>Portal da universidade</t>
        </is>
      </c>
      <c r="E67" s="14" t="inlineStr">
        <is>
          <t>Web</t>
        </is>
      </c>
      <c r="F67" s="14" t="inlineStr">
        <is>
          <t>Fase 2</t>
        </is>
      </c>
      <c r="G67" s="14" t="inlineStr">
        <is>
          <t>Média</t>
        </is>
      </c>
      <c r="H67" s="14" t="inlineStr">
        <is>
          <t>Não</t>
        </is>
      </c>
      <c r="I67" s="14" t="inlineStr">
        <is>
          <t>CORE</t>
        </is>
      </c>
      <c r="J67" s="14" t="inlineStr">
        <is>
          <t>Institucional</t>
        </is>
      </c>
      <c r="K67" t="inlineStr">
        <is>
          <t>MOD-06</t>
        </is>
      </c>
      <c r="L67" t="inlineStr">
        <is>
          <t>Fase 2</t>
        </is>
      </c>
      <c r="M67" t="inlineStr">
        <is>
          <t>MOD-06</t>
        </is>
      </c>
    </row>
    <row r="68">
      <c r="A68" s="14" t="n">
        <v>63</v>
      </c>
      <c r="B68" s="14" t="inlineStr">
        <is>
          <t>ACA</t>
        </is>
      </c>
      <c r="C68" s="14" t="inlineStr">
        <is>
          <t>Acadêmico / Universidades</t>
        </is>
      </c>
      <c r="D68" s="14" t="inlineStr">
        <is>
          <t>Perfil acadêmico do aluno</t>
        </is>
      </c>
      <c r="E68" s="14" t="inlineStr">
        <is>
          <t>Web/Mobile</t>
        </is>
      </c>
      <c r="F68" s="14" t="inlineStr">
        <is>
          <t>Fase 2</t>
        </is>
      </c>
      <c r="G68" s="14" t="inlineStr">
        <is>
          <t>Média</t>
        </is>
      </c>
      <c r="H68" s="14" t="inlineStr">
        <is>
          <t>Parcial</t>
        </is>
      </c>
      <c r="I68" s="14" t="inlineStr">
        <is>
          <t>CORE</t>
        </is>
      </c>
      <c r="J68" s="14" t="inlineStr">
        <is>
          <t>Formação</t>
        </is>
      </c>
      <c r="K68" t="inlineStr">
        <is>
          <t>MOD-06</t>
        </is>
      </c>
      <c r="L68" t="inlineStr">
        <is>
          <t>Fase 2</t>
        </is>
      </c>
      <c r="M68" t="inlineStr">
        <is>
          <t>PER-11</t>
        </is>
      </c>
    </row>
    <row r="69">
      <c r="A69" s="14" t="n">
        <v>64</v>
      </c>
      <c r="B69" s="14" t="inlineStr">
        <is>
          <t>ACA</t>
        </is>
      </c>
      <c r="C69" s="14" t="inlineStr">
        <is>
          <t>Acadêmico / Universidades</t>
        </is>
      </c>
      <c r="D69" s="14" t="inlineStr">
        <is>
          <t>Perfil pesquisador/docente</t>
        </is>
      </c>
      <c r="E69" s="14" t="inlineStr">
        <is>
          <t>Web</t>
        </is>
      </c>
      <c r="F69" s="14" t="inlineStr">
        <is>
          <t>Fase 2</t>
        </is>
      </c>
      <c r="G69" s="14" t="inlineStr">
        <is>
          <t>Média</t>
        </is>
      </c>
      <c r="H69" s="14" t="inlineStr">
        <is>
          <t>Parcial</t>
        </is>
      </c>
      <c r="I69" s="14" t="inlineStr">
        <is>
          <t>CORE</t>
        </is>
      </c>
      <c r="J69" s="14" t="inlineStr">
        <is>
          <t>Linhas</t>
        </is>
      </c>
      <c r="K69" t="inlineStr">
        <is>
          <t>MOD-06</t>
        </is>
      </c>
      <c r="L69" t="inlineStr">
        <is>
          <t>Fase 2</t>
        </is>
      </c>
      <c r="M69" t="inlineStr">
        <is>
          <t>Fase 2</t>
        </is>
      </c>
    </row>
    <row r="70">
      <c r="A70" s="14" t="n">
        <v>65</v>
      </c>
      <c r="B70" s="14" t="inlineStr">
        <is>
          <t>ACA</t>
        </is>
      </c>
      <c r="C70" s="14" t="inlineStr">
        <is>
          <t>Acadêmico / Universidades</t>
        </is>
      </c>
      <c r="D70" s="14" t="inlineStr">
        <is>
          <t>Oportunidades acadêmicas</t>
        </is>
      </c>
      <c r="E70" s="14" t="inlineStr">
        <is>
          <t>Web/Mobile</t>
        </is>
      </c>
      <c r="F70" s="14" t="inlineStr">
        <is>
          <t>Fase 2</t>
        </is>
      </c>
      <c r="G70" s="14" t="inlineStr">
        <is>
          <t>Média</t>
        </is>
      </c>
      <c r="H70" s="14" t="inlineStr">
        <is>
          <t>Não</t>
        </is>
      </c>
      <c r="I70" s="14" t="inlineStr">
        <is>
          <t>CORE</t>
        </is>
      </c>
      <c r="J70" s="14" t="inlineStr">
        <is>
          <t>Bolsas/projetos</t>
        </is>
      </c>
      <c r="K70" t="inlineStr">
        <is>
          <t>MOD-06</t>
        </is>
      </c>
      <c r="L70" t="inlineStr">
        <is>
          <t>Fase 2</t>
        </is>
      </c>
      <c r="M70" t="inlineStr">
        <is>
          <t>MOD-06</t>
        </is>
      </c>
    </row>
    <row r="71">
      <c r="A71" s="14" t="n">
        <v>66</v>
      </c>
      <c r="B71" s="14" t="inlineStr">
        <is>
          <t>ACA</t>
        </is>
      </c>
      <c r="C71" s="14" t="inlineStr">
        <is>
          <t>Acadêmico / Universidades</t>
        </is>
      </c>
      <c r="D71" s="14" t="inlineStr">
        <is>
          <t>Projetos empresa-universidade</t>
        </is>
      </c>
      <c r="E71" s="14" t="inlineStr">
        <is>
          <t>Web</t>
        </is>
      </c>
      <c r="F71" s="14" t="inlineStr">
        <is>
          <t>Fase 2</t>
        </is>
      </c>
      <c r="G71" s="14" t="inlineStr">
        <is>
          <t>Alta</t>
        </is>
      </c>
      <c r="H71" s="14" t="inlineStr">
        <is>
          <t>Não</t>
        </is>
      </c>
      <c r="I71" s="14" t="inlineStr">
        <is>
          <t>CORE</t>
        </is>
      </c>
      <c r="J71" s="14" t="inlineStr">
        <is>
          <t>Desafios</t>
        </is>
      </c>
      <c r="K71" t="inlineStr">
        <is>
          <t>MOD-06</t>
        </is>
      </c>
      <c r="L71" t="inlineStr">
        <is>
          <t>Fase 2</t>
        </is>
      </c>
      <c r="M71" t="inlineStr">
        <is>
          <t>MOD-06</t>
        </is>
      </c>
    </row>
    <row r="72">
      <c r="A72" s="14" t="n">
        <v>67</v>
      </c>
      <c r="B72" s="14" t="inlineStr">
        <is>
          <t>ACA</t>
        </is>
      </c>
      <c r="C72" s="14" t="inlineStr">
        <is>
          <t>Acadêmico / Universidades</t>
        </is>
      </c>
      <c r="D72" s="14" t="inlineStr">
        <is>
          <t>Match aluno-projeto</t>
        </is>
      </c>
      <c r="E72" s="14" t="inlineStr">
        <is>
          <t>Web</t>
        </is>
      </c>
      <c r="F72" s="14" t="inlineStr">
        <is>
          <t>Fase 2</t>
        </is>
      </c>
      <c r="G72" s="14" t="inlineStr">
        <is>
          <t>Alta</t>
        </is>
      </c>
      <c r="H72" s="14" t="inlineStr">
        <is>
          <t>Não</t>
        </is>
      </c>
      <c r="I72" s="14" t="inlineStr">
        <is>
          <t>CORE</t>
        </is>
      </c>
      <c r="J72" s="14" t="inlineStr">
        <is>
          <t>Aderência</t>
        </is>
      </c>
      <c r="K72" t="inlineStr">
        <is>
          <t>MOD-06</t>
        </is>
      </c>
      <c r="L72" t="inlineStr">
        <is>
          <t>Fase 2</t>
        </is>
      </c>
      <c r="M72" t="inlineStr">
        <is>
          <t>MOD-06</t>
        </is>
      </c>
    </row>
    <row r="73">
      <c r="A73" s="14" t="n">
        <v>68</v>
      </c>
      <c r="B73" s="14" t="inlineStr">
        <is>
          <t>ACA</t>
        </is>
      </c>
      <c r="C73" s="14" t="inlineStr">
        <is>
          <t>Acadêmico / Universidades</t>
        </is>
      </c>
      <c r="D73" s="14" t="inlineStr">
        <is>
          <t>Match pesquisador-empresa</t>
        </is>
      </c>
      <c r="E73" s="14" t="inlineStr">
        <is>
          <t>Web</t>
        </is>
      </c>
      <c r="F73" s="14" t="inlineStr">
        <is>
          <t>Fase 2</t>
        </is>
      </c>
      <c r="G73" s="14" t="inlineStr">
        <is>
          <t>Muito alta</t>
        </is>
      </c>
      <c r="H73" s="14" t="inlineStr">
        <is>
          <t>Não</t>
        </is>
      </c>
      <c r="I73" s="14" t="inlineStr">
        <is>
          <t>CORE</t>
        </is>
      </c>
      <c r="J73" s="14" t="inlineStr">
        <is>
          <t>Pesquisa aplicada</t>
        </is>
      </c>
      <c r="K73" t="inlineStr">
        <is>
          <t>MOD-06</t>
        </is>
      </c>
      <c r="L73" t="inlineStr">
        <is>
          <t>Fase 2</t>
        </is>
      </c>
      <c r="M73" t="inlineStr">
        <is>
          <t>Fase 2</t>
        </is>
      </c>
    </row>
    <row r="74">
      <c r="A74" s="14" t="n">
        <v>69</v>
      </c>
      <c r="B74" s="14" t="inlineStr">
        <is>
          <t>ACA</t>
        </is>
      </c>
      <c r="C74" s="14" t="inlineStr">
        <is>
          <t>Acadêmico / Universidades</t>
        </is>
      </c>
      <c r="D74" s="14" t="inlineStr">
        <is>
          <t>Estágios e carreira</t>
        </is>
      </c>
      <c r="E74" s="14" t="inlineStr">
        <is>
          <t>Web/Mobile</t>
        </is>
      </c>
      <c r="F74" s="14" t="inlineStr">
        <is>
          <t>Fase 2</t>
        </is>
      </c>
      <c r="G74" s="14" t="inlineStr">
        <is>
          <t>Alta</t>
        </is>
      </c>
      <c r="H74" s="14" t="inlineStr">
        <is>
          <t>Não</t>
        </is>
      </c>
      <c r="I74" s="14" t="inlineStr">
        <is>
          <t>CORE</t>
        </is>
      </c>
      <c r="J74" s="14" t="inlineStr">
        <is>
          <t>Integra CAN</t>
        </is>
      </c>
      <c r="K74" t="inlineStr">
        <is>
          <t>MOD-06</t>
        </is>
      </c>
      <c r="L74" t="inlineStr">
        <is>
          <t>Fase 2</t>
        </is>
      </c>
      <c r="M74" t="inlineStr">
        <is>
          <t>MOD-06</t>
        </is>
      </c>
    </row>
    <row r="75">
      <c r="A75" s="14" t="n">
        <v>70</v>
      </c>
      <c r="B75" s="14" t="inlineStr">
        <is>
          <t>ACA</t>
        </is>
      </c>
      <c r="C75" s="14" t="inlineStr">
        <is>
          <t>Acadêmico / Universidades</t>
        </is>
      </c>
      <c r="D75" s="14" t="inlineStr">
        <is>
          <t>Bolsas corporativas</t>
        </is>
      </c>
      <c r="E75" s="14" t="inlineStr">
        <is>
          <t>Web</t>
        </is>
      </c>
      <c r="F75" s="14" t="inlineStr">
        <is>
          <t>Fase 2</t>
        </is>
      </c>
      <c r="G75" s="14" t="inlineStr">
        <is>
          <t>Média</t>
        </is>
      </c>
      <c r="H75" s="14" t="inlineStr">
        <is>
          <t>Não</t>
        </is>
      </c>
      <c r="I75" s="14" t="inlineStr">
        <is>
          <t>CORE</t>
        </is>
      </c>
      <c r="J75" s="14" t="inlineStr">
        <is>
          <t>Empresa-&gt;aluno</t>
        </is>
      </c>
      <c r="K75" t="inlineStr">
        <is>
          <t>MOD-06</t>
        </is>
      </c>
      <c r="L75" t="inlineStr">
        <is>
          <t>Fase 2</t>
        </is>
      </c>
      <c r="M75" t="inlineStr">
        <is>
          <t>MOD-06</t>
        </is>
      </c>
    </row>
    <row r="76">
      <c r="A76" s="14" t="n">
        <v>71</v>
      </c>
      <c r="B76" s="14" t="inlineStr">
        <is>
          <t>ACA</t>
        </is>
      </c>
      <c r="C76" s="14" t="inlineStr">
        <is>
          <t>Acadêmico / Universidades</t>
        </is>
      </c>
      <c r="D76" s="14" t="inlineStr">
        <is>
          <t>Formação / trilhas</t>
        </is>
      </c>
      <c r="E76" s="14" t="inlineStr">
        <is>
          <t>Web/Mobile</t>
        </is>
      </c>
      <c r="F76" s="14" t="inlineStr">
        <is>
          <t>Fase 2</t>
        </is>
      </c>
      <c r="G76" s="14" t="inlineStr">
        <is>
          <t>Média</t>
        </is>
      </c>
      <c r="H76" s="14" t="inlineStr">
        <is>
          <t>Não</t>
        </is>
      </c>
      <c r="I76" s="14" t="inlineStr">
        <is>
          <t>CORE</t>
        </is>
      </c>
      <c r="J76" s="14" t="inlineStr">
        <is>
          <t>Desenvolvimento</t>
        </is>
      </c>
      <c r="K76" t="inlineStr">
        <is>
          <t>MOD-06</t>
        </is>
      </c>
      <c r="L76" t="inlineStr">
        <is>
          <t>Fase 2</t>
        </is>
      </c>
      <c r="M76" t="inlineStr">
        <is>
          <t>Fase 2</t>
        </is>
      </c>
    </row>
    <row r="77">
      <c r="A77" s="14" t="n">
        <v>72</v>
      </c>
      <c r="B77" s="14" t="inlineStr">
        <is>
          <t>ACA</t>
        </is>
      </c>
      <c r="C77" s="14" t="inlineStr">
        <is>
          <t>Acadêmico / Universidades</t>
        </is>
      </c>
      <c r="D77" s="14" t="inlineStr">
        <is>
          <t>Acompanhamento de projeto</t>
        </is>
      </c>
      <c r="E77" s="14" t="inlineStr">
        <is>
          <t>Web</t>
        </is>
      </c>
      <c r="F77" s="14" t="inlineStr">
        <is>
          <t>Fase 2</t>
        </is>
      </c>
      <c r="G77" s="14" t="inlineStr">
        <is>
          <t>Alta</t>
        </is>
      </c>
      <c r="H77" s="14" t="inlineStr">
        <is>
          <t>Não</t>
        </is>
      </c>
      <c r="I77" s="14" t="inlineStr">
        <is>
          <t>CORE</t>
        </is>
      </c>
      <c r="J77" s="14" t="inlineStr">
        <is>
          <t>Entregas</t>
        </is>
      </c>
      <c r="K77" t="inlineStr">
        <is>
          <t>MOD-06</t>
        </is>
      </c>
      <c r="L77" t="inlineStr">
        <is>
          <t>Fase 2</t>
        </is>
      </c>
      <c r="M77" t="inlineStr">
        <is>
          <t>Fase 2</t>
        </is>
      </c>
    </row>
    <row r="78">
      <c r="A78" s="14" t="n">
        <v>73</v>
      </c>
      <c r="B78" s="14" t="inlineStr">
        <is>
          <t>ACA</t>
        </is>
      </c>
      <c r="C78" s="14" t="inlineStr">
        <is>
          <t>Acadêmico / Universidades</t>
        </is>
      </c>
      <c r="D78" s="14" t="inlineStr">
        <is>
          <t>Indicadores universidade-mercado</t>
        </is>
      </c>
      <c r="E78" s="14" t="inlineStr">
        <is>
          <t>Web</t>
        </is>
      </c>
      <c r="F78" s="14" t="inlineStr">
        <is>
          <t>Fase 2</t>
        </is>
      </c>
      <c r="G78" s="14" t="inlineStr">
        <is>
          <t>Alta</t>
        </is>
      </c>
      <c r="H78" s="14" t="inlineStr">
        <is>
          <t>Parcial</t>
        </is>
      </c>
      <c r="I78" s="14" t="inlineStr">
        <is>
          <t>CORE</t>
        </is>
      </c>
      <c r="J78" s="14" t="inlineStr">
        <is>
          <t>Impacto</t>
        </is>
      </c>
      <c r="K78" t="inlineStr">
        <is>
          <t>MOD-06</t>
        </is>
      </c>
      <c r="L78" t="inlineStr">
        <is>
          <t>Fase 2</t>
        </is>
      </c>
      <c r="M78" t="inlineStr">
        <is>
          <t>MOD-06</t>
        </is>
      </c>
    </row>
    <row r="79">
      <c r="A79" s="14" t="n">
        <v>74</v>
      </c>
      <c r="B79" s="14" t="inlineStr">
        <is>
          <t>EVT</t>
        </is>
      </c>
      <c r="C79" s="14" t="inlineStr">
        <is>
          <t>Eventos</t>
        </is>
      </c>
      <c r="D79" s="14" t="inlineStr">
        <is>
          <t>Visão geral do evento</t>
        </is>
      </c>
      <c r="E79" s="14" t="inlineStr">
        <is>
          <t>Web</t>
        </is>
      </c>
      <c r="F79" s="14" t="inlineStr">
        <is>
          <t>Fase 2</t>
        </is>
      </c>
      <c r="G79" s="14" t="inlineStr">
        <is>
          <t>Alta</t>
        </is>
      </c>
      <c r="H79" s="14" t="inlineStr">
        <is>
          <t>Não</t>
        </is>
      </c>
      <c r="I79" s="14" t="inlineStr">
        <is>
          <t>CORE</t>
        </is>
      </c>
      <c r="J79" s="14" t="inlineStr">
        <is>
          <t>Dashboard</t>
        </is>
      </c>
      <c r="K79" t="inlineStr">
        <is>
          <t>MOD-07</t>
        </is>
      </c>
      <c r="L79" t="inlineStr">
        <is>
          <t>Fase 2</t>
        </is>
      </c>
      <c r="M79" t="inlineStr">
        <is>
          <t>MOD-07</t>
        </is>
      </c>
    </row>
    <row r="80">
      <c r="A80" s="14" t="n">
        <v>75</v>
      </c>
      <c r="B80" s="14" t="inlineStr">
        <is>
          <t>EVT</t>
        </is>
      </c>
      <c r="C80" s="14" t="inlineStr">
        <is>
          <t>Eventos</t>
        </is>
      </c>
      <c r="D80" s="14" t="inlineStr">
        <is>
          <t>Planejamento / metas</t>
        </is>
      </c>
      <c r="E80" s="14" t="inlineStr">
        <is>
          <t>Web</t>
        </is>
      </c>
      <c r="F80" s="14" t="inlineStr">
        <is>
          <t>Fase 2</t>
        </is>
      </c>
      <c r="G80" s="14" t="inlineStr">
        <is>
          <t>Média</t>
        </is>
      </c>
      <c r="H80" s="14" t="inlineStr">
        <is>
          <t>Não</t>
        </is>
      </c>
      <c r="I80" s="14" t="inlineStr">
        <is>
          <t>CORE</t>
        </is>
      </c>
      <c r="J80" s="14" t="inlineStr">
        <is>
          <t>KPIs</t>
        </is>
      </c>
      <c r="K80" t="inlineStr">
        <is>
          <t>MOD-07</t>
        </is>
      </c>
      <c r="L80" t="inlineStr">
        <is>
          <t>Fase 2</t>
        </is>
      </c>
      <c r="M80" t="inlineStr">
        <is>
          <t>MOD-07</t>
        </is>
      </c>
    </row>
    <row r="81">
      <c r="A81" s="14" t="n">
        <v>76</v>
      </c>
      <c r="B81" s="14" t="inlineStr">
        <is>
          <t>EVT</t>
        </is>
      </c>
      <c r="C81" s="14" t="inlineStr">
        <is>
          <t>Eventos</t>
        </is>
      </c>
      <c r="D81" s="14" t="inlineStr">
        <is>
          <t>Talentos / equipes</t>
        </is>
      </c>
      <c r="E81" s="14" t="inlineStr">
        <is>
          <t>Web</t>
        </is>
      </c>
      <c r="F81" s="14" t="inlineStr">
        <is>
          <t>Fase 2</t>
        </is>
      </c>
      <c r="G81" s="14" t="inlineStr">
        <is>
          <t>Alta</t>
        </is>
      </c>
      <c r="H81" s="14" t="inlineStr">
        <is>
          <t>Não</t>
        </is>
      </c>
      <c r="I81" s="14" t="inlineStr">
        <is>
          <t>CORE</t>
        </is>
      </c>
      <c r="J81" s="14" t="inlineStr">
        <is>
          <t>CAN</t>
        </is>
      </c>
      <c r="K81" t="inlineStr">
        <is>
          <t>MOD-07</t>
        </is>
      </c>
      <c r="L81" t="inlineStr">
        <is>
          <t>Fase 2</t>
        </is>
      </c>
      <c r="M81" t="inlineStr">
        <is>
          <t>MOD-07</t>
        </is>
      </c>
    </row>
    <row r="82">
      <c r="A82" s="14" t="n">
        <v>77</v>
      </c>
      <c r="B82" s="14" t="inlineStr">
        <is>
          <t>EVT</t>
        </is>
      </c>
      <c r="C82" s="14" t="inlineStr">
        <is>
          <t>Eventos</t>
        </is>
      </c>
      <c r="D82" s="14" t="inlineStr">
        <is>
          <t>Fornecedores do evento</t>
        </is>
      </c>
      <c r="E82" s="14" t="inlineStr">
        <is>
          <t>Web</t>
        </is>
      </c>
      <c r="F82" s="14" t="inlineStr">
        <is>
          <t>Fase 2</t>
        </is>
      </c>
      <c r="G82" s="14" t="inlineStr">
        <is>
          <t>Alta</t>
        </is>
      </c>
      <c r="H82" s="14" t="inlineStr">
        <is>
          <t>Não</t>
        </is>
      </c>
      <c r="I82" s="14" t="inlineStr">
        <is>
          <t>CORE</t>
        </is>
      </c>
      <c r="J82" s="14" t="inlineStr">
        <is>
          <t>FOR</t>
        </is>
      </c>
      <c r="K82" t="inlineStr">
        <is>
          <t>MOD-07</t>
        </is>
      </c>
      <c r="L82" t="inlineStr">
        <is>
          <t>Fase 2</t>
        </is>
      </c>
      <c r="M82" t="inlineStr">
        <is>
          <t>MOD-07</t>
        </is>
      </c>
    </row>
    <row r="83">
      <c r="A83" s="14" t="n">
        <v>78</v>
      </c>
      <c r="B83" s="14" t="inlineStr">
        <is>
          <t>EVT</t>
        </is>
      </c>
      <c r="C83" s="14" t="inlineStr">
        <is>
          <t>Eventos</t>
        </is>
      </c>
      <c r="D83" s="14" t="inlineStr">
        <is>
          <t>Demandas e contratações</t>
        </is>
      </c>
      <c r="E83" s="14" t="inlineStr">
        <is>
          <t>Web</t>
        </is>
      </c>
      <c r="F83" s="14" t="inlineStr">
        <is>
          <t>Fase 2</t>
        </is>
      </c>
      <c r="G83" s="14" t="inlineStr">
        <is>
          <t>Alta</t>
        </is>
      </c>
      <c r="H83" s="14" t="inlineStr">
        <is>
          <t>Não</t>
        </is>
      </c>
      <c r="I83" s="14" t="inlineStr">
        <is>
          <t>CORE</t>
        </is>
      </c>
      <c r="J83" s="14" t="inlineStr">
        <is>
          <t>Compras</t>
        </is>
      </c>
      <c r="K83" t="inlineStr">
        <is>
          <t>MOD-07</t>
        </is>
      </c>
      <c r="L83" t="inlineStr">
        <is>
          <t>Fase 2</t>
        </is>
      </c>
      <c r="M83" t="inlineStr">
        <is>
          <t>MOD-07</t>
        </is>
      </c>
    </row>
    <row r="84">
      <c r="A84" s="14" t="n">
        <v>79</v>
      </c>
      <c r="B84" s="14" t="inlineStr">
        <is>
          <t>EVT</t>
        </is>
      </c>
      <c r="C84" s="14" t="inlineStr">
        <is>
          <t>Eventos</t>
        </is>
      </c>
      <c r="D84" s="14" t="inlineStr">
        <is>
          <t>Patrocínios / marcas</t>
        </is>
      </c>
      <c r="E84" s="14" t="inlineStr">
        <is>
          <t>Web</t>
        </is>
      </c>
      <c r="F84" s="14" t="inlineStr">
        <is>
          <t>Fase 2</t>
        </is>
      </c>
      <c r="G84" s="14" t="inlineStr">
        <is>
          <t>Alta</t>
        </is>
      </c>
      <c r="H84" s="14" t="inlineStr">
        <is>
          <t>Não</t>
        </is>
      </c>
      <c r="I84" s="14" t="inlineStr">
        <is>
          <t>CORE</t>
        </is>
      </c>
      <c r="J84" s="14" t="inlineStr">
        <is>
          <t>Retorno</t>
        </is>
      </c>
      <c r="K84" t="inlineStr">
        <is>
          <t>MOD-07</t>
        </is>
      </c>
      <c r="L84" t="inlineStr">
        <is>
          <t>Fase 2</t>
        </is>
      </c>
      <c r="M84" t="inlineStr">
        <is>
          <t>Fase 2</t>
        </is>
      </c>
    </row>
    <row r="85">
      <c r="A85" s="14" t="n">
        <v>80</v>
      </c>
      <c r="B85" s="14" t="inlineStr">
        <is>
          <t>EVT</t>
        </is>
      </c>
      <c r="C85" s="14" t="inlineStr">
        <is>
          <t>Eventos</t>
        </is>
      </c>
      <c r="D85" s="14" t="inlineStr">
        <is>
          <t>Artistas / criadores</t>
        </is>
      </c>
      <c r="E85" s="14" t="inlineStr">
        <is>
          <t>Web</t>
        </is>
      </c>
      <c r="F85" s="14" t="inlineStr">
        <is>
          <t>Fase 2</t>
        </is>
      </c>
      <c r="G85" s="14" t="inlineStr">
        <is>
          <t>Média</t>
        </is>
      </c>
      <c r="H85" s="14" t="inlineStr">
        <is>
          <t>Não</t>
        </is>
      </c>
      <c r="I85" s="14" t="inlineStr">
        <is>
          <t>CORE</t>
        </is>
      </c>
      <c r="J85" s="14" t="inlineStr">
        <is>
          <t>Conexões</t>
        </is>
      </c>
      <c r="K85" t="inlineStr">
        <is>
          <t>MOD-07</t>
        </is>
      </c>
      <c r="L85" t="inlineStr">
        <is>
          <t>Fase 2</t>
        </is>
      </c>
      <c r="M85" t="inlineStr">
        <is>
          <t>Fase 2</t>
        </is>
      </c>
    </row>
    <row r="86">
      <c r="A86" s="14" t="n">
        <v>81</v>
      </c>
      <c r="B86" s="14" t="inlineStr">
        <is>
          <t>EVT</t>
        </is>
      </c>
      <c r="C86" s="14" t="inlineStr">
        <is>
          <t>Eventos</t>
        </is>
      </c>
      <c r="D86" s="14" t="inlineStr">
        <is>
          <t>Pesquisa de público / mercado</t>
        </is>
      </c>
      <c r="E86" s="14" t="inlineStr">
        <is>
          <t>Web/Mobile</t>
        </is>
      </c>
      <c r="F86" s="14" t="inlineStr">
        <is>
          <t>Fase 2</t>
        </is>
      </c>
      <c r="G86" s="14" t="inlineStr">
        <is>
          <t>Alta</t>
        </is>
      </c>
      <c r="H86" s="14" t="inlineStr">
        <is>
          <t>Não</t>
        </is>
      </c>
      <c r="I86" s="14" t="inlineStr">
        <is>
          <t>CORE</t>
        </is>
      </c>
      <c r="J86" s="14" t="inlineStr">
        <is>
          <t>Insights</t>
        </is>
      </c>
      <c r="K86" t="inlineStr">
        <is>
          <t>MOD-07</t>
        </is>
      </c>
      <c r="L86" t="inlineStr">
        <is>
          <t>Fase 2</t>
        </is>
      </c>
      <c r="M86" t="inlineStr">
        <is>
          <t>MOD-07</t>
        </is>
      </c>
    </row>
    <row r="87">
      <c r="A87" s="14" t="n">
        <v>82</v>
      </c>
      <c r="B87" s="14" t="inlineStr">
        <is>
          <t>EVT</t>
        </is>
      </c>
      <c r="C87" s="14" t="inlineStr">
        <is>
          <t>Eventos</t>
        </is>
      </c>
      <c r="D87" s="14" t="inlineStr">
        <is>
          <t>Acessibilidade</t>
        </is>
      </c>
      <c r="E87" s="14" t="inlineStr">
        <is>
          <t>Web</t>
        </is>
      </c>
      <c r="F87" s="14" t="inlineStr">
        <is>
          <t>Fase 2</t>
        </is>
      </c>
      <c r="G87" s="14" t="inlineStr">
        <is>
          <t>Média</t>
        </is>
      </c>
      <c r="H87" s="14" t="inlineStr">
        <is>
          <t>Não</t>
        </is>
      </c>
      <c r="I87" s="14" t="inlineStr">
        <is>
          <t>CORE</t>
        </is>
      </c>
      <c r="J87" s="14" t="inlineStr">
        <is>
          <t>Plano</t>
        </is>
      </c>
      <c r="K87" t="inlineStr">
        <is>
          <t>MOD-07</t>
        </is>
      </c>
      <c r="L87" t="inlineStr">
        <is>
          <t>Fase 2</t>
        </is>
      </c>
      <c r="M87" t="inlineStr">
        <is>
          <t>MOD-07</t>
        </is>
      </c>
    </row>
    <row r="88">
      <c r="A88" s="14" t="n">
        <v>83</v>
      </c>
      <c r="B88" s="14" t="inlineStr">
        <is>
          <t>EVT</t>
        </is>
      </c>
      <c r="C88" s="14" t="inlineStr">
        <is>
          <t>Eventos</t>
        </is>
      </c>
      <c r="D88" s="14" t="inlineStr">
        <is>
          <t>Segurança / combate ao assédio</t>
        </is>
      </c>
      <c r="E88" s="14" t="inlineStr">
        <is>
          <t>Web/Mobile</t>
        </is>
      </c>
      <c r="F88" s="14" t="inlineStr">
        <is>
          <t>Fase 2</t>
        </is>
      </c>
      <c r="G88" s="14" t="inlineStr">
        <is>
          <t>Alta</t>
        </is>
      </c>
      <c r="H88" s="14" t="inlineStr">
        <is>
          <t>Não</t>
        </is>
      </c>
      <c r="I88" s="14" t="inlineStr">
        <is>
          <t>CORE</t>
        </is>
      </c>
      <c r="J88" s="14" t="inlineStr">
        <is>
          <t>Protocolos</t>
        </is>
      </c>
      <c r="K88" t="inlineStr">
        <is>
          <t>MOD-07</t>
        </is>
      </c>
      <c r="L88" t="inlineStr">
        <is>
          <t>Fase 2</t>
        </is>
      </c>
      <c r="M88" t="inlineStr">
        <is>
          <t>MOD-07</t>
        </is>
      </c>
    </row>
    <row r="89">
      <c r="A89" s="14" t="n">
        <v>84</v>
      </c>
      <c r="B89" s="14" t="inlineStr">
        <is>
          <t>EVT</t>
        </is>
      </c>
      <c r="C89" s="14" t="inlineStr">
        <is>
          <t>Eventos</t>
        </is>
      </c>
      <c r="D89" s="14" t="inlineStr">
        <is>
          <t>Operação / checklists</t>
        </is>
      </c>
      <c r="E89" s="14" t="inlineStr">
        <is>
          <t>Web/Mobile</t>
        </is>
      </c>
      <c r="F89" s="14" t="inlineStr">
        <is>
          <t>Fase 2</t>
        </is>
      </c>
      <c r="G89" s="14" t="inlineStr">
        <is>
          <t>Alta</t>
        </is>
      </c>
      <c r="H89" s="14" t="inlineStr">
        <is>
          <t>Não</t>
        </is>
      </c>
      <c r="I89" s="14" t="inlineStr">
        <is>
          <t>CORE</t>
        </is>
      </c>
      <c r="J89" s="14" t="inlineStr">
        <is>
          <t>Execução</t>
        </is>
      </c>
      <c r="K89" t="inlineStr">
        <is>
          <t>MOD-07</t>
        </is>
      </c>
      <c r="L89" t="inlineStr">
        <is>
          <t>Fase 2</t>
        </is>
      </c>
      <c r="M89" t="inlineStr">
        <is>
          <t>Fase 2</t>
        </is>
      </c>
    </row>
    <row r="90">
      <c r="A90" s="14" t="n">
        <v>85</v>
      </c>
      <c r="B90" s="14" t="inlineStr">
        <is>
          <t>EVT</t>
        </is>
      </c>
      <c r="C90" s="14" t="inlineStr">
        <is>
          <t>Eventos</t>
        </is>
      </c>
      <c r="D90" s="14" t="inlineStr">
        <is>
          <t>Indicadores em tempo real</t>
        </is>
      </c>
      <c r="E90" s="14" t="inlineStr">
        <is>
          <t>Web</t>
        </is>
      </c>
      <c r="F90" s="14" t="inlineStr">
        <is>
          <t>Fase 2</t>
        </is>
      </c>
      <c r="G90" s="14" t="inlineStr">
        <is>
          <t>Alta</t>
        </is>
      </c>
      <c r="H90" s="14" t="inlineStr">
        <is>
          <t>Parcial</t>
        </is>
      </c>
      <c r="I90" s="14" t="inlineStr">
        <is>
          <t>CORE</t>
        </is>
      </c>
      <c r="J90" s="14" t="inlineStr">
        <is>
          <t>Operação</t>
        </is>
      </c>
      <c r="K90" t="inlineStr">
        <is>
          <t>MOD-07</t>
        </is>
      </c>
      <c r="L90" t="inlineStr">
        <is>
          <t>Fase 2</t>
        </is>
      </c>
      <c r="M90" t="inlineStr">
        <is>
          <t>Fase 2</t>
        </is>
      </c>
    </row>
    <row r="91">
      <c r="A91" s="14" t="n">
        <v>86</v>
      </c>
      <c r="B91" s="14" t="inlineStr">
        <is>
          <t>EVT</t>
        </is>
      </c>
      <c r="C91" s="14" t="inlineStr">
        <is>
          <t>Eventos</t>
        </is>
      </c>
      <c r="D91" s="14" t="inlineStr">
        <is>
          <t>ROI / impacto financeiro</t>
        </is>
      </c>
      <c r="E91" s="14" t="inlineStr">
        <is>
          <t>Web</t>
        </is>
      </c>
      <c r="F91" s="14" t="inlineStr">
        <is>
          <t>Fase 2</t>
        </is>
      </c>
      <c r="G91" s="14" t="inlineStr">
        <is>
          <t>Alta</t>
        </is>
      </c>
      <c r="H91" s="14" t="inlineStr">
        <is>
          <t>Não</t>
        </is>
      </c>
      <c r="I91" s="14" t="inlineStr">
        <is>
          <t>CORE</t>
        </is>
      </c>
      <c r="J91" s="14" t="inlineStr">
        <is>
          <t>Retorno</t>
        </is>
      </c>
      <c r="K91" t="inlineStr">
        <is>
          <t>MOD-07</t>
        </is>
      </c>
      <c r="L91" t="inlineStr">
        <is>
          <t>Fase 2</t>
        </is>
      </c>
      <c r="M91" t="inlineStr">
        <is>
          <t>SCR-06/MOD-07</t>
        </is>
      </c>
    </row>
    <row r="92">
      <c r="A92" s="14" t="n">
        <v>87</v>
      </c>
      <c r="B92" s="14" t="inlineStr">
        <is>
          <t>EVT</t>
        </is>
      </c>
      <c r="C92" s="14" t="inlineStr">
        <is>
          <t>Eventos</t>
        </is>
      </c>
      <c r="D92" s="14" t="inlineStr">
        <is>
          <t>Relatório pós-evento</t>
        </is>
      </c>
      <c r="E92" s="14" t="inlineStr">
        <is>
          <t>Web</t>
        </is>
      </c>
      <c r="F92" s="14" t="inlineStr">
        <is>
          <t>Fase 2</t>
        </is>
      </c>
      <c r="G92" s="14" t="inlineStr">
        <is>
          <t>Média</t>
        </is>
      </c>
      <c r="H92" s="14" t="inlineStr">
        <is>
          <t>Não</t>
        </is>
      </c>
      <c r="I92" s="14" t="inlineStr">
        <is>
          <t>CORE</t>
        </is>
      </c>
      <c r="J92" s="14" t="inlineStr">
        <is>
          <t>Resultados</t>
        </is>
      </c>
      <c r="K92" t="inlineStr">
        <is>
          <t>MOD-07</t>
        </is>
      </c>
      <c r="L92" t="inlineStr">
        <is>
          <t>Fase 2</t>
        </is>
      </c>
      <c r="M92" t="inlineStr">
        <is>
          <t>MOD-07</t>
        </is>
      </c>
    </row>
    <row r="93">
      <c r="A93" s="14" t="n">
        <v>88</v>
      </c>
      <c r="B93" s="14" t="inlineStr">
        <is>
          <t>COM</t>
        </is>
      </c>
      <c r="C93" s="14" t="inlineStr">
        <is>
          <t>Comunidades / Eu &amp; Eu / Cultura</t>
        </is>
      </c>
      <c r="D93" s="14" t="inlineStr">
        <is>
          <t>Meu perfil</t>
        </is>
      </c>
      <c r="E93" s="14" t="inlineStr">
        <is>
          <t>Web/Mobile</t>
        </is>
      </c>
      <c r="F93" s="14" t="inlineStr">
        <is>
          <t>Fase 2</t>
        </is>
      </c>
      <c r="G93" s="14" t="inlineStr">
        <is>
          <t>Baixa</t>
        </is>
      </c>
      <c r="H93" s="14" t="inlineStr">
        <is>
          <t>Não</t>
        </is>
      </c>
      <c r="I93" s="14" t="inlineStr">
        <is>
          <t>CORE</t>
        </is>
      </c>
      <c r="J93" s="14" t="inlineStr">
        <is>
          <t>Preferências</t>
        </is>
      </c>
      <c r="K93" t="inlineStr">
        <is>
          <t>MOD-07</t>
        </is>
      </c>
      <c r="L93" t="inlineStr">
        <is>
          <t>Fase 2</t>
        </is>
      </c>
      <c r="M93" t="inlineStr">
        <is>
          <t>MOD-07</t>
        </is>
      </c>
    </row>
    <row r="94">
      <c r="A94" s="14" t="n">
        <v>89</v>
      </c>
      <c r="B94" s="14" t="inlineStr">
        <is>
          <t>COM</t>
        </is>
      </c>
      <c r="C94" s="14" t="inlineStr">
        <is>
          <t>Comunidades / Eu &amp; Eu / Cultura</t>
        </is>
      </c>
      <c r="D94" s="14" t="inlineStr">
        <is>
          <t>Objetivos</t>
        </is>
      </c>
      <c r="E94" s="14" t="inlineStr">
        <is>
          <t>Web/Mobile</t>
        </is>
      </c>
      <c r="F94" s="14" t="inlineStr">
        <is>
          <t>Fase 2</t>
        </is>
      </c>
      <c r="G94" s="14" t="inlineStr">
        <is>
          <t>Média</t>
        </is>
      </c>
      <c r="H94" s="14" t="inlineStr">
        <is>
          <t>Não</t>
        </is>
      </c>
      <c r="I94" s="14" t="inlineStr">
        <is>
          <t>CORE</t>
        </is>
      </c>
      <c r="J94" s="14" t="inlineStr">
        <is>
          <t>Metas</t>
        </is>
      </c>
      <c r="K94" t="inlineStr">
        <is>
          <t>MOD-07</t>
        </is>
      </c>
      <c r="L94" t="inlineStr">
        <is>
          <t>Fase 2</t>
        </is>
      </c>
      <c r="M94" t="inlineStr">
        <is>
          <t>MOD-07</t>
        </is>
      </c>
    </row>
    <row r="95">
      <c r="A95" s="14" t="n">
        <v>90</v>
      </c>
      <c r="B95" s="14" t="inlineStr">
        <is>
          <t>COM</t>
        </is>
      </c>
      <c r="C95" s="14" t="inlineStr">
        <is>
          <t>Comunidades / Eu &amp; Eu / Cultura</t>
        </is>
      </c>
      <c r="D95" s="14" t="inlineStr">
        <is>
          <t>Plano de ação</t>
        </is>
      </c>
      <c r="E95" s="14" t="inlineStr">
        <is>
          <t>Web/Mobile</t>
        </is>
      </c>
      <c r="F95" s="14" t="inlineStr">
        <is>
          <t>Fase 2</t>
        </is>
      </c>
      <c r="G95" s="14" t="inlineStr">
        <is>
          <t>Média</t>
        </is>
      </c>
      <c r="H95" s="14" t="inlineStr">
        <is>
          <t>Não</t>
        </is>
      </c>
      <c r="I95" s="14" t="inlineStr">
        <is>
          <t>CORE</t>
        </is>
      </c>
      <c r="J95" s="14" t="inlineStr">
        <is>
          <t>Passos</t>
        </is>
      </c>
      <c r="K95" t="inlineStr">
        <is>
          <t>MOD-07</t>
        </is>
      </c>
      <c r="L95" t="inlineStr">
        <is>
          <t>Fase 2</t>
        </is>
      </c>
      <c r="M95" t="inlineStr">
        <is>
          <t>MOD-07</t>
        </is>
      </c>
    </row>
    <row r="96">
      <c r="A96" s="14" t="n">
        <v>91</v>
      </c>
      <c r="B96" s="14" t="inlineStr">
        <is>
          <t>COM</t>
        </is>
      </c>
      <c r="C96" s="14" t="inlineStr">
        <is>
          <t>Comunidades / Eu &amp; Eu / Cultura</t>
        </is>
      </c>
      <c r="D96" s="14" t="inlineStr">
        <is>
          <t>Preparação / conteúdos</t>
        </is>
      </c>
      <c r="E96" s="14" t="inlineStr">
        <is>
          <t>Web/Mobile</t>
        </is>
      </c>
      <c r="F96" s="14" t="inlineStr">
        <is>
          <t>Fase 2</t>
        </is>
      </c>
      <c r="G96" s="14" t="inlineStr">
        <is>
          <t>Média</t>
        </is>
      </c>
      <c r="H96" s="14" t="inlineStr">
        <is>
          <t>Não</t>
        </is>
      </c>
      <c r="I96" s="14" t="inlineStr">
        <is>
          <t>CORE</t>
        </is>
      </c>
      <c r="J96" s="14" t="inlineStr">
        <is>
          <t>Trilhas</t>
        </is>
      </c>
      <c r="K96" t="inlineStr">
        <is>
          <t>MOD-07</t>
        </is>
      </c>
      <c r="L96" t="inlineStr">
        <is>
          <t>Fase 2</t>
        </is>
      </c>
      <c r="M96" t="inlineStr">
        <is>
          <t>MOD-07</t>
        </is>
      </c>
    </row>
    <row r="97">
      <c r="A97" s="14" t="n">
        <v>92</v>
      </c>
      <c r="B97" s="14" t="inlineStr">
        <is>
          <t>COM</t>
        </is>
      </c>
      <c r="C97" s="14" t="inlineStr">
        <is>
          <t>Comunidades / Eu &amp; Eu / Cultura</t>
        </is>
      </c>
      <c r="D97" s="14" t="inlineStr">
        <is>
          <t>Mentoria</t>
        </is>
      </c>
      <c r="E97" s="14" t="inlineStr">
        <is>
          <t>Web/Mobile</t>
        </is>
      </c>
      <c r="F97" s="14" t="inlineStr">
        <is>
          <t>Fase 2</t>
        </is>
      </c>
      <c r="G97" s="14" t="inlineStr">
        <is>
          <t>Média</t>
        </is>
      </c>
      <c r="H97" s="14" t="inlineStr">
        <is>
          <t>Não</t>
        </is>
      </c>
      <c r="I97" s="14" t="inlineStr">
        <is>
          <t>CORE</t>
        </is>
      </c>
      <c r="J97" s="14" t="inlineStr">
        <is>
          <t>Conexões</t>
        </is>
      </c>
      <c r="K97" t="inlineStr">
        <is>
          <t>MOD-07</t>
        </is>
      </c>
      <c r="L97" t="inlineStr">
        <is>
          <t>Fase 2</t>
        </is>
      </c>
      <c r="M97" t="inlineStr">
        <is>
          <t>Fase 2</t>
        </is>
      </c>
    </row>
    <row r="98">
      <c r="A98" s="14" t="n">
        <v>93</v>
      </c>
      <c r="B98" s="14" t="inlineStr">
        <is>
          <t>COM</t>
        </is>
      </c>
      <c r="C98" s="14" t="inlineStr">
        <is>
          <t>Comunidades / Eu &amp; Eu / Cultura</t>
        </is>
      </c>
      <c r="D98" s="14" t="inlineStr">
        <is>
          <t>Saúde &amp; cuidado</t>
        </is>
      </c>
      <c r="E98" s="14" t="inlineStr">
        <is>
          <t>Web/Mobile</t>
        </is>
      </c>
      <c r="F98" s="14" t="inlineStr">
        <is>
          <t>Fase 2</t>
        </is>
      </c>
      <c r="G98" s="14" t="inlineStr">
        <is>
          <t>Alta</t>
        </is>
      </c>
      <c r="H98" s="14" t="inlineStr">
        <is>
          <t>Não</t>
        </is>
      </c>
      <c r="I98" s="14" t="inlineStr">
        <is>
          <t>CORE</t>
        </is>
      </c>
      <c r="J98" s="14" t="inlineStr">
        <is>
          <t>Recursos</t>
        </is>
      </c>
      <c r="K98" t="inlineStr">
        <is>
          <t>MOD-07</t>
        </is>
      </c>
      <c r="L98" t="inlineStr">
        <is>
          <t>Fase 2</t>
        </is>
      </c>
      <c r="M98" t="inlineStr">
        <is>
          <t>Fase 2</t>
        </is>
      </c>
    </row>
    <row r="99">
      <c r="A99" s="14" t="n">
        <v>94</v>
      </c>
      <c r="B99" s="14" t="inlineStr">
        <is>
          <t>COM</t>
        </is>
      </c>
      <c r="C99" s="14" t="inlineStr">
        <is>
          <t>Comunidades / Eu &amp; Eu / Cultura</t>
        </is>
      </c>
      <c r="D99" s="14" t="inlineStr">
        <is>
          <t>Eventos da comunidade</t>
        </is>
      </c>
      <c r="E99" s="14" t="inlineStr">
        <is>
          <t>Web/Mobile</t>
        </is>
      </c>
      <c r="F99" s="14" t="inlineStr">
        <is>
          <t>Fase 2</t>
        </is>
      </c>
      <c r="G99" s="14" t="inlineStr">
        <is>
          <t>Média</t>
        </is>
      </c>
      <c r="H99" s="14" t="inlineStr">
        <is>
          <t>Não</t>
        </is>
      </c>
      <c r="I99" s="14" t="inlineStr">
        <is>
          <t>CORE</t>
        </is>
      </c>
      <c r="J99" s="14" t="inlineStr">
        <is>
          <t>Agenda</t>
        </is>
      </c>
      <c r="K99" t="inlineStr">
        <is>
          <t>MOD-07</t>
        </is>
      </c>
      <c r="L99" t="inlineStr">
        <is>
          <t>Fase 2</t>
        </is>
      </c>
      <c r="M99" t="inlineStr">
        <is>
          <t>MOD-07</t>
        </is>
      </c>
    </row>
    <row r="100">
      <c r="A100" s="14" t="n">
        <v>95</v>
      </c>
      <c r="B100" s="14" t="inlineStr">
        <is>
          <t>COM</t>
        </is>
      </c>
      <c r="C100" s="14" t="inlineStr">
        <is>
          <t>Comunidades / Eu &amp; Eu / Cultura</t>
        </is>
      </c>
      <c r="D100" s="14" t="inlineStr">
        <is>
          <t>Conexões com empresas</t>
        </is>
      </c>
      <c r="E100" s="14" t="inlineStr">
        <is>
          <t>Web/Mobile</t>
        </is>
      </c>
      <c r="F100" s="14" t="inlineStr">
        <is>
          <t>Fase 2</t>
        </is>
      </c>
      <c r="G100" s="14" t="inlineStr">
        <is>
          <t>Alta</t>
        </is>
      </c>
      <c r="H100" s="14" t="inlineStr">
        <is>
          <t>Não</t>
        </is>
      </c>
      <c r="I100" s="14" t="inlineStr">
        <is>
          <t>CORE</t>
        </is>
      </c>
      <c r="J100" s="14" t="inlineStr">
        <is>
          <t>Oportunidades</t>
        </is>
      </c>
      <c r="K100" t="inlineStr">
        <is>
          <t>MOD-07</t>
        </is>
      </c>
      <c r="L100" t="inlineStr">
        <is>
          <t>Fase 2</t>
        </is>
      </c>
      <c r="M100" t="inlineStr">
        <is>
          <t>MOD-07</t>
        </is>
      </c>
    </row>
    <row r="101">
      <c r="A101" s="14" t="n">
        <v>96</v>
      </c>
      <c r="B101" s="14" t="inlineStr">
        <is>
          <t>COM</t>
        </is>
      </c>
      <c r="C101" s="14" t="inlineStr">
        <is>
          <t>Comunidades / Eu &amp; Eu / Cultura</t>
        </is>
      </c>
      <c r="D101" s="14" t="inlineStr">
        <is>
          <t>Acadêmico</t>
        </is>
      </c>
      <c r="E101" s="14" t="inlineStr">
        <is>
          <t>Web/Mobile</t>
        </is>
      </c>
      <c r="F101" s="14" t="inlineStr">
        <is>
          <t>Fase 2</t>
        </is>
      </c>
      <c r="G101" s="14" t="inlineStr">
        <is>
          <t>Média</t>
        </is>
      </c>
      <c r="H101" s="14" t="inlineStr">
        <is>
          <t>Não</t>
        </is>
      </c>
      <c r="I101" s="14" t="inlineStr">
        <is>
          <t>CORE</t>
        </is>
      </c>
      <c r="J101" s="14" t="inlineStr">
        <is>
          <t>Formação</t>
        </is>
      </c>
      <c r="K101" t="inlineStr">
        <is>
          <t>MOD-07</t>
        </is>
      </c>
      <c r="L101" t="inlineStr">
        <is>
          <t>Fase 2</t>
        </is>
      </c>
      <c r="M101" t="inlineStr">
        <is>
          <t>Fase 2</t>
        </is>
      </c>
    </row>
    <row r="102">
      <c r="A102" t="n">
        <v>97</v>
      </c>
      <c r="B102" t="inlineStr">
        <is>
          <t>ED</t>
        </is>
      </c>
      <c r="C102" t="inlineStr">
        <is>
          <t>Estratégia &amp; Dados</t>
        </is>
      </c>
      <c r="D102" t="inlineStr">
        <is>
          <t>Catálogo e versionamento de KPIs</t>
        </is>
      </c>
      <c r="E102" t="inlineStr">
        <is>
          <t>Admin</t>
        </is>
      </c>
      <c r="F102" t="inlineStr">
        <is>
          <t>MVP</t>
        </is>
      </c>
      <c r="G102" t="inlineStr">
        <is>
          <t>Alta</t>
        </is>
      </c>
      <c r="H102" t="inlineStr">
        <is>
          <t>Não</t>
        </is>
      </c>
      <c r="I102" t="inlineStr">
        <is>
          <t>CORE</t>
        </is>
      </c>
      <c r="J102" t="inlineStr">
        <is>
          <t>Fórmula, owner, aprovação</t>
        </is>
      </c>
      <c r="K102" t="inlineStr">
        <is>
          <t>MOD-08</t>
        </is>
      </c>
      <c r="L102" t="inlineStr">
        <is>
          <t>MVP (MVP1)</t>
        </is>
      </c>
      <c r="M102" t="inlineStr">
        <is>
          <t>SCR-04/BL-006</t>
        </is>
      </c>
    </row>
    <row r="103">
      <c r="A103" t="n">
        <v>98</v>
      </c>
      <c r="B103" t="inlineStr">
        <is>
          <t>ED</t>
        </is>
      </c>
      <c r="C103" t="inlineStr">
        <is>
          <t>Estratégia &amp; Dados</t>
        </is>
      </c>
      <c r="D103" t="inlineStr">
        <is>
          <t>Configuração do motor de regras</t>
        </is>
      </c>
      <c r="E103" t="inlineStr">
        <is>
          <t>Admin</t>
        </is>
      </c>
      <c r="F103" t="inlineStr">
        <is>
          <t>MVP</t>
        </is>
      </c>
      <c r="G103" t="inlineStr">
        <is>
          <t>Alta</t>
        </is>
      </c>
      <c r="H103" t="inlineStr">
        <is>
          <t>Não</t>
        </is>
      </c>
      <c r="I103" t="inlineStr">
        <is>
          <t>CORE</t>
        </is>
      </c>
      <c r="J103" t="inlineStr">
        <is>
          <t>Severidade, supressão, SLA</t>
        </is>
      </c>
      <c r="K103" t="inlineStr">
        <is>
          <t>MOD-08</t>
        </is>
      </c>
      <c r="L103" t="inlineStr">
        <is>
          <t>MVP (MVP1)</t>
        </is>
      </c>
      <c r="M103" t="inlineStr">
        <is>
          <t>ALT-01..08/BL-010</t>
        </is>
      </c>
    </row>
    <row r="104">
      <c r="A104" t="n">
        <v>99</v>
      </c>
      <c r="B104" t="inlineStr">
        <is>
          <t>ED</t>
        </is>
      </c>
      <c r="C104" t="inlineStr">
        <is>
          <t>Estratégia &amp; Dados</t>
        </is>
      </c>
      <c r="D104" t="inlineStr">
        <is>
          <t>Registro de decisão e ação</t>
        </is>
      </c>
      <c r="E104" t="inlineStr">
        <is>
          <t>Web</t>
        </is>
      </c>
      <c r="F104" t="inlineStr">
        <is>
          <t>MVP</t>
        </is>
      </c>
      <c r="G104" t="inlineStr">
        <is>
          <t>Média</t>
        </is>
      </c>
      <c r="H104" t="inlineStr">
        <is>
          <t>Não</t>
        </is>
      </c>
      <c r="I104" t="inlineStr">
        <is>
          <t>CORE</t>
        </is>
      </c>
      <c r="J104" t="inlineStr">
        <is>
          <t>Motivo, prazo, evidência</t>
        </is>
      </c>
      <c r="K104" t="inlineStr">
        <is>
          <t>MOD-08</t>
        </is>
      </c>
      <c r="L104" t="inlineStr">
        <is>
          <t>MVP (MVP1)</t>
        </is>
      </c>
      <c r="M104" t="inlineStr">
        <is>
          <t>SCR-05/BL-011</t>
        </is>
      </c>
    </row>
    <row r="105">
      <c r="A105" t="n">
        <v>100</v>
      </c>
      <c r="B105" t="inlineStr">
        <is>
          <t>ED</t>
        </is>
      </c>
      <c r="C105" t="inlineStr">
        <is>
          <t>Estratégia &amp; Dados</t>
        </is>
      </c>
      <c r="D105" t="inlineStr">
        <is>
          <t>Diagnóstico de dados</t>
        </is>
      </c>
      <c r="E105" t="inlineStr">
        <is>
          <t>Admin</t>
        </is>
      </c>
      <c r="F105" t="inlineStr">
        <is>
          <t>MVP</t>
        </is>
      </c>
      <c r="G105" t="inlineStr">
        <is>
          <t>Alta</t>
        </is>
      </c>
      <c r="H105" t="inlineStr">
        <is>
          <t>Não</t>
        </is>
      </c>
      <c r="I105" t="inlineStr">
        <is>
          <t>CORE</t>
        </is>
      </c>
      <c r="J105" t="inlineStr">
        <is>
          <t>Jobs, freshness, rejeições, lineage</t>
        </is>
      </c>
      <c r="K105" t="inlineStr">
        <is>
          <t>MOD-01</t>
        </is>
      </c>
      <c r="L105" t="inlineStr">
        <is>
          <t>MVP (MVP1)</t>
        </is>
      </c>
      <c r="M105" t="inlineStr">
        <is>
          <t>SCR-07</t>
        </is>
      </c>
    </row>
    <row r="106">
      <c r="A106" t="n">
        <v>101</v>
      </c>
      <c r="B106" t="inlineStr">
        <is>
          <t>ED</t>
        </is>
      </c>
      <c r="C106" t="inlineStr">
        <is>
          <t>Estratégia &amp; Dados</t>
        </is>
      </c>
      <c r="D106" t="inlineStr">
        <is>
          <t>Relatório fairness/equidade</t>
        </is>
      </c>
      <c r="E106" t="inlineStr">
        <is>
          <t>Web</t>
        </is>
      </c>
      <c r="F106" t="inlineStr">
        <is>
          <t>MVP</t>
        </is>
      </c>
      <c r="G106" t="inlineStr">
        <is>
          <t>Alta</t>
        </is>
      </c>
      <c r="H106" t="inlineStr">
        <is>
          <t>Não</t>
        </is>
      </c>
      <c r="I106" t="inlineStr">
        <is>
          <t>CORE</t>
        </is>
      </c>
      <c r="J106" t="inlineStr">
        <is>
          <t>Disparidade por grupo</t>
        </is>
      </c>
      <c r="K106" t="inlineStr">
        <is>
          <t>MOD-08</t>
        </is>
      </c>
      <c r="L106" t="inlineStr">
        <is>
          <t>MVP (MVP1)</t>
        </is>
      </c>
      <c r="M106" t="inlineStr">
        <is>
          <t>GOV-07/BL-021</t>
        </is>
      </c>
    </row>
    <row r="107">
      <c r="A107" t="n">
        <v>102</v>
      </c>
      <c r="B107" t="inlineStr">
        <is>
          <t>CORE</t>
        </is>
      </c>
      <c r="C107" t="inlineStr">
        <is>
          <t>Core / Plataforma</t>
        </is>
      </c>
      <c r="D107" t="inlineStr">
        <is>
          <t>Contestação de dados e recomendações</t>
        </is>
      </c>
      <c r="E107" t="inlineStr">
        <is>
          <t>Web</t>
        </is>
      </c>
      <c r="F107" t="inlineStr">
        <is>
          <t>MVP</t>
        </is>
      </c>
      <c r="G107" t="inlineStr">
        <is>
          <t>Média</t>
        </is>
      </c>
      <c r="H107" t="inlineStr">
        <is>
          <t>Não</t>
        </is>
      </c>
      <c r="I107" t="inlineStr">
        <is>
          <t>-</t>
        </is>
      </c>
      <c r="J107" t="inlineStr">
        <is>
          <t>SLA e auditoria</t>
        </is>
      </c>
      <c r="K107" t="inlineStr">
        <is>
          <t>MOD-01</t>
        </is>
      </c>
      <c r="L107" t="inlineStr">
        <is>
          <t>MVP (MVP1)</t>
        </is>
      </c>
      <c r="M107" t="inlineStr">
        <is>
          <t>GOV-08/BL-017</t>
        </is>
      </c>
    </row>
    <row r="108">
      <c r="A108" t="n">
        <v>103</v>
      </c>
      <c r="B108" t="inlineStr">
        <is>
          <t>CORE</t>
        </is>
      </c>
      <c r="C108" t="inlineStr">
        <is>
          <t>Core / Plataforma</t>
        </is>
      </c>
      <c r="D108" t="inlineStr">
        <is>
          <t>Console API de indicadores</t>
        </is>
      </c>
      <c r="E108" t="inlineStr">
        <is>
          <t>Admin</t>
        </is>
      </c>
      <c r="F108" t="inlineStr">
        <is>
          <t>MVP</t>
        </is>
      </c>
      <c r="G108" t="inlineStr">
        <is>
          <t>Alta</t>
        </is>
      </c>
      <c r="H108" t="inlineStr">
        <is>
          <t>Não</t>
        </is>
      </c>
      <c r="I108" t="inlineStr">
        <is>
          <t>-</t>
        </is>
      </c>
      <c r="J108" t="inlineStr">
        <is>
          <t>Endpoints, versão, limites</t>
        </is>
      </c>
      <c r="K108" t="inlineStr">
        <is>
          <t>MOD-01</t>
        </is>
      </c>
      <c r="L108" t="inlineStr">
        <is>
          <t>MVP (MVP1)</t>
        </is>
      </c>
      <c r="M108" t="inlineStr">
        <is>
          <t>SCR-09</t>
        </is>
      </c>
    </row>
    <row r="109">
      <c r="A109" t="n">
        <v>104</v>
      </c>
      <c r="B109" t="inlineStr">
        <is>
          <t>CORE</t>
        </is>
      </c>
      <c r="C109" t="inlineStr">
        <is>
          <t>Core / Plataforma</t>
        </is>
      </c>
      <c r="D109" t="inlineStr">
        <is>
          <t>Administração multiempresa/tenants</t>
        </is>
      </c>
      <c r="E109" t="inlineStr">
        <is>
          <t>Admin</t>
        </is>
      </c>
      <c r="F109" t="inlineStr">
        <is>
          <t>MVP</t>
        </is>
      </c>
      <c r="G109" t="inlineStr">
        <is>
          <t>Alta</t>
        </is>
      </c>
      <c r="H109" t="inlineStr">
        <is>
          <t>Não</t>
        </is>
      </c>
      <c r="I109" t="inlineStr">
        <is>
          <t>-</t>
        </is>
      </c>
      <c r="J109" t="inlineStr">
        <is>
          <t>Isolamento tenant</t>
        </is>
      </c>
      <c r="K109" t="inlineStr">
        <is>
          <t>MOD-01</t>
        </is>
      </c>
      <c r="L109" t="inlineStr">
        <is>
          <t>MVP (F0)</t>
        </is>
      </c>
      <c r="M109" t="inlineStr">
        <is>
          <t>BL-001</t>
        </is>
      </c>
    </row>
    <row r="110">
      <c r="A110" t="n">
        <v>105</v>
      </c>
      <c r="B110" t="inlineStr">
        <is>
          <t>CORE</t>
        </is>
      </c>
      <c r="C110" t="inlineStr">
        <is>
          <t>Core / Plataforma</t>
        </is>
      </c>
      <c r="D110" t="inlineStr">
        <is>
          <t>Revogação e propagação de consentimento (N24)</t>
        </is>
      </c>
      <c r="E110" t="inlineStr">
        <is>
          <t>Web/Admin</t>
        </is>
      </c>
      <c r="F110" t="inlineStr">
        <is>
          <t>MVP</t>
        </is>
      </c>
      <c r="G110" t="inlineStr">
        <is>
          <t>Alta</t>
        </is>
      </c>
      <c r="H110" t="inlineStr">
        <is>
          <t>Não</t>
        </is>
      </c>
      <c r="I110" t="inlineStr">
        <is>
          <t>-</t>
        </is>
      </c>
      <c r="J110" t="inlineStr">
        <is>
          <t>Propagação &lt;=5min</t>
        </is>
      </c>
      <c r="K110" t="inlineStr">
        <is>
          <t>MOD-01</t>
        </is>
      </c>
      <c r="L110" t="inlineStr">
        <is>
          <t>MVP (MVP1)</t>
        </is>
      </c>
      <c r="M110" t="inlineStr">
        <is>
          <t>GOV-04</t>
        </is>
      </c>
    </row>
    <row r="111">
      <c r="A111" t="n">
        <v>106</v>
      </c>
      <c r="B111" t="inlineStr">
        <is>
          <t>CUST</t>
        </is>
      </c>
      <c r="C111" t="inlineStr">
        <is>
          <t>Clientes &amp; Receita</t>
        </is>
      </c>
      <c r="D111" t="inlineStr">
        <is>
          <t>Conta 360° / carteira</t>
        </is>
      </c>
      <c r="E111" t="inlineStr">
        <is>
          <t>Web</t>
        </is>
      </c>
      <c r="F111" t="inlineStr">
        <is>
          <t>MVP</t>
        </is>
      </c>
      <c r="G111" t="inlineStr">
        <is>
          <t>Média</t>
        </is>
      </c>
      <c r="H111" t="inlineStr">
        <is>
          <t>Não</t>
        </is>
      </c>
      <c r="I111" t="inlineStr">
        <is>
          <t>CORE</t>
        </is>
      </c>
      <c r="J111" t="inlineStr">
        <is>
          <t>Conta e owner</t>
        </is>
      </c>
      <c r="K111" t="inlineStr">
        <is>
          <t>MOD-04</t>
        </is>
      </c>
      <c r="L111" t="inlineStr">
        <is>
          <t>MVP (MVP1)</t>
        </is>
      </c>
      <c r="M111" t="inlineStr">
        <is>
          <t>SCR-01/MOD-04</t>
        </is>
      </c>
    </row>
    <row r="112">
      <c r="A112" t="n">
        <v>107</v>
      </c>
      <c r="B112" t="inlineStr">
        <is>
          <t>CUST</t>
        </is>
      </c>
      <c r="C112" t="inlineStr">
        <is>
          <t>Clientes &amp; Receita</t>
        </is>
      </c>
      <c r="D112" t="inlineStr">
        <is>
          <t>Contratos e renovações</t>
        </is>
      </c>
      <c r="E112" t="inlineStr">
        <is>
          <t>Web</t>
        </is>
      </c>
      <c r="F112" t="inlineStr">
        <is>
          <t>MVP</t>
        </is>
      </c>
      <c r="G112" t="inlineStr">
        <is>
          <t>Média</t>
        </is>
      </c>
      <c r="H112" t="inlineStr">
        <is>
          <t>Não</t>
        </is>
      </c>
      <c r="I112" t="inlineStr">
        <is>
          <t>CORE</t>
        </is>
      </c>
      <c r="J112" t="inlineStr">
        <is>
          <t>Vigência e valor</t>
        </is>
      </c>
      <c r="K112" t="inlineStr">
        <is>
          <t>MOD-04</t>
        </is>
      </c>
      <c r="L112" t="inlineStr">
        <is>
          <t>MVP (MVP1)</t>
        </is>
      </c>
      <c r="M112" t="inlineStr">
        <is>
          <t>MOD-04</t>
        </is>
      </c>
    </row>
    <row r="113">
      <c r="A113" t="n">
        <v>108</v>
      </c>
      <c r="B113" t="inlineStr">
        <is>
          <t>CUST</t>
        </is>
      </c>
      <c r="C113" t="inlineStr">
        <is>
          <t>Clientes &amp; Receita</t>
        </is>
      </c>
      <c r="D113" t="inlineStr">
        <is>
          <t>NPS e feedback</t>
        </is>
      </c>
      <c r="E113" t="inlineStr">
        <is>
          <t>Web</t>
        </is>
      </c>
      <c r="F113" t="inlineStr">
        <is>
          <t>MVP</t>
        </is>
      </c>
      <c r="G113" t="inlineStr">
        <is>
          <t>Média</t>
        </is>
      </c>
      <c r="H113" t="inlineStr">
        <is>
          <t>Não</t>
        </is>
      </c>
      <c r="I113" t="inlineStr">
        <is>
          <t>CORE</t>
        </is>
      </c>
      <c r="J113" t="inlineStr">
        <is>
          <t>Satisfação por conta</t>
        </is>
      </c>
      <c r="K113" t="inlineStr">
        <is>
          <t>MOD-04</t>
        </is>
      </c>
      <c r="L113" t="inlineStr">
        <is>
          <t>MVP (MVP1)</t>
        </is>
      </c>
      <c r="M113" t="inlineStr">
        <is>
          <t>MOD-04</t>
        </is>
      </c>
    </row>
    <row r="114">
      <c r="A114" t="n">
        <v>109</v>
      </c>
      <c r="B114" t="inlineStr">
        <is>
          <t>CUST</t>
        </is>
      </c>
      <c r="C114" t="inlineStr">
        <is>
          <t>Clientes &amp; Receita</t>
        </is>
      </c>
      <c r="D114" t="inlineStr">
        <is>
          <t>Risco de churn</t>
        </is>
      </c>
      <c r="E114" t="inlineStr">
        <is>
          <t>Web</t>
        </is>
      </c>
      <c r="F114" t="inlineStr">
        <is>
          <t>MVP+1</t>
        </is>
      </c>
      <c r="G114" t="inlineStr">
        <is>
          <t>Alta</t>
        </is>
      </c>
      <c r="H114" t="inlineStr">
        <is>
          <t>Não</t>
        </is>
      </c>
      <c r="I114" t="inlineStr">
        <is>
          <t>CORE</t>
        </is>
      </c>
      <c r="J114" t="inlineStr">
        <is>
          <t>Modelo + revisão humana</t>
        </is>
      </c>
      <c r="K114" t="inlineStr">
        <is>
          <t>MOD-04</t>
        </is>
      </c>
      <c r="L114" t="inlineStr">
        <is>
          <t>MVP+1</t>
        </is>
      </c>
      <c r="M114" t="inlineStr">
        <is>
          <t>KPI-CLI-01</t>
        </is>
      </c>
    </row>
    <row r="115">
      <c r="A115" t="n">
        <v>110</v>
      </c>
      <c r="B115" t="inlineStr">
        <is>
          <t>CUST</t>
        </is>
      </c>
      <c r="C115" t="inlineStr">
        <is>
          <t>Clientes &amp; Receita</t>
        </is>
      </c>
      <c r="D115" t="inlineStr">
        <is>
          <t>Receita e margem por cliente</t>
        </is>
      </c>
      <c r="E115" t="inlineStr">
        <is>
          <t>Web</t>
        </is>
      </c>
      <c r="F115" t="inlineStr">
        <is>
          <t>MVP</t>
        </is>
      </c>
      <c r="G115" t="inlineStr">
        <is>
          <t>Alta</t>
        </is>
      </c>
      <c r="H115" t="inlineStr">
        <is>
          <t>Não</t>
        </is>
      </c>
      <c r="I115" t="inlineStr">
        <is>
          <t>CORE</t>
        </is>
      </c>
      <c r="J115" t="inlineStr">
        <is>
          <t>Conciliado ao fechamento</t>
        </is>
      </c>
      <c r="K115" t="inlineStr">
        <is>
          <t>MOD-04</t>
        </is>
      </c>
      <c r="L115" t="inlineStr">
        <is>
          <t>MVP (MVP1)</t>
        </is>
      </c>
      <c r="M115" t="inlineStr">
        <is>
          <t>KPI-FIN-01/SCR-01</t>
        </is>
      </c>
    </row>
    <row r="116">
      <c r="A116" t="n">
        <v>111</v>
      </c>
      <c r="B116" t="inlineStr">
        <is>
          <t>CUST</t>
        </is>
      </c>
      <c r="C116" t="inlineStr">
        <is>
          <t>Clientes &amp; Receita</t>
        </is>
      </c>
      <c r="D116" t="inlineStr">
        <is>
          <t>Expansão e rentabilidade</t>
        </is>
      </c>
      <c r="E116" t="inlineStr">
        <is>
          <t>Web</t>
        </is>
      </c>
      <c r="F116" t="inlineStr">
        <is>
          <t>MVP</t>
        </is>
      </c>
      <c r="G116" t="inlineStr">
        <is>
          <t>Alta</t>
        </is>
      </c>
      <c r="H116" t="inlineStr">
        <is>
          <t>Não</t>
        </is>
      </c>
      <c r="I116" t="inlineStr">
        <is>
          <t>CORE</t>
        </is>
      </c>
      <c r="J116" t="inlineStr">
        <is>
          <t>Upsell e mix</t>
        </is>
      </c>
      <c r="K116" t="inlineStr">
        <is>
          <t>MOD-04</t>
        </is>
      </c>
      <c r="L116" t="inlineStr">
        <is>
          <t>MVP (MVP1)</t>
        </is>
      </c>
      <c r="M116" t="inlineStr">
        <is>
          <t>SCR-01</t>
        </is>
      </c>
    </row>
  </sheetData>
  <mergeCells count="1">
    <mergeCell ref="A1:J2"/>
  </mergeCells>
  <conditionalFormatting sqref="F6:F101">
    <cfRule type="expression" priority="1" dxfId="0">
      <formula>F6="MVP"</formula>
    </cfRule>
    <cfRule type="expression" priority="2" dxfId="1">
      <formula>F6="Fase 2"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style="26" min="1" max="1"/>
    <col width="30" customWidth="1" style="26" min="2" max="2"/>
    <col width="14" customWidth="1" style="26" min="3" max="3"/>
    <col width="12" customWidth="1" style="26" min="4" max="4"/>
    <col width="12" customWidth="1" style="26" min="5" max="5"/>
    <col width="18" customWidth="1" style="26" min="6" max="6"/>
    <col width="16" customWidth="1" style="26" min="7" max="7"/>
    <col width="48" customWidth="1" style="26" min="8" max="8"/>
  </cols>
  <sheetData>
    <row r="1">
      <c r="A1" s="5" t="inlineStr">
        <is>
          <t>RESUMO DE ESCOPO POR MÓDULO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5">
      <c r="A5" s="11" t="inlineStr">
        <is>
          <t>Código</t>
        </is>
      </c>
      <c r="B5" s="11" t="inlineStr">
        <is>
          <t>Módulo</t>
        </is>
      </c>
      <c r="C5" s="11" t="inlineStr">
        <is>
          <t>Total telas</t>
        </is>
      </c>
      <c r="D5" s="11" t="inlineStr">
        <is>
          <t>MVP</t>
        </is>
      </c>
      <c r="E5" s="11" t="inlineStr">
        <is>
          <t>Fase 2</t>
        </is>
      </c>
      <c r="F5" s="11" t="inlineStr">
        <is>
          <t>Alta/Muito alta</t>
        </is>
      </c>
      <c r="G5" s="11" t="inlineStr">
        <is>
          <t>Standalone?</t>
        </is>
      </c>
      <c r="H5" s="11" t="inlineStr">
        <is>
          <t>Leitura</t>
        </is>
      </c>
      <c r="I5" t="inlineStr">
        <is>
          <t>MVP+1</t>
        </is>
      </c>
    </row>
    <row r="6">
      <c r="A6" s="14" t="inlineStr">
        <is>
          <t>CORE</t>
        </is>
      </c>
      <c r="B6" s="14" t="inlineStr">
        <is>
          <t>Core / Plataforma</t>
        </is>
      </c>
      <c r="C6" s="14">
        <f>COUNTIF('02_Inventario_Paginas'!$B$6:$B$200,A6)</f>
        <v/>
      </c>
      <c r="D6" s="14">
        <f>COUNTIFS('02_Inventario_Paginas'!$B$6:$B$200,A6,'02_Inventario_Paginas'!$F$6:$F$200,"MVP")</f>
        <v/>
      </c>
      <c r="E6" s="14">
        <f>COUNTIFS('02_Inventario_Paginas'!$B$6:$B$200,A6,'02_Inventario_Paginas'!$F$6:$F$200,"Fase 2")</f>
        <v/>
      </c>
      <c r="F6" s="14">
        <f>COUNTIFS('02_Inventario_Paginas'!$B$6:$B$200,A6,'02_Inventario_Paginas'!$G$6:$G$200,"Alta")+COUNTIFS('02_Inventario_Paginas'!$B$6:$B$200,A6,'02_Inventario_Paginas'!$G$6:$G$200,"Muito alta")</f>
        <v/>
      </c>
      <c r="G6" s="14" t="inlineStr">
        <is>
          <t>Sim</t>
        </is>
      </c>
      <c r="H6" s="14" t="inlineStr">
        <is>
          <t>Obrigatório para qualquer implantação.</t>
        </is>
      </c>
      <c r="I6">
        <f>COUNTIFS('02_Inventario_Paginas'!$B$6:$B$200,A6,'02_Inventario_Paginas'!$F$6:$F$200,"MVP+1")</f>
        <v/>
      </c>
    </row>
    <row r="7">
      <c r="A7" s="14" t="inlineStr">
        <is>
          <t>ED</t>
        </is>
      </c>
      <c r="B7" s="14" t="inlineStr">
        <is>
          <t>Estratégia &amp; Dados</t>
        </is>
      </c>
      <c r="C7" s="14">
        <f>COUNTIF('02_Inventario_Paginas'!$B$6:$B$200,A7)</f>
        <v/>
      </c>
      <c r="D7" s="14">
        <f>COUNTIFS('02_Inventario_Paginas'!$B$6:$B$200,A7,'02_Inventario_Paginas'!$F$6:$F$200,"MVP")</f>
        <v/>
      </c>
      <c r="E7" s="14">
        <f>COUNTIFS('02_Inventario_Paginas'!$B$6:$B$200,A7,'02_Inventario_Paginas'!$F$6:$F$200,"Fase 2")</f>
        <v/>
      </c>
      <c r="F7" s="14">
        <f>COUNTIFS('02_Inventario_Paginas'!$B$6:$B$200,A7,'02_Inventario_Paginas'!$G$6:$G$200,"Alta")+COUNTIFS('02_Inventario_Paginas'!$B$6:$B$200,A7,'02_Inventario_Paginas'!$G$6:$G$200,"Muito alta")</f>
        <v/>
      </c>
      <c r="G7" s="14" t="inlineStr">
        <is>
          <t>Sim</t>
        </is>
      </c>
      <c r="H7" s="14" t="inlineStr">
        <is>
          <t>Pode ser vendido sozinho.</t>
        </is>
      </c>
      <c r="I7">
        <f>COUNTIFS('02_Inventario_Paginas'!$B$6:$B$200,A7,'02_Inventario_Paginas'!$F$6:$F$200,"MVP+1")</f>
        <v/>
      </c>
    </row>
    <row r="8">
      <c r="A8" s="14" t="inlineStr">
        <is>
          <t>COL</t>
        </is>
      </c>
      <c r="B8" s="14" t="inlineStr">
        <is>
          <t>Colaboradores / Meu Time</t>
        </is>
      </c>
      <c r="C8" s="14">
        <f>COUNTIF('02_Inventario_Paginas'!$B$6:$B$200,A8)</f>
        <v/>
      </c>
      <c r="D8" s="14">
        <f>COUNTIFS('02_Inventario_Paginas'!$B$6:$B$200,A8,'02_Inventario_Paginas'!$F$6:$F$200,"MVP")</f>
        <v/>
      </c>
      <c r="E8" s="14">
        <f>COUNTIFS('02_Inventario_Paginas'!$B$6:$B$200,A8,'02_Inventario_Paginas'!$F$6:$F$200,"Fase 2")</f>
        <v/>
      </c>
      <c r="F8" s="14">
        <f>COUNTIFS('02_Inventario_Paginas'!$B$6:$B$200,A8,'02_Inventario_Paginas'!$G$6:$G$200,"Alta")+COUNTIFS('02_Inventario_Paginas'!$B$6:$B$200,A8,'02_Inventario_Paginas'!$G$6:$G$200,"Muito alta")</f>
        <v/>
      </c>
      <c r="G8" s="14" t="inlineStr">
        <is>
          <t>Sim</t>
        </is>
      </c>
      <c r="H8" s="14" t="inlineStr">
        <is>
          <t>Pode operar sem marketplace externo.</t>
        </is>
      </c>
      <c r="I8">
        <f>COUNTIFS('02_Inventario_Paginas'!$B$6:$B$200,A8,'02_Inventario_Paginas'!$F$6:$F$200,"MVP+1")</f>
        <v/>
      </c>
    </row>
    <row r="9">
      <c r="A9" s="14" t="inlineStr">
        <is>
          <t>CAN</t>
        </is>
      </c>
      <c r="B9" s="14" t="inlineStr">
        <is>
          <t>Candidatos &amp; Carreira</t>
        </is>
      </c>
      <c r="C9" s="14">
        <f>COUNTIF('02_Inventario_Paginas'!$B$6:$B$200,A9)</f>
        <v/>
      </c>
      <c r="D9" s="14">
        <f>COUNTIFS('02_Inventario_Paginas'!$B$6:$B$200,A9,'02_Inventario_Paginas'!$F$6:$F$200,"MVP")</f>
        <v/>
      </c>
      <c r="E9" s="14">
        <f>COUNTIFS('02_Inventario_Paginas'!$B$6:$B$200,A9,'02_Inventario_Paginas'!$F$6:$F$200,"Fase 2")</f>
        <v/>
      </c>
      <c r="F9" s="14">
        <f>COUNTIFS('02_Inventario_Paginas'!$B$6:$B$200,A9,'02_Inventario_Paginas'!$G$6:$G$200,"Alta")+COUNTIFS('02_Inventario_Paginas'!$B$6:$B$200,A9,'02_Inventario_Paginas'!$G$6:$G$200,"Muito alta")</f>
        <v/>
      </c>
      <c r="G9" s="14" t="inlineStr">
        <is>
          <t>Sim</t>
        </is>
      </c>
      <c r="H9" s="14" t="inlineStr">
        <is>
          <t>Vertical de empregabilidade.</t>
        </is>
      </c>
      <c r="I9">
        <f>COUNTIFS('02_Inventario_Paginas'!$B$6:$B$200,A9,'02_Inventario_Paginas'!$F$6:$F$200,"MVP+1")</f>
        <v/>
      </c>
    </row>
    <row r="10">
      <c r="A10" s="14" t="inlineStr">
        <is>
          <t>FOR</t>
        </is>
      </c>
      <c r="B10" s="14" t="inlineStr">
        <is>
          <t>Fornecedores &amp; Negócios</t>
        </is>
      </c>
      <c r="C10" s="14">
        <f>COUNTIF('02_Inventario_Paginas'!$B$6:$B$200,A10)</f>
        <v/>
      </c>
      <c r="D10" s="14">
        <f>COUNTIFS('02_Inventario_Paginas'!$B$6:$B$200,A10,'02_Inventario_Paginas'!$F$6:$F$200,"MVP")</f>
        <v/>
      </c>
      <c r="E10" s="14">
        <f>COUNTIFS('02_Inventario_Paginas'!$B$6:$B$200,A10,'02_Inventario_Paginas'!$F$6:$F$200,"Fase 2")</f>
        <v/>
      </c>
      <c r="F10" s="14">
        <f>COUNTIFS('02_Inventario_Paginas'!$B$6:$B$200,A10,'02_Inventario_Paginas'!$G$6:$G$200,"Alta")+COUNTIFS('02_Inventario_Paginas'!$B$6:$B$200,A10,'02_Inventario_Paginas'!$G$6:$G$200,"Muito alta")</f>
        <v/>
      </c>
      <c r="G10" s="14" t="inlineStr">
        <is>
          <t>Sim</t>
        </is>
      </c>
      <c r="H10" s="14" t="inlineStr">
        <is>
          <t>Pode operar sozinho para acesso a mercado.</t>
        </is>
      </c>
      <c r="I10">
        <f>COUNTIFS('02_Inventario_Paginas'!$B$6:$B$200,A10,'02_Inventario_Paginas'!$F$6:$F$200,"MVP+1")</f>
        <v/>
      </c>
    </row>
    <row r="11">
      <c r="A11" s="14" t="inlineStr">
        <is>
          <t>ACA</t>
        </is>
      </c>
      <c r="B11" s="14" t="inlineStr">
        <is>
          <t>Acadêmico / Universidades</t>
        </is>
      </c>
      <c r="C11" s="14">
        <f>COUNTIF('02_Inventario_Paginas'!$B$6:$B$200,A11)</f>
        <v/>
      </c>
      <c r="D11" s="14">
        <f>COUNTIFS('02_Inventario_Paginas'!$B$6:$B$200,A11,'02_Inventario_Paginas'!$F$6:$F$200,"MVP")</f>
        <v/>
      </c>
      <c r="E11" s="14">
        <f>COUNTIFS('02_Inventario_Paginas'!$B$6:$B$200,A11,'02_Inventario_Paginas'!$F$6:$F$200,"Fase 2")</f>
        <v/>
      </c>
      <c r="F11" s="14">
        <f>COUNTIFS('02_Inventario_Paginas'!$B$6:$B$200,A11,'02_Inventario_Paginas'!$G$6:$G$200,"Alta")+COUNTIFS('02_Inventario_Paginas'!$B$6:$B$200,A11,'02_Inventario_Paginas'!$G$6:$G$200,"Muito alta")</f>
        <v/>
      </c>
      <c r="G11" s="14" t="inlineStr">
        <is>
          <t>Sim</t>
        </is>
      </c>
      <c r="H11" s="14" t="inlineStr">
        <is>
          <t>Pode ser vendido sozinho para universidade.</t>
        </is>
      </c>
      <c r="I11">
        <f>COUNTIFS('02_Inventario_Paginas'!$B$6:$B$200,A11,'02_Inventario_Paginas'!$F$6:$F$200,"MVP+1")</f>
        <v/>
      </c>
    </row>
    <row r="12">
      <c r="A12" s="14" t="inlineStr">
        <is>
          <t>EVT</t>
        </is>
      </c>
      <c r="B12" s="14" t="inlineStr">
        <is>
          <t>Eventos</t>
        </is>
      </c>
      <c r="C12" s="14">
        <f>COUNTIF('02_Inventario_Paginas'!$B$6:$B$200,A12)</f>
        <v/>
      </c>
      <c r="D12" s="14">
        <f>COUNTIFS('02_Inventario_Paginas'!$B$6:$B$200,A12,'02_Inventario_Paginas'!$F$6:$F$200,"MVP")</f>
        <v/>
      </c>
      <c r="E12" s="14">
        <f>COUNTIFS('02_Inventario_Paginas'!$B$6:$B$200,A12,'02_Inventario_Paginas'!$F$6:$F$200,"Fase 2")</f>
        <v/>
      </c>
      <c r="F12" s="14">
        <f>COUNTIFS('02_Inventario_Paginas'!$B$6:$B$200,A12,'02_Inventario_Paginas'!$G$6:$G$200,"Alta")+COUNTIFS('02_Inventario_Paginas'!$B$6:$B$200,A12,'02_Inventario_Paginas'!$G$6:$G$200,"Muito alta")</f>
        <v/>
      </c>
      <c r="G12" s="14" t="inlineStr">
        <is>
          <t>Parcial</t>
        </is>
      </c>
      <c r="H12" s="14" t="inlineStr">
        <is>
          <t>Pode começar standalone, mas ganha valor com outros módulos.</t>
        </is>
      </c>
      <c r="I12">
        <f>COUNTIFS('02_Inventario_Paginas'!$B$6:$B$200,A12,'02_Inventario_Paginas'!$F$6:$F$200,"MVP+1")</f>
        <v/>
      </c>
    </row>
    <row r="13">
      <c r="A13" s="14" t="inlineStr">
        <is>
          <t>COM</t>
        </is>
      </c>
      <c r="B13" s="14" t="inlineStr">
        <is>
          <t>Comunidades / Eu &amp; Eu / Cultura</t>
        </is>
      </c>
      <c r="C13" s="14">
        <f>COUNTIF('02_Inventario_Paginas'!$B$6:$B$200,A13)</f>
        <v/>
      </c>
      <c r="D13" s="14">
        <f>COUNTIFS('02_Inventario_Paginas'!$B$6:$B$200,A13,'02_Inventario_Paginas'!$F$6:$F$200,"MVP")</f>
        <v/>
      </c>
      <c r="E13" s="14">
        <f>COUNTIFS('02_Inventario_Paginas'!$B$6:$B$200,A13,'02_Inventario_Paginas'!$F$6:$F$200,"Fase 2")</f>
        <v/>
      </c>
      <c r="F13" s="14">
        <f>COUNTIFS('02_Inventario_Paginas'!$B$6:$B$200,A13,'02_Inventario_Paginas'!$G$6:$G$200,"Alta")+COUNTIFS('02_Inventario_Paginas'!$B$6:$B$200,A13,'02_Inventario_Paginas'!$G$6:$G$200,"Muito alta")</f>
        <v/>
      </c>
      <c r="G13" s="14" t="inlineStr">
        <is>
          <t>Sim</t>
        </is>
      </c>
      <c r="H13" s="14" t="inlineStr">
        <is>
          <t>Camada B2C; não é pré-requisito B2B.</t>
        </is>
      </c>
      <c r="I13">
        <f>COUNTIFS('02_Inventario_Paginas'!$B$6:$B$200,A13,'02_Inventario_Paginas'!$F$6:$F$200,"MVP+1")</f>
        <v/>
      </c>
    </row>
    <row r="14">
      <c r="A14" t="inlineStr">
        <is>
          <t>CUST</t>
        </is>
      </c>
      <c r="B14" t="inlineStr">
        <is>
          <t>Clientes &amp; Receita</t>
        </is>
      </c>
      <c r="C14">
        <f>COUNTIF('02_Inventario_Paginas'!$B$6:$B$200,A14)</f>
        <v/>
      </c>
      <c r="D14">
        <f>COUNTIFS('02_Inventario_Paginas'!$B$6:$B$200,A14,'02_Inventario_Paginas'!$F$6:$F$200,"MVP")</f>
        <v/>
      </c>
      <c r="E14">
        <f>COUNTIFS('02_Inventario_Paginas'!$B$6:$B$200,A14,'02_Inventario_Paginas'!$F$6:$F$200,"Fase 2")</f>
        <v/>
      </c>
      <c r="F14">
        <f>COUNTIFS('02_Inventario_Paginas'!$B$6:$B$200,A14,'02_Inventario_Paginas'!$G$6:$G$200,"Alta")+COUNTIFS('02_Inventario_Paginas'!$B$6:$B$200,A14,'02_Inventario_Paginas'!$G$6:$G$200,"Muito alta")</f>
        <v/>
      </c>
      <c r="G14" t="inlineStr">
        <is>
          <t>Sim</t>
        </is>
      </c>
      <c r="H14" t="inlineStr">
        <is>
          <t>Novo — MOD-04 Tecnica (MVP); CRM/NPS/churn.</t>
        </is>
      </c>
      <c r="I14">
        <f>COUNTIFS('02_Inventario_Paginas'!$B$6:$B$200,A14,'02_Inventario_Paginas'!$F$6:$F$200,"MVP+1")</f>
        <v/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30" customWidth="1" style="26" min="2" max="2"/>
    <col width="11" customWidth="1" style="26" min="3" max="3"/>
    <col width="11" customWidth="1" style="26" min="4" max="4"/>
    <col width="11" customWidth="1" style="26" min="5" max="5"/>
    <col width="11" customWidth="1" style="26" min="6" max="6"/>
    <col width="11" customWidth="1" style="26" min="7" max="7"/>
    <col width="11" customWidth="1" style="26" min="8" max="8"/>
    <col width="11" customWidth="1" style="26" min="9" max="9"/>
    <col width="11" customWidth="1" style="26" min="10" max="10"/>
  </cols>
  <sheetData>
    <row r="1">
      <c r="A1" s="5" t="inlineStr">
        <is>
          <t>MATRIZ DE INTEGRAÇÃO ENTRE FRENTES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9" t="inlineStr">
        <is>
          <t>3 = mesmo módulo | 2 = integração direta/forte | 1 = opcional/troca de dados | 0 = não precisa conversar diretamente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1" t="inlineStr">
        <is>
          <t>Código</t>
        </is>
      </c>
      <c r="B5" s="11" t="inlineStr">
        <is>
          <t>Módulo</t>
        </is>
      </c>
      <c r="C5" s="11" t="inlineStr">
        <is>
          <t>MOD-01</t>
        </is>
      </c>
      <c r="D5" s="11" t="inlineStr">
        <is>
          <t>MOD-02</t>
        </is>
      </c>
      <c r="E5" s="11" t="inlineStr">
        <is>
          <t>MOD-03</t>
        </is>
      </c>
      <c r="F5" s="11" t="inlineStr">
        <is>
          <t>MOD-04</t>
        </is>
      </c>
      <c r="G5" s="11" t="inlineStr">
        <is>
          <t>MOD-05</t>
        </is>
      </c>
      <c r="H5" s="11" t="inlineStr">
        <is>
          <t>MOD-06</t>
        </is>
      </c>
      <c r="I5" s="11" t="inlineStr">
        <is>
          <t>MOD-07</t>
        </is>
      </c>
      <c r="J5" s="11" t="inlineStr">
        <is>
          <t>MOD-08</t>
        </is>
      </c>
    </row>
    <row r="6">
      <c r="A6" t="inlineStr">
        <is>
          <t>MOD-01</t>
        </is>
      </c>
      <c r="B6" t="inlineStr">
        <is>
          <t>HUB Core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</row>
    <row r="7">
      <c r="A7" t="inlineStr">
        <is>
          <t>MOD-02</t>
        </is>
      </c>
      <c r="B7" t="inlineStr">
        <is>
          <t>Performance</t>
        </is>
      </c>
      <c r="C7" t="n">
        <v>2</v>
      </c>
      <c r="D7" t="n">
        <v>3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MOD-03</t>
        </is>
      </c>
      <c r="B8" t="inlineStr">
        <is>
          <t>Pessoas e Talentos</t>
        </is>
      </c>
      <c r="C8" t="n">
        <v>2</v>
      </c>
      <c r="D8" t="n">
        <v>2</v>
      </c>
      <c r="E8" t="n">
        <v>3</v>
      </c>
      <c r="F8" t="n">
        <v>1</v>
      </c>
      <c r="G8" t="n">
        <v>0</v>
      </c>
      <c r="H8" t="n">
        <v>2</v>
      </c>
      <c r="I8" t="n">
        <v>1</v>
      </c>
      <c r="J8" t="n">
        <v>2</v>
      </c>
    </row>
    <row r="9">
      <c r="A9" t="inlineStr">
        <is>
          <t>MOD-04</t>
        </is>
      </c>
      <c r="B9" t="inlineStr">
        <is>
          <t>Clientes e Receita</t>
        </is>
      </c>
      <c r="C9" t="n">
        <v>2</v>
      </c>
      <c r="D9" t="n">
        <v>2</v>
      </c>
      <c r="E9" t="n">
        <v>1</v>
      </c>
      <c r="F9" t="n">
        <v>3</v>
      </c>
      <c r="G9" t="n">
        <v>1</v>
      </c>
      <c r="H9" t="n">
        <v>0</v>
      </c>
      <c r="I9" t="n">
        <v>1</v>
      </c>
      <c r="J9" t="n">
        <v>2</v>
      </c>
    </row>
    <row r="10">
      <c r="A10" t="inlineStr">
        <is>
          <t>MOD-05</t>
        </is>
      </c>
      <c r="B10" t="inlineStr">
        <is>
          <t>Fornecedores e Compras</t>
        </is>
      </c>
      <c r="C10" t="n">
        <v>2</v>
      </c>
      <c r="D10" t="n">
        <v>0</v>
      </c>
      <c r="E10" t="n">
        <v>0</v>
      </c>
      <c r="F10" t="n">
        <v>1</v>
      </c>
      <c r="G10" t="n">
        <v>3</v>
      </c>
      <c r="H10" t="n">
        <v>0</v>
      </c>
      <c r="I10" t="n">
        <v>2</v>
      </c>
      <c r="J10" t="n">
        <v>1</v>
      </c>
    </row>
    <row r="11">
      <c r="A11" t="inlineStr">
        <is>
          <t>MOD-06</t>
        </is>
      </c>
      <c r="B11" t="inlineStr">
        <is>
          <t>Acadêmico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3</v>
      </c>
      <c r="I11" t="n">
        <v>2</v>
      </c>
      <c r="J11" t="n">
        <v>1</v>
      </c>
    </row>
    <row r="12">
      <c r="A12" t="inlineStr">
        <is>
          <t>MOD-07</t>
        </is>
      </c>
      <c r="B12" t="inlineStr">
        <is>
          <t>Comunidades e Eventos</t>
        </is>
      </c>
      <c r="C12" t="n">
        <v>2</v>
      </c>
      <c r="D12" t="n">
        <v>0</v>
      </c>
      <c r="E12" t="n">
        <v>1</v>
      </c>
      <c r="F12" t="n">
        <v>1</v>
      </c>
      <c r="G12" t="n">
        <v>2</v>
      </c>
      <c r="H12" t="n">
        <v>2</v>
      </c>
      <c r="I12" t="n">
        <v>3</v>
      </c>
      <c r="J12" t="n">
        <v>1</v>
      </c>
    </row>
    <row r="13">
      <c r="A13" t="inlineStr">
        <is>
          <t>MOD-08</t>
        </is>
      </c>
      <c r="B13" t="inlineStr">
        <is>
          <t>HUB Impact</t>
        </is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3</v>
      </c>
    </row>
  </sheetData>
  <mergeCells count="2">
    <mergeCell ref="A1:J2"/>
    <mergeCell ref="A3:J3"/>
  </mergeCells>
  <conditionalFormatting sqref="C6:J13">
    <cfRule type="cellIs" priority="1" dxfId="2">
      <formula>2</formula>
    </cfRule>
    <cfRule type="cellIs" priority="2" dxfId="1">
      <formula>1</formula>
    </cfRule>
    <cfRule type="cellIs" priority="3" dxfId="4">
      <formula>0</formula>
    </cfRule>
    <cfRule type="cellIs" priority="4" dxfId="5">
      <formula>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5" customWidth="1" style="26" min="1" max="1"/>
    <col width="25" customWidth="1" style="26" min="2" max="2"/>
    <col width="22" customWidth="1" style="26" min="3" max="3"/>
    <col width="38" customWidth="1" style="26" min="4" max="4"/>
    <col width="38" customWidth="1" style="26" min="5" max="5"/>
    <col width="15" customWidth="1" style="26" min="6" max="6"/>
    <col width="16" customWidth="1" style="26" min="7" max="7"/>
    <col width="48" customWidth="1" style="26" min="8" max="8"/>
  </cols>
  <sheetData>
    <row r="1">
      <c r="A1" s="5" t="inlineStr">
        <is>
          <t>O QUE CONVERSA DIRETAMENTE — E O QUE NÃO PRECISA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5">
      <c r="A5" s="11" t="inlineStr">
        <is>
          <t>Origem</t>
        </is>
      </c>
      <c r="B5" s="11" t="inlineStr">
        <is>
          <t>Destino</t>
        </is>
      </c>
      <c r="C5" s="11" t="inlineStr">
        <is>
          <t>Tipo</t>
        </is>
      </c>
      <c r="D5" s="11" t="inlineStr">
        <is>
          <t>Dado compartilhado</t>
        </is>
      </c>
      <c r="E5" s="11" t="inlineStr">
        <is>
          <t>Por que integrar</t>
        </is>
      </c>
      <c r="F5" s="11" t="inlineStr">
        <is>
          <t>Obrigatória?</t>
        </is>
      </c>
      <c r="G5" s="11" t="inlineStr">
        <is>
          <t>Funciona sem?</t>
        </is>
      </c>
      <c r="H5" s="11" t="inlineStr">
        <is>
          <t>Exemplo</t>
        </is>
      </c>
    </row>
    <row r="6">
      <c r="A6" s="14" t="inlineStr">
        <is>
          <t>MOD-08 HUB Impact</t>
        </is>
      </c>
      <c r="B6" s="14" t="inlineStr">
        <is>
          <t>MOD-02 Performance</t>
        </is>
      </c>
      <c r="C6" s="14" t="inlineStr">
        <is>
          <t>Direta</t>
        </is>
      </c>
      <c r="D6" s="14" t="inlineStr">
        <is>
          <t>KPIs, skills, desempenho, liderança</t>
        </is>
      </c>
      <c r="E6" s="14" t="inlineStr">
        <is>
          <t>Enriquece pessoas x negócio</t>
        </is>
      </c>
      <c r="F6" s="14" t="inlineStr">
        <is>
          <t>Não</t>
        </is>
      </c>
      <c r="G6" s="14" t="inlineStr">
        <is>
          <t>Sim</t>
        </is>
      </c>
      <c r="H6" s="14" t="inlineStr">
        <is>
          <t>ED pode usar RHIS/ERP/BI sem COL.</t>
        </is>
      </c>
    </row>
    <row r="7">
      <c r="A7" s="14" t="inlineStr">
        <is>
          <t>MOD-08 HUB Impact</t>
        </is>
      </c>
      <c r="B7" s="14" t="inlineStr">
        <is>
          <t>MOD-07</t>
        </is>
      </c>
      <c r="C7" s="14" t="inlineStr">
        <is>
          <t>Direta</t>
        </is>
      </c>
      <c r="D7" s="14" t="inlineStr">
        <is>
          <t>Pesquisa, receita, custos, fornecedores, equipes</t>
        </is>
      </c>
      <c r="E7" s="14" t="inlineStr">
        <is>
          <t>Conecta operação ao ROI</t>
        </is>
      </c>
      <c r="F7" s="14" t="inlineStr">
        <is>
          <t>Não</t>
        </is>
      </c>
      <c r="G7" s="14" t="inlineStr">
        <is>
          <t>Sim</t>
        </is>
      </c>
      <c r="H7" s="14" t="inlineStr">
        <is>
          <t>EVT pode enviar dados agregados.</t>
        </is>
      </c>
    </row>
    <row r="8">
      <c r="A8" s="14" t="inlineStr">
        <is>
          <t>MOD-08 HUB Impact</t>
        </is>
      </c>
      <c r="B8" s="14" t="inlineStr">
        <is>
          <t>MOD-05</t>
        </is>
      </c>
      <c r="C8" s="14" t="inlineStr">
        <is>
          <t>Opcional</t>
        </is>
      </c>
      <c r="D8" s="14" t="inlineStr">
        <is>
          <t>Spend, conversão, impacto</t>
        </is>
      </c>
      <c r="E8" s="14" t="inlineStr">
        <is>
          <t>Analisa cadeia e negócios</t>
        </is>
      </c>
      <c r="F8" s="14" t="inlineStr">
        <is>
          <t>Não</t>
        </is>
      </c>
      <c r="G8" s="14" t="inlineStr">
        <is>
          <t>Sim</t>
        </is>
      </c>
      <c r="H8" s="14" t="inlineStr">
        <is>
          <t>ED não depende do marketplace B2B.</t>
        </is>
      </c>
    </row>
    <row r="9">
      <c r="A9" s="14" t="inlineStr">
        <is>
          <t>MOD-08 HUB Impact</t>
        </is>
      </c>
      <c r="B9" s="14" t="inlineStr">
        <is>
          <t>MOD-03</t>
        </is>
      </c>
      <c r="C9" s="14" t="inlineStr">
        <is>
          <t>Opcional</t>
        </is>
      </c>
      <c r="D9" s="14" t="inlineStr">
        <is>
          <t>Funil, contratação, skills</t>
        </is>
      </c>
      <c r="E9" s="14" t="inlineStr">
        <is>
          <t>Relaciona atração e performance</t>
        </is>
      </c>
      <c r="F9" s="14" t="inlineStr">
        <is>
          <t>Não</t>
        </is>
      </c>
      <c r="G9" s="14" t="inlineStr">
        <is>
          <t>Sim</t>
        </is>
      </c>
      <c r="H9" s="14" t="inlineStr">
        <is>
          <t>Pode usar ATS existente.</t>
        </is>
      </c>
    </row>
    <row r="10">
      <c r="A10" s="14" t="inlineStr">
        <is>
          <t>MOD-03</t>
        </is>
      </c>
      <c r="B10" s="14" t="inlineStr">
        <is>
          <t>MOD-06</t>
        </is>
      </c>
      <c r="C10" s="14" t="inlineStr">
        <is>
          <t>Direta</t>
        </is>
      </c>
      <c r="D10" s="14" t="inlineStr">
        <is>
          <t>Perfil, skills, formação, projetos, estágio</t>
        </is>
      </c>
      <c r="E10" s="14" t="inlineStr">
        <is>
          <t>Formação -&gt; empregabilidade</t>
        </is>
      </c>
      <c r="F10" s="14" t="inlineStr">
        <is>
          <t>Não</t>
        </is>
      </c>
      <c r="G10" s="14" t="inlineStr">
        <is>
          <t>Sim</t>
        </is>
      </c>
      <c r="H10" s="14" t="inlineStr">
        <is>
          <t>ACA pode ter oportunidades próprias.</t>
        </is>
      </c>
    </row>
    <row r="11">
      <c r="A11" s="14" t="inlineStr">
        <is>
          <t>MOD-03</t>
        </is>
      </c>
      <c r="B11" s="14" t="inlineStr">
        <is>
          <t>MOD-07</t>
        </is>
      </c>
      <c r="C11" s="14" t="inlineStr">
        <is>
          <t>Direta</t>
        </is>
      </c>
      <c r="D11" s="14" t="inlineStr">
        <is>
          <t>Talentos temporários e vagas</t>
        </is>
      </c>
      <c r="E11" s="14" t="inlineStr">
        <is>
          <t>Contratação para eventos</t>
        </is>
      </c>
      <c r="F11" s="14" t="inlineStr">
        <is>
          <t>Não</t>
        </is>
      </c>
      <c r="G11" s="14" t="inlineStr">
        <is>
          <t>Sim</t>
        </is>
      </c>
      <c r="H11" s="14" t="inlineStr">
        <is>
          <t>EVT pode integrar ATS externo.</t>
        </is>
      </c>
    </row>
    <row r="12">
      <c r="A12" s="14" t="inlineStr">
        <is>
          <t>MOD-05</t>
        </is>
      </c>
      <c r="B12" s="14" t="inlineStr">
        <is>
          <t>MOD-07</t>
        </is>
      </c>
      <c r="C12" s="14" t="inlineStr">
        <is>
          <t>Direta</t>
        </is>
      </c>
      <c r="D12" s="14" t="inlineStr">
        <is>
          <t>Fornecedores, demandas, docs, contratos</t>
        </is>
      </c>
      <c r="E12" s="14" t="inlineStr">
        <is>
          <t>Compras do evento</t>
        </is>
      </c>
      <c r="F12" s="14" t="inlineStr">
        <is>
          <t>Não</t>
        </is>
      </c>
      <c r="G12" s="14" t="inlineStr">
        <is>
          <t>Sim</t>
        </is>
      </c>
      <c r="H12" s="14" t="inlineStr">
        <is>
          <t>EVT pode cadastrar base própria.</t>
        </is>
      </c>
    </row>
    <row r="13">
      <c r="A13" s="14" t="inlineStr">
        <is>
          <t>MOD-06</t>
        </is>
      </c>
      <c r="B13" s="14" t="inlineStr">
        <is>
          <t>Empresas/MOD-03</t>
        </is>
      </c>
      <c r="C13" s="14" t="inlineStr">
        <is>
          <t>Direta</t>
        </is>
      </c>
      <c r="D13" s="14" t="inlineStr">
        <is>
          <t>Projetos, bolsas, estágios, pesquisa</t>
        </is>
      </c>
      <c r="E13" s="14" t="inlineStr">
        <is>
          <t>Universidade -&gt; mercado</t>
        </is>
      </c>
      <c r="F13" s="14" t="inlineStr">
        <is>
          <t>Não</t>
        </is>
      </c>
      <c r="G13" s="14" t="inlineStr">
        <is>
          <t>Sim</t>
        </is>
      </c>
      <c r="H13" s="14" t="inlineStr">
        <is>
          <t>ACA pode começar isolado.</t>
        </is>
      </c>
    </row>
    <row r="14">
      <c r="A14" s="14" t="inlineStr">
        <is>
          <t>MOD-07</t>
        </is>
      </c>
      <c r="B14" s="14" t="inlineStr">
        <is>
          <t>MOD-03</t>
        </is>
      </c>
      <c r="C14" s="14" t="inlineStr">
        <is>
          <t>Direta c/ consentimento</t>
        </is>
      </c>
      <c r="D14" s="14" t="inlineStr">
        <is>
          <t>Perfil, objetivos, preparação</t>
        </is>
      </c>
      <c r="E14" s="14" t="inlineStr">
        <is>
          <t>Evita recadastro</t>
        </is>
      </c>
      <c r="F14" s="14" t="inlineStr">
        <is>
          <t>Não</t>
        </is>
      </c>
      <c r="G14" s="14" t="inlineStr">
        <is>
          <t>Sim</t>
        </is>
      </c>
      <c r="H14" s="14" t="inlineStr">
        <is>
          <t>CAN pode ter onboarding próprio.</t>
        </is>
      </c>
    </row>
    <row r="15">
      <c r="A15" s="14" t="inlineStr">
        <is>
          <t>MOD-07</t>
        </is>
      </c>
      <c r="B15" s="14" t="inlineStr">
        <is>
          <t>MOD-07</t>
        </is>
      </c>
      <c r="C15" s="14" t="inlineStr">
        <is>
          <t>Direta c/ consentimento</t>
        </is>
      </c>
      <c r="D15" s="14" t="inlineStr">
        <is>
          <t>Interesses, presença, pesquisa</t>
        </is>
      </c>
      <c r="E15" s="14" t="inlineStr">
        <is>
          <t>Personaliza experiência</t>
        </is>
      </c>
      <c r="F15" s="14" t="inlineStr">
        <is>
          <t>Não</t>
        </is>
      </c>
      <c r="G15" s="14" t="inlineStr">
        <is>
          <t>Sim</t>
        </is>
      </c>
      <c r="H15" s="14" t="inlineStr">
        <is>
          <t>EVT pode operar com base própria.</t>
        </is>
      </c>
    </row>
    <row r="16">
      <c r="A16" s="14" t="inlineStr">
        <is>
          <t>MOD-03</t>
        </is>
      </c>
      <c r="B16" s="14" t="inlineStr">
        <is>
          <t>MOD-05</t>
        </is>
      </c>
      <c r="C16" s="14" t="inlineStr">
        <is>
          <t>Sem integração direta</t>
        </is>
      </c>
      <c r="D16" s="14" t="inlineStr">
        <is>
          <t>-</t>
        </is>
      </c>
      <c r="E16" s="14" t="inlineStr">
        <is>
          <t>Marketplaces diferentes</t>
        </is>
      </c>
      <c r="F16" s="14" t="inlineStr">
        <is>
          <t>Não</t>
        </is>
      </c>
      <c r="G16" s="14" t="inlineStr">
        <is>
          <t>Sim</t>
        </is>
      </c>
      <c r="H16" s="14" t="inlineStr">
        <is>
          <t>Cruza apenas em casos via Core/Eventos.</t>
        </is>
      </c>
    </row>
    <row r="17">
      <c r="A17" t="inlineStr">
        <is>
          <t>MOD-04 Clientes e Receita</t>
        </is>
      </c>
      <c r="B17" t="inlineStr">
        <is>
          <t>MOD-08 HUB Impact</t>
        </is>
      </c>
      <c r="C17" t="inlineStr">
        <is>
          <t>Direta</t>
        </is>
      </c>
      <c r="D17" t="inlineStr">
        <is>
          <t>Receita, margem, churn, NPS por cliente</t>
        </is>
      </c>
      <c r="E17" t="inlineStr">
        <is>
          <t>Alimenta ROI e cockpit</t>
        </is>
      </c>
      <c r="F17" t="inlineStr">
        <is>
          <t>Sim (piloto)</t>
        </is>
      </c>
      <c r="G17" t="inlineStr">
        <is>
          <t>Não</t>
        </is>
      </c>
      <c r="H17" t="inlineStr">
        <is>
          <t>PIL-01/PIL-02</t>
        </is>
      </c>
    </row>
    <row r="18">
      <c r="A18" t="inlineStr">
        <is>
          <t>MOD-02 Performance</t>
        </is>
      </c>
      <c r="B18" t="inlineStr">
        <is>
          <t>MOD-04 Clientes e Receita</t>
        </is>
      </c>
      <c r="C18" t="inlineStr">
        <is>
          <t>Direta</t>
        </is>
      </c>
      <c r="D18" t="inlineStr">
        <is>
          <t>Metas e entrega por conta</t>
        </is>
      </c>
      <c r="E18" t="inlineStr">
        <is>
          <t>Liga esforço a resultado do cliente</t>
        </is>
      </c>
      <c r="F18" t="inlineStr">
        <is>
          <t>Não</t>
        </is>
      </c>
      <c r="G18" t="inlineStr">
        <is>
          <t>Sim</t>
        </is>
      </c>
      <c r="H18" t="inlineStr">
        <is>
          <t>SCR-01</t>
        </is>
      </c>
    </row>
  </sheetData>
  <mergeCells count="1">
    <mergeCell ref="A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style="26" min="1" max="1"/>
    <col width="10" customWidth="1" style="26" min="2" max="2"/>
    <col width="10" customWidth="1" style="26" min="3" max="3"/>
    <col width="10" customWidth="1" style="26" min="4" max="4"/>
    <col width="10" customWidth="1" style="26" min="5" max="5"/>
    <col width="10" customWidth="1" style="26" min="6" max="6"/>
    <col width="10" customWidth="1" style="26" min="7" max="7"/>
    <col width="10" customWidth="1" style="26" min="8" max="8"/>
    <col width="12" customWidth="1" style="26" min="9" max="9"/>
    <col width="58" customWidth="1" style="26" min="10" max="10"/>
  </cols>
  <sheetData>
    <row r="1">
      <c r="A1" s="5" t="inlineStr">
        <is>
          <t>CENÁRIOS DE IMPLANTAÇÃO MODULAR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5">
      <c r="A5" s="11" t="inlineStr">
        <is>
          <t>Cenário</t>
        </is>
      </c>
      <c r="B5" s="11" t="inlineStr">
        <is>
          <t>MOD-01</t>
        </is>
      </c>
      <c r="C5" s="11" t="inlineStr">
        <is>
          <t>MOD-02</t>
        </is>
      </c>
      <c r="D5" s="11" t="inlineStr">
        <is>
          <t>MOD-03</t>
        </is>
      </c>
      <c r="E5" s="11" t="inlineStr">
        <is>
          <t>MOD-04</t>
        </is>
      </c>
      <c r="F5" s="11" t="inlineStr">
        <is>
          <t>MOD-05</t>
        </is>
      </c>
      <c r="G5" s="11" t="inlineStr">
        <is>
          <t>MOD-06</t>
        </is>
      </c>
      <c r="H5" s="11" t="inlineStr">
        <is>
          <t>MOD-07</t>
        </is>
      </c>
      <c r="I5" s="11" t="inlineStr">
        <is>
          <t>MOD-08</t>
        </is>
      </c>
      <c r="J5" s="11" t="inlineStr">
        <is>
          <t>Leitura</t>
        </is>
      </c>
    </row>
    <row r="6">
      <c r="A6" s="14" t="inlineStr">
        <is>
          <t>Estratégia &amp; Dados standalone</t>
        </is>
      </c>
      <c r="B6" s="14" t="inlineStr">
        <is>
          <t>✓</t>
        </is>
      </c>
      <c r="C6" s="14" t="inlineStr">
        <is>
          <t>—</t>
        </is>
      </c>
      <c r="D6" s="14" t="inlineStr">
        <is>
          <t>—</t>
        </is>
      </c>
      <c r="E6" s="14" t="inlineStr">
        <is>
          <t>—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✓</t>
        </is>
      </c>
      <c r="J6" s="14" t="inlineStr">
        <is>
          <t>Dados do cliente via INT-01..06; sem marketplaces.</t>
        </is>
      </c>
    </row>
    <row r="7">
      <c r="A7" s="14" t="inlineStr">
        <is>
          <t>Gestão de pessoas completa</t>
        </is>
      </c>
      <c r="B7" s="14" t="inlineStr">
        <is>
          <t>✓</t>
        </is>
      </c>
      <c r="C7" s="14" t="inlineStr">
        <is>
          <t>✓</t>
        </is>
      </c>
      <c r="D7" s="14" t="inlineStr">
        <is>
          <t>Opcional (MVP+1)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✓</t>
        </is>
      </c>
      <c r="J7" s="14" t="inlineStr">
        <is>
          <t>MOD-02 no MVP; MOD-03 em MVP+1.</t>
        </is>
      </c>
    </row>
    <row r="8">
      <c r="A8" s="14" t="inlineStr">
        <is>
          <t>Empregabilidade</t>
        </is>
      </c>
      <c r="B8" s="14" t="inlineStr">
        <is>
          <t>✓</t>
        </is>
      </c>
      <c r="C8" s="14" t="inlineStr">
        <is>
          <t>—</t>
        </is>
      </c>
      <c r="D8" s="14" t="inlineStr">
        <is>
          <t>✓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—</t>
        </is>
      </c>
      <c r="H8" s="14" t="inlineStr">
        <is>
          <t>Opcional</t>
        </is>
      </c>
      <c r="I8" s="14" t="inlineStr">
        <is>
          <t>—</t>
        </is>
      </c>
      <c r="J8" s="14" t="inlineStr">
        <is>
          <t>Formação + matching; MOD-07 apoia preparação.</t>
        </is>
      </c>
    </row>
    <row r="9">
      <c r="A9" s="14" t="inlineStr">
        <is>
          <t>Fornecedores</t>
        </is>
      </c>
      <c r="B9" s="14" t="inlineStr">
        <is>
          <t>✓</t>
        </is>
      </c>
      <c r="C9" s="14" t="inlineStr">
        <is>
          <t>—</t>
        </is>
      </c>
      <c r="D9" s="14" t="inlineStr">
        <is>
          <t>—</t>
        </is>
      </c>
      <c r="E9" s="14" t="inlineStr">
        <is>
          <t>—</t>
        </is>
      </c>
      <c r="F9" s="14" t="inlineStr">
        <is>
          <t>✓</t>
        </is>
      </c>
      <c r="G9" s="14" t="inlineStr">
        <is>
          <t>—</t>
        </is>
      </c>
      <c r="H9" s="14" t="inlineStr">
        <is>
          <t>Opcional</t>
        </is>
      </c>
      <c r="I9" s="14" t="inlineStr">
        <is>
          <t>Opcional</t>
        </is>
      </c>
      <c r="J9" s="14" t="inlineStr">
        <is>
          <t>Match B2B; MOD-08 mede impacto.</t>
        </is>
      </c>
    </row>
    <row r="10">
      <c r="A10" s="14" t="inlineStr">
        <is>
          <t>Universidade</t>
        </is>
      </c>
      <c r="B10" s="14" t="inlineStr">
        <is>
          <t>✓</t>
        </is>
      </c>
      <c r="C10" s="14" t="inlineStr">
        <is>
          <t>—</t>
        </is>
      </c>
      <c r="D10" s="14" t="inlineStr">
        <is>
          <t>✓</t>
        </is>
      </c>
      <c r="E10" s="14" t="inlineStr">
        <is>
          <t>—</t>
        </is>
      </c>
      <c r="F10" s="14" t="inlineStr">
        <is>
          <t>—</t>
        </is>
      </c>
      <c r="G10" s="14" t="inlineStr">
        <is>
          <t>✓</t>
        </is>
      </c>
      <c r="H10" s="14" t="inlineStr">
        <is>
          <t>Opcional</t>
        </is>
      </c>
      <c r="I10" s="14" t="inlineStr">
        <is>
          <t>Opcional</t>
        </is>
      </c>
      <c r="J10" s="14" t="inlineStr">
        <is>
          <t>MOD-06 Fase 2; MOD-03 amplia carreira.</t>
        </is>
      </c>
    </row>
    <row r="11">
      <c r="A11" s="14" t="inlineStr">
        <is>
          <t>HUB Eventos</t>
        </is>
      </c>
      <c r="B11" s="14" t="inlineStr">
        <is>
          <t>✓</t>
        </is>
      </c>
      <c r="C11" s="14" t="inlineStr">
        <is>
          <t>—</t>
        </is>
      </c>
      <c r="D11" s="14" t="inlineStr">
        <is>
          <t>✓</t>
        </is>
      </c>
      <c r="E11" s="14" t="inlineStr">
        <is>
          <t>—</t>
        </is>
      </c>
      <c r="F11" s="14" t="inlineStr">
        <is>
          <t>✓</t>
        </is>
      </c>
      <c r="G11" s="14" t="inlineStr">
        <is>
          <t>—</t>
        </is>
      </c>
      <c r="H11" s="14" t="inlineStr">
        <is>
          <t>✓</t>
        </is>
      </c>
      <c r="I11" s="14" t="inlineStr">
        <is>
          <t>Opcional</t>
        </is>
      </c>
      <c r="J11" s="14" t="inlineStr">
        <is>
          <t>Orquestra talentos, fornecedores e ROI.</t>
        </is>
      </c>
    </row>
    <row r="12">
      <c r="A12" s="14" t="inlineStr">
        <is>
          <t>Ecossistema completo</t>
        </is>
      </c>
      <c r="B12" s="14" t="inlineStr">
        <is>
          <t>✓</t>
        </is>
      </c>
      <c r="C12" s="14" t="inlineStr">
        <is>
          <t>✓</t>
        </is>
      </c>
      <c r="D12" s="14" t="inlineStr">
        <is>
          <t>✓</t>
        </is>
      </c>
      <c r="E12" s="14" t="inlineStr">
        <is>
          <t>✓</t>
        </is>
      </c>
      <c r="F12" s="14" t="inlineStr">
        <is>
          <t>✓</t>
        </is>
      </c>
      <c r="G12" s="14" t="inlineStr">
        <is>
          <t>✓</t>
        </is>
      </c>
      <c r="H12" s="14" t="inlineStr">
        <is>
          <t>✓</t>
        </is>
      </c>
      <c r="I12" s="14" t="inlineStr">
        <is>
          <t>✓</t>
        </is>
      </c>
      <c r="J12" s="14" t="inlineStr">
        <is>
          <t>Máxima inteligência de rede, com consentimento e governança.</t>
        </is>
      </c>
    </row>
    <row r="13">
      <c r="A13" t="inlineStr">
        <is>
          <t>Piloto Monks (MVP)</t>
        </is>
      </c>
      <c r="B13" t="inlineStr">
        <is>
          <t>✓</t>
        </is>
      </c>
      <c r="C13" t="inlineStr">
        <is>
          <t>✓</t>
        </is>
      </c>
      <c r="D13" t="inlineStr">
        <is>
          <t>—</t>
        </is>
      </c>
      <c r="E13" t="inlineStr">
        <is>
          <t>✓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✓</t>
        </is>
      </c>
      <c r="J13" t="inlineStr">
        <is>
          <t>PIL-01..05; SCR-01..07; decisão Tecnica #3.</t>
        </is>
      </c>
    </row>
    <row r="14">
      <c r="A14" t="inlineStr">
        <is>
          <t>Motor de dados + Performance (híbrido)</t>
        </is>
      </c>
      <c r="B14" t="inlineStr">
        <is>
          <t>✓</t>
        </is>
      </c>
      <c r="C14" t="inlineStr">
        <is>
          <t>✓</t>
        </is>
      </c>
      <c r="D14" t="inlineStr">
        <is>
          <t>—</t>
        </is>
      </c>
      <c r="E14" t="inlineStr">
        <is>
          <t>Opcional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✓</t>
        </is>
      </c>
      <c r="J14" t="inlineStr">
        <is>
          <t>Decisão Tecnica #3: híbrido.</t>
        </is>
      </c>
    </row>
  </sheetData>
  <mergeCells count="1">
    <mergeCell ref="A1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9" customWidth="1" style="26" min="1" max="1"/>
    <col width="28" customWidth="1" style="26" min="2" max="2"/>
    <col width="12" customWidth="1" style="26" min="3" max="3"/>
    <col width="14" customWidth="1" style="26" min="4" max="4"/>
    <col width="18" customWidth="1" style="26" min="5" max="5"/>
    <col width="16" customWidth="1" style="26" min="6" max="6"/>
    <col width="16" customWidth="1" style="26" min="7" max="7"/>
    <col width="16" customWidth="1" style="26" min="8" max="8"/>
    <col width="14" customWidth="1" style="26" min="9" max="9"/>
    <col width="16" customWidth="1" style="26" min="10" max="10"/>
    <col width="18" customWidth="1" style="26" min="11" max="11"/>
    <col width="48" customWidth="1" style="26" min="12" max="12"/>
  </cols>
  <sheetData>
    <row r="1">
      <c r="A1" s="5" t="inlineStr">
        <is>
          <t>BASE PARA A PRÓXIMA ETAPA DE PRECIFICAÇÃO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9" t="inlineStr">
        <is>
          <t>Sem valores ainda: drivers que serão convertidos em horas, equipe, infraestrutura, licenças e custos recorrentes.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1" t="inlineStr">
        <is>
          <t>Código</t>
        </is>
      </c>
      <c r="B5" s="11" t="inlineStr">
        <is>
          <t>Módulo</t>
        </is>
      </c>
      <c r="C5" s="11" t="inlineStr">
        <is>
          <t>Telas</t>
        </is>
      </c>
      <c r="D5" s="11" t="inlineStr">
        <is>
          <t>Complexas</t>
        </is>
      </c>
      <c r="E5" s="11" t="inlineStr">
        <is>
          <t>Integrações diretas</t>
        </is>
      </c>
      <c r="F5" s="11" t="inlineStr">
        <is>
          <t>IA/matching</t>
        </is>
      </c>
      <c r="G5" s="11" t="inlineStr">
        <is>
          <t>Dados/BI</t>
        </is>
      </c>
      <c r="H5" s="11" t="inlineStr">
        <is>
          <t>Mensageria</t>
        </is>
      </c>
      <c r="I5" s="11" t="inlineStr">
        <is>
          <t>Mobile</t>
        </is>
      </c>
      <c r="J5" s="11" t="inlineStr">
        <is>
          <t>Compliance</t>
        </is>
      </c>
      <c r="K5" s="11" t="inlineStr">
        <is>
          <t>Operação humana</t>
        </is>
      </c>
      <c r="L5" s="11" t="inlineStr">
        <is>
          <t>Observação</t>
        </is>
      </c>
    </row>
    <row r="6">
      <c r="A6" s="14" t="inlineStr">
        <is>
          <t>CORE</t>
        </is>
      </c>
      <c r="B6" s="14" t="inlineStr">
        <is>
          <t>Core / Plataforma</t>
        </is>
      </c>
      <c r="C6" s="14">
        <f>COUNTIF('02_Inventario_Paginas'!$B$6:$B$200,A6)</f>
        <v/>
      </c>
      <c r="D6" s="14">
        <f>COUNTIFS('02_Inventario_Paginas'!$B$6:$B$200,A6,'02_Inventario_Paginas'!$G$6:$G$200,"Alta")+COUNTIFS('02_Inventario_Paginas'!$B$6:$B$200,A6,'02_Inventario_Paginas'!$G$6:$G$200,"Muito alta")</f>
        <v/>
      </c>
      <c r="E6" s="14" t="n">
        <v>7</v>
      </c>
      <c r="F6" s="14" t="inlineStr">
        <is>
          <t>Não</t>
        </is>
      </c>
      <c r="G6" s="14" t="inlineStr">
        <is>
          <t>Média</t>
        </is>
      </c>
      <c r="H6" s="14" t="inlineStr">
        <is>
          <t>Alta</t>
        </is>
      </c>
      <c r="I6" s="14" t="inlineStr">
        <is>
          <t>Sim</t>
        </is>
      </c>
      <c r="J6" s="14" t="inlineStr">
        <is>
          <t>Muito alta</t>
        </is>
      </c>
      <c r="K6" s="14" t="inlineStr">
        <is>
          <t>Média</t>
        </is>
      </c>
      <c r="L6" s="14" t="inlineStr">
        <is>
          <t>Infraestrutura transversal</t>
        </is>
      </c>
    </row>
    <row r="7">
      <c r="A7" s="14" t="inlineStr">
        <is>
          <t>ED</t>
        </is>
      </c>
      <c r="B7" s="14" t="inlineStr">
        <is>
          <t>Estratégia &amp; Dados</t>
        </is>
      </c>
      <c r="C7" s="14">
        <f>COUNTIF('02_Inventario_Paginas'!$B$6:$B$200,A7)</f>
        <v/>
      </c>
      <c r="D7" s="14">
        <f>COUNTIFS('02_Inventario_Paginas'!$B$6:$B$200,A7,'02_Inventario_Paginas'!$G$6:$G$200,"Alta")+COUNTIFS('02_Inventario_Paginas'!$B$6:$B$200,A7,'02_Inventario_Paginas'!$G$6:$G$200,"Muito alta")</f>
        <v/>
      </c>
      <c r="E7" s="14" t="n">
        <v>3</v>
      </c>
      <c r="F7" s="14" t="inlineStr">
        <is>
          <t>Alta</t>
        </is>
      </c>
      <c r="G7" s="14" t="inlineStr">
        <is>
          <t>Muito alta</t>
        </is>
      </c>
      <c r="H7" s="14" t="inlineStr">
        <is>
          <t>Baixa</t>
        </is>
      </c>
      <c r="I7" s="14" t="inlineStr">
        <is>
          <t>Não</t>
        </is>
      </c>
      <c r="J7" s="14" t="inlineStr">
        <is>
          <t>Alta</t>
        </is>
      </c>
      <c r="K7" s="14" t="inlineStr">
        <is>
          <t>Baixa</t>
        </is>
      </c>
      <c r="L7" s="14" t="inlineStr">
        <is>
          <t>Peso em dados, integrações e analytics</t>
        </is>
      </c>
    </row>
    <row r="8">
      <c r="A8" s="14" t="inlineStr">
        <is>
          <t>COL</t>
        </is>
      </c>
      <c r="B8" s="14" t="inlineStr">
        <is>
          <t>Colaboradores / Meu Time</t>
        </is>
      </c>
      <c r="C8" s="14">
        <f>COUNTIF('02_Inventario_Paginas'!$B$6:$B$200,A8)</f>
        <v/>
      </c>
      <c r="D8" s="14">
        <f>COUNTIFS('02_Inventario_Paginas'!$B$6:$B$200,A8,'02_Inventario_Paginas'!$G$6:$G$200,"Alta")+COUNTIFS('02_Inventario_Paginas'!$B$6:$B$200,A8,'02_Inventario_Paginas'!$G$6:$G$200,"Muito alta")</f>
        <v/>
      </c>
      <c r="E8" s="14" t="n">
        <v>2</v>
      </c>
      <c r="F8" s="14" t="inlineStr">
        <is>
          <t>Média</t>
        </is>
      </c>
      <c r="G8" s="14" t="inlineStr">
        <is>
          <t>Alta</t>
        </is>
      </c>
      <c r="H8" s="14" t="inlineStr">
        <is>
          <t>Média</t>
        </is>
      </c>
      <c r="I8" s="14" t="inlineStr">
        <is>
          <t>Sim</t>
        </is>
      </c>
      <c r="J8" s="14" t="inlineStr">
        <is>
          <t>Alta</t>
        </is>
      </c>
      <c r="K8" s="14" t="inlineStr">
        <is>
          <t>Média</t>
        </is>
      </c>
      <c r="L8" s="14" t="inlineStr">
        <is>
          <t>Dados sensíveis e ciclos internos</t>
        </is>
      </c>
    </row>
    <row r="9">
      <c r="A9" s="14" t="inlineStr">
        <is>
          <t>CAN</t>
        </is>
      </c>
      <c r="B9" s="14" t="inlineStr">
        <is>
          <t>Candidatos &amp; Carreira</t>
        </is>
      </c>
      <c r="C9" s="14">
        <f>COUNTIF('02_Inventario_Paginas'!$B$6:$B$200,A9)</f>
        <v/>
      </c>
      <c r="D9" s="14">
        <f>COUNTIFS('02_Inventario_Paginas'!$B$6:$B$200,A9,'02_Inventario_Paginas'!$G$6:$G$200,"Alta")+COUNTIFS('02_Inventario_Paginas'!$B$6:$B$200,A9,'02_Inventario_Paginas'!$G$6:$G$200,"Muito alta")</f>
        <v/>
      </c>
      <c r="E9" s="14" t="n">
        <v>4</v>
      </c>
      <c r="F9" s="14" t="inlineStr">
        <is>
          <t>Muito alta</t>
        </is>
      </c>
      <c r="G9" s="14" t="inlineStr">
        <is>
          <t>Alta</t>
        </is>
      </c>
      <c r="H9" s="14" t="inlineStr">
        <is>
          <t>Alta</t>
        </is>
      </c>
      <c r="I9" s="14" t="inlineStr">
        <is>
          <t>Sim</t>
        </is>
      </c>
      <c r="J9" s="14" t="inlineStr">
        <is>
          <t>Alta</t>
        </is>
      </c>
      <c r="K9" s="14" t="inlineStr">
        <is>
          <t>Alta</t>
        </is>
      </c>
      <c r="L9" s="14" t="inlineStr">
        <is>
          <t>Marketplace, matching e alto volume</t>
        </is>
      </c>
    </row>
    <row r="10">
      <c r="A10" s="14" t="inlineStr">
        <is>
          <t>FOR</t>
        </is>
      </c>
      <c r="B10" s="14" t="inlineStr">
        <is>
          <t>Fornecedores &amp; Negócios</t>
        </is>
      </c>
      <c r="C10" s="14">
        <f>COUNTIF('02_Inventario_Paginas'!$B$6:$B$200,A10)</f>
        <v/>
      </c>
      <c r="D10" s="14">
        <f>COUNTIFS('02_Inventario_Paginas'!$B$6:$B$200,A10,'02_Inventario_Paginas'!$G$6:$G$200,"Alta")+COUNTIFS('02_Inventario_Paginas'!$B$6:$B$200,A10,'02_Inventario_Paginas'!$G$6:$G$200,"Muito alta")</f>
        <v/>
      </c>
      <c r="E10" s="14" t="n">
        <v>2</v>
      </c>
      <c r="F10" s="14" t="inlineStr">
        <is>
          <t>Muito alta</t>
        </is>
      </c>
      <c r="G10" s="14" t="inlineStr">
        <is>
          <t>Alta</t>
        </is>
      </c>
      <c r="H10" s="14" t="inlineStr">
        <is>
          <t>Alta</t>
        </is>
      </c>
      <c r="I10" s="14" t="inlineStr">
        <is>
          <t>Responsivo</t>
        </is>
      </c>
      <c r="J10" s="14" t="inlineStr">
        <is>
          <t>Alta</t>
        </is>
      </c>
      <c r="K10" s="14" t="inlineStr">
        <is>
          <t>Alta</t>
        </is>
      </c>
      <c r="L10" s="14" t="inlineStr">
        <is>
          <t>B2B, documentos e negociação</t>
        </is>
      </c>
    </row>
    <row r="11">
      <c r="A11" s="14" t="inlineStr">
        <is>
          <t>ACA</t>
        </is>
      </c>
      <c r="B11" s="14" t="inlineStr">
        <is>
          <t>Acadêmico / Universidades</t>
        </is>
      </c>
      <c r="C11" s="14">
        <f>COUNTIF('02_Inventario_Paginas'!$B$6:$B$200,A11)</f>
        <v/>
      </c>
      <c r="D11" s="14">
        <f>COUNTIFS('02_Inventario_Paginas'!$B$6:$B$200,A11,'02_Inventario_Paginas'!$G$6:$G$200,"Alta")+COUNTIFS('02_Inventario_Paginas'!$B$6:$B$200,A11,'02_Inventario_Paginas'!$G$6:$G$200,"Muito alta")</f>
        <v/>
      </c>
      <c r="E11" s="14" t="n">
        <v>3</v>
      </c>
      <c r="F11" s="14" t="inlineStr">
        <is>
          <t>Alta</t>
        </is>
      </c>
      <c r="G11" s="14" t="inlineStr">
        <is>
          <t>Alta</t>
        </is>
      </c>
      <c r="H11" s="14" t="inlineStr">
        <is>
          <t>Média</t>
        </is>
      </c>
      <c r="I11" s="14" t="inlineStr">
        <is>
          <t>Sim</t>
        </is>
      </c>
      <c r="J11" s="14" t="inlineStr">
        <is>
          <t>Alta</t>
        </is>
      </c>
      <c r="K11" s="14" t="inlineStr">
        <is>
          <t>Média</t>
        </is>
      </c>
      <c r="L11" s="14" t="inlineStr">
        <is>
          <t>Entidades acadêmicas e matching</t>
        </is>
      </c>
    </row>
    <row r="12">
      <c r="A12" s="14" t="inlineStr">
        <is>
          <t>EVT</t>
        </is>
      </c>
      <c r="B12" s="14" t="inlineStr">
        <is>
          <t>Eventos</t>
        </is>
      </c>
      <c r="C12" s="14">
        <f>COUNTIF('02_Inventario_Paginas'!$B$6:$B$200,A12)</f>
        <v/>
      </c>
      <c r="D12" s="14">
        <f>COUNTIFS('02_Inventario_Paginas'!$B$6:$B$200,A12,'02_Inventario_Paginas'!$G$6:$G$200,"Alta")+COUNTIFS('02_Inventario_Paginas'!$B$6:$B$200,A12,'02_Inventario_Paginas'!$G$6:$G$200,"Muito alta")</f>
        <v/>
      </c>
      <c r="E12" s="14" t="n">
        <v>5</v>
      </c>
      <c r="F12" s="14" t="inlineStr">
        <is>
          <t>Alta</t>
        </is>
      </c>
      <c r="G12" s="14" t="inlineStr">
        <is>
          <t>Muito alta</t>
        </is>
      </c>
      <c r="H12" s="14" t="inlineStr">
        <is>
          <t>Alta</t>
        </is>
      </c>
      <c r="I12" s="14" t="inlineStr">
        <is>
          <t>Sim</t>
        </is>
      </c>
      <c r="J12" s="14" t="inlineStr">
        <is>
          <t>Muito alta</t>
        </is>
      </c>
      <c r="K12" s="14" t="inlineStr">
        <is>
          <t>Muito alta</t>
        </is>
      </c>
      <c r="L12" s="14" t="inlineStr">
        <is>
          <t>Tempo real, pesquisa e operação</t>
        </is>
      </c>
    </row>
    <row r="13">
      <c r="A13" s="14" t="inlineStr">
        <is>
          <t>COM</t>
        </is>
      </c>
      <c r="B13" s="14" t="inlineStr">
        <is>
          <t>Comunidades / Eu &amp; Eu / Cultura</t>
        </is>
      </c>
      <c r="C13" s="14">
        <f>COUNTIF('02_Inventario_Paginas'!$B$6:$B$200,A13)</f>
        <v/>
      </c>
      <c r="D13" s="14">
        <f>COUNTIFS('02_Inventario_Paginas'!$B$6:$B$200,A13,'02_Inventario_Paginas'!$G$6:$G$200,"Alta")+COUNTIFS('02_Inventario_Paginas'!$B$6:$B$200,A13,'02_Inventario_Paginas'!$G$6:$G$200,"Muito alta")</f>
        <v/>
      </c>
      <c r="E13" s="14" t="n">
        <v>4</v>
      </c>
      <c r="F13" s="14" t="inlineStr">
        <is>
          <t>Média</t>
        </is>
      </c>
      <c r="G13" s="14" t="inlineStr">
        <is>
          <t>Média</t>
        </is>
      </c>
      <c r="H13" s="14" t="inlineStr">
        <is>
          <t>Alta</t>
        </is>
      </c>
      <c r="I13" s="14" t="inlineStr">
        <is>
          <t>Sim</t>
        </is>
      </c>
      <c r="J13" s="14" t="inlineStr">
        <is>
          <t>Alta</t>
        </is>
      </c>
      <c r="K13" s="14" t="inlineStr">
        <is>
          <t>Alta</t>
        </is>
      </c>
      <c r="L13" s="14" t="inlineStr">
        <is>
          <t>B2C e engajamento</t>
        </is>
      </c>
    </row>
    <row r="14">
      <c r="A14" t="inlineStr">
        <is>
          <t>CUST</t>
        </is>
      </c>
      <c r="B14" t="inlineStr">
        <is>
          <t>Clientes &amp; Receita</t>
        </is>
      </c>
      <c r="C14">
        <f>COUNTIF('02_Inventario_Paginas'!$B$6:$B$200,A14)</f>
        <v/>
      </c>
      <c r="D14">
        <f>COUNTIFS('02_Inventario_Paginas'!$B$6:$B$200,A14,'02_Inventario_Paginas'!$G$6:$G$200,"Alta")+COUNTIFS('02_Inventario_Paginas'!$B$6:$B$200,A14,'02_Inventario_Paginas'!$G$6:$G$200,"Muito alta")</f>
        <v/>
      </c>
      <c r="E14" t="n">
        <v>2</v>
      </c>
      <c r="F14" t="inlineStr">
        <is>
          <t>Alta</t>
        </is>
      </c>
      <c r="G14" t="inlineStr">
        <is>
          <t>Muito alta</t>
        </is>
      </c>
      <c r="H14" t="inlineStr">
        <is>
          <t>Baixa</t>
        </is>
      </c>
      <c r="I14" t="inlineStr">
        <is>
          <t>Não</t>
        </is>
      </c>
      <c r="J14" t="inlineStr">
        <is>
          <t>Alta</t>
        </is>
      </c>
      <c r="K14" t="inlineStr">
        <is>
          <t>Baixa</t>
        </is>
      </c>
      <c r="L14" t="inlineStr">
        <is>
          <t>CRM/NPS/churn; alimenta HUB Impact.</t>
        </is>
      </c>
    </row>
  </sheetData>
  <mergeCells count="2">
    <mergeCell ref="A3:L3"/>
    <mergeCell ref="A1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style="26" min="1" max="1"/>
    <col width="18" customWidth="1" style="26" min="2" max="2"/>
    <col width="18" customWidth="1" style="26" min="3" max="3"/>
    <col width="22" customWidth="1" style="26" min="4" max="4"/>
    <col width="26" customWidth="1" style="26" min="5" max="5"/>
    <col width="50" customWidth="1" style="26" min="6" max="6"/>
    <col width="12" customWidth="1" style="26" min="7" max="7"/>
    <col width="12" customWidth="1" style="26" min="8" max="8"/>
  </cols>
  <sheetData>
    <row r="1">
      <c r="A1" s="82" t="inlineStr">
        <is>
          <t>PREMISSAS PARA DIMENSIONAMENTO DE CUSTO</t>
        </is>
      </c>
      <c r="B1" s="1" t="n"/>
      <c r="C1" s="1" t="n"/>
      <c r="D1" s="1" t="n"/>
      <c r="E1" s="1" t="n"/>
      <c r="F1" s="1" t="n"/>
      <c r="G1" s="14" t="n"/>
      <c r="H1" s="14" t="n"/>
    </row>
    <row r="2">
      <c r="A2" s="1" t="n"/>
      <c r="B2" s="1" t="n"/>
      <c r="C2" s="1" t="n"/>
      <c r="D2" s="1" t="n"/>
      <c r="E2" s="1" t="n"/>
      <c r="F2" s="1" t="n"/>
      <c r="G2" s="14" t="n"/>
      <c r="H2" s="14" t="n"/>
    </row>
    <row r="3">
      <c r="A3" s="83" t="inlineStr">
        <is>
          <t>Premissas iniciais editáveis. Não são orçamento de fornecedor: servem para transformar as 111 telas do escopo em uma primeira ordem de grandeza e depois calibrar com cotações reais.</t>
        </is>
      </c>
      <c r="B3" s="1" t="n"/>
      <c r="C3" s="1" t="n"/>
      <c r="D3" s="1" t="n"/>
      <c r="E3" s="1" t="n"/>
      <c r="F3" s="1" t="n"/>
      <c r="G3" s="14" t="n"/>
      <c r="H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</row>
    <row r="5">
      <c r="A5" s="41" t="inlineStr">
        <is>
          <t>Complexidade da tela</t>
        </is>
      </c>
      <c r="B5" s="41" t="inlineStr">
        <is>
          <t>Multiplicador</t>
        </is>
      </c>
      <c r="C5" s="41" t="inlineStr">
        <is>
          <t>Uso</t>
        </is>
      </c>
      <c r="D5" s="14" t="n"/>
      <c r="E5" s="41" t="inlineStr">
        <is>
          <t>Premissa geral</t>
        </is>
      </c>
      <c r="F5" s="41" t="inlineStr">
        <is>
          <t>Valor</t>
        </is>
      </c>
      <c r="G5" s="14" t="n"/>
      <c r="H5" s="14" t="n"/>
    </row>
    <row r="6">
      <c r="A6" s="14" t="inlineStr">
        <is>
          <t>Baixa</t>
        </is>
      </c>
      <c r="B6" s="84" t="n">
        <v>0.65</v>
      </c>
      <c r="C6" s="14" t="inlineStr">
        <is>
          <t>Tela simples / leitura / formulário básico</t>
        </is>
      </c>
      <c r="D6" s="14" t="n"/>
      <c r="E6" s="14" t="inlineStr">
        <is>
          <t>Contingência desenvolvimento</t>
        </is>
      </c>
      <c r="F6" s="85" t="n">
        <v>0.15</v>
      </c>
      <c r="G6" s="14" t="n"/>
      <c r="H6" s="14" t="n"/>
    </row>
    <row r="7">
      <c r="A7" s="14" t="inlineStr">
        <is>
          <t>Média</t>
        </is>
      </c>
      <c r="B7" s="84" t="n">
        <v>1</v>
      </c>
      <c r="C7" s="14" t="inlineStr">
        <is>
          <t>Fluxo padrão</t>
        </is>
      </c>
      <c r="D7" s="14" t="n"/>
      <c r="E7" s="14" t="inlineStr">
        <is>
          <t>Gestão/arquitetura sobre build</t>
        </is>
      </c>
      <c r="F7" s="85" t="n">
        <v>0.12</v>
      </c>
      <c r="G7" s="14" t="n"/>
      <c r="H7" s="14" t="n"/>
    </row>
    <row r="8">
      <c r="A8" s="14" t="inlineStr">
        <is>
          <t>Alta</t>
        </is>
      </c>
      <c r="B8" s="84" t="n">
        <v>1.55</v>
      </c>
      <c r="C8" s="14" t="inlineStr">
        <is>
          <t>Regras, integrações ou visualizações complexas</t>
        </is>
      </c>
      <c r="D8" s="14" t="n"/>
      <c r="E8" s="14" t="inlineStr">
        <is>
          <t>Meses de construção</t>
        </is>
      </c>
      <c r="F8" s="44" t="n">
        <v>9</v>
      </c>
      <c r="G8" s="14" t="n"/>
      <c r="H8" s="14" t="n"/>
    </row>
    <row r="9">
      <c r="A9" s="14" t="inlineStr">
        <is>
          <t>Muito alta</t>
        </is>
      </c>
      <c r="B9" s="84" t="n">
        <v>2.2</v>
      </c>
      <c r="C9" s="14" t="inlineStr">
        <is>
          <t>Matching, analytics avançado, simulação ou lógica intensa</t>
        </is>
      </c>
      <c r="D9" s="14" t="n"/>
      <c r="E9" s="14" t="inlineStr">
        <is>
          <t>Meses de operação/ano</t>
        </is>
      </c>
      <c r="F9" s="44" t="n">
        <v>12</v>
      </c>
      <c r="G9" s="14" t="n"/>
      <c r="H9" s="14" t="n"/>
    </row>
    <row r="10">
      <c r="A10" s="14" t="n"/>
      <c r="B10" s="14" t="n"/>
      <c r="C10" s="14" t="n"/>
      <c r="D10" s="14" t="n"/>
      <c r="E10" s="14" t="inlineStr">
        <is>
          <t>Fator Fase 2 vs. MVP</t>
        </is>
      </c>
      <c r="F10" s="85" t="n">
        <v>0.9</v>
      </c>
      <c r="G10" s="14" t="n"/>
      <c r="H10" s="14" t="n"/>
    </row>
    <row r="11">
      <c r="A11" s="14" t="n"/>
      <c r="B11" s="14" t="n"/>
      <c r="C11" s="14" t="n"/>
      <c r="D11" s="14" t="n"/>
      <c r="E11" s="14" t="inlineStr">
        <is>
          <t>Reuso parcial de tela</t>
        </is>
      </c>
      <c r="F11" s="85" t="n">
        <v>0.55</v>
      </c>
      <c r="G11" s="14" t="n"/>
      <c r="H11" s="14" t="n"/>
    </row>
    <row r="12">
      <c r="A12" s="41" t="inlineStr">
        <is>
          <t>Disciplina</t>
        </is>
      </c>
      <c r="B12" s="41" t="inlineStr">
        <is>
          <t>Horas base / tela média</t>
        </is>
      </c>
      <c r="C12" s="41" t="inlineStr">
        <is>
          <t>Rate R$/h</t>
        </is>
      </c>
      <c r="D12" s="41" t="inlineStr">
        <is>
          <t>Mensalidade base R$</t>
        </is>
      </c>
      <c r="E12" s="41" t="inlineStr">
        <is>
          <t>Driver mensal</t>
        </is>
      </c>
      <c r="F12" s="86" t="inlineStr">
        <is>
          <t>Observação</t>
        </is>
      </c>
      <c r="G12" s="41" t="str"/>
      <c r="H12" s="41" t="str"/>
    </row>
    <row r="13">
      <c r="A13" s="14" t="inlineStr">
        <is>
          <t>UX/UI</t>
        </is>
      </c>
      <c r="B13" s="44" t="n">
        <v>22</v>
      </c>
      <c r="C13" s="87" t="n">
        <v>180</v>
      </c>
      <c r="D13" s="14" t="n">
        <v>0</v>
      </c>
      <c r="E13" s="14" t="inlineStr">
        <is>
          <t>Build</t>
        </is>
      </c>
      <c r="F13" s="14" t="inlineStr">
        <is>
          <t>Pesquisa, fluxo, wireframe, design e handoff</t>
        </is>
      </c>
      <c r="G13" s="14" t="n"/>
      <c r="H13" s="14" t="n"/>
    </row>
    <row r="14">
      <c r="A14" s="14" t="inlineStr">
        <is>
          <t>Front-end</t>
        </is>
      </c>
      <c r="B14" s="44" t="n">
        <v>48</v>
      </c>
      <c r="C14" s="87" t="n">
        <v>220</v>
      </c>
      <c r="D14" s="14" t="n">
        <v>0</v>
      </c>
      <c r="E14" s="14" t="inlineStr">
        <is>
          <t>Build</t>
        </is>
      </c>
      <c r="F14" s="14" t="inlineStr">
        <is>
          <t>Web responsivo; mobile dedicado é driver adicional</t>
        </is>
      </c>
      <c r="G14" s="14" t="n"/>
      <c r="H14" s="14" t="n"/>
    </row>
    <row r="15">
      <c r="A15" s="14" t="inlineStr">
        <is>
          <t>Back-end</t>
        </is>
      </c>
      <c r="B15" s="44" t="n">
        <v>54</v>
      </c>
      <c r="C15" s="87" t="n">
        <v>240</v>
      </c>
      <c r="D15" s="14" t="n">
        <v>0</v>
      </c>
      <c r="E15" s="14" t="inlineStr">
        <is>
          <t>Build</t>
        </is>
      </c>
      <c r="F15" s="14" t="inlineStr">
        <is>
          <t>APIs, regras e persistência</t>
        </is>
      </c>
      <c r="G15" s="14" t="n"/>
      <c r="H15" s="14" t="n"/>
    </row>
    <row r="16">
      <c r="A16" s="14" t="inlineStr">
        <is>
          <t>Dados/BI</t>
        </is>
      </c>
      <c r="B16" s="44" t="n">
        <v>18</v>
      </c>
      <c r="C16" s="87" t="n">
        <v>260</v>
      </c>
      <c r="D16" s="14" t="n">
        <v>0</v>
      </c>
      <c r="E16" s="14" t="inlineStr">
        <is>
          <t>Build</t>
        </is>
      </c>
      <c r="F16" s="14" t="inlineStr">
        <is>
          <t>Modelagem, indicadores e pipelines leves</t>
        </is>
      </c>
      <c r="G16" s="14" t="n"/>
      <c r="H16" s="14" t="n"/>
    </row>
    <row r="17">
      <c r="A17" s="14" t="inlineStr">
        <is>
          <t>IA/Matching</t>
        </is>
      </c>
      <c r="B17" s="44" t="n">
        <v>10</v>
      </c>
      <c r="C17" s="87" t="n">
        <v>320</v>
      </c>
      <c r="D17" s="14" t="n">
        <v>0</v>
      </c>
      <c r="E17" s="14" t="inlineStr">
        <is>
          <t>Build</t>
        </is>
      </c>
      <c r="F17" s="14" t="inlineStr">
        <is>
          <t>Aplicado apenas quando a tela tem driver de IA</t>
        </is>
      </c>
      <c r="G17" s="14" t="n"/>
      <c r="H17" s="14" t="n"/>
    </row>
    <row r="18">
      <c r="A18" s="14" t="inlineStr">
        <is>
          <t>QA</t>
        </is>
      </c>
      <c r="B18" s="44" t="n">
        <v>20</v>
      </c>
      <c r="C18" s="87" t="n">
        <v>170</v>
      </c>
      <c r="D18" s="14" t="n">
        <v>0</v>
      </c>
      <c r="E18" s="14" t="inlineStr">
        <is>
          <t>Build</t>
        </is>
      </c>
      <c r="F18" s="14" t="inlineStr">
        <is>
          <t>Testes funcionais, regressão e automação gradual</t>
        </is>
      </c>
      <c r="G18" s="14" t="n"/>
      <c r="H18" s="14" t="n"/>
    </row>
    <row r="19">
      <c r="A19" s="14" t="inlineStr">
        <is>
          <t>DevOps</t>
        </is>
      </c>
      <c r="B19" s="44" t="n">
        <v>8</v>
      </c>
      <c r="C19" s="87" t="n">
        <v>260</v>
      </c>
      <c r="D19" s="14" t="n">
        <v>0</v>
      </c>
      <c r="E19" s="14" t="inlineStr">
        <is>
          <t>Build</t>
        </is>
      </c>
      <c r="F19" s="14" t="inlineStr">
        <is>
          <t>CI/CD, ambientes e observabilidade</t>
        </is>
      </c>
      <c r="G19" s="14" t="n"/>
      <c r="H19" s="14" t="n"/>
    </row>
    <row r="20">
      <c r="A20" s="14" t="inlineStr">
        <is>
          <t>Segurança</t>
        </is>
      </c>
      <c r="B20" s="44" t="n">
        <v>6</v>
      </c>
      <c r="C20" s="87" t="n">
        <v>320</v>
      </c>
      <c r="D20" s="14" t="n">
        <v>0</v>
      </c>
      <c r="E20" s="14" t="inlineStr">
        <is>
          <t>Build</t>
        </is>
      </c>
      <c r="F20" s="14" t="inlineStr">
        <is>
          <t>Threat modeling, hardening e revisão</t>
        </is>
      </c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41" t="inlineStr">
        <is>
          <t>Custo mensal recorrente</t>
        </is>
      </c>
      <c r="B23" s="41" t="inlineStr">
        <is>
          <t>Base R$/mês</t>
        </is>
      </c>
      <c r="C23" s="41" t="inlineStr">
        <is>
          <t>Escala</t>
        </is>
      </c>
      <c r="D23" s="41" t="inlineStr">
        <is>
          <t>Observação</t>
        </is>
      </c>
      <c r="E23" s="14" t="n"/>
      <c r="F23" s="14" t="n"/>
      <c r="G23" s="14" t="n"/>
      <c r="H23" s="14" t="n"/>
    </row>
    <row r="24">
      <c r="A24" s="14" t="inlineStr">
        <is>
          <t>Cloud / infraestrutura</t>
        </is>
      </c>
      <c r="B24" s="87" t="n">
        <v>18000</v>
      </c>
      <c r="C24" s="44" t="n">
        <v>1</v>
      </c>
      <c r="D24" s="14" t="inlineStr">
        <is>
          <t>Ambientes, banco, storage, observabilidade; recalibrar por volume</t>
        </is>
      </c>
      <c r="E24" s="14" t="n"/>
      <c r="F24" s="14" t="n"/>
      <c r="G24" s="14" t="n"/>
      <c r="H24" s="14" t="n"/>
    </row>
    <row r="25">
      <c r="A25" s="14" t="inlineStr">
        <is>
          <t>Dados / pipelines / BI</t>
        </is>
      </c>
      <c r="B25" s="87" t="n">
        <v>14000</v>
      </c>
      <c r="C25" s="44" t="n">
        <v>1</v>
      </c>
      <c r="D25" s="14" t="inlineStr">
        <is>
          <t>Orquestração, processamento e monitoramento</t>
        </is>
      </c>
      <c r="E25" s="14" t="n"/>
      <c r="F25" s="14" t="n"/>
      <c r="G25" s="14" t="n"/>
      <c r="H25" s="14" t="n"/>
    </row>
    <row r="26">
      <c r="A26" s="14" t="inlineStr">
        <is>
          <t>IA / modelos / APIs</t>
        </is>
      </c>
      <c r="B26" s="87" t="n">
        <v>12000</v>
      </c>
      <c r="C26" s="44" t="n">
        <v>1</v>
      </c>
      <c r="D26" s="14" t="inlineStr">
        <is>
          <t>Uso variável; depende de volume e arquitetura</t>
        </is>
      </c>
      <c r="E26" s="14" t="n"/>
      <c r="F26" s="14" t="n"/>
      <c r="G26" s="14" t="n"/>
      <c r="H26" s="14" t="n"/>
    </row>
    <row r="27">
      <c r="A27" s="14" t="inlineStr">
        <is>
          <t>DevOps / SRE</t>
        </is>
      </c>
      <c r="B27" s="87" t="n">
        <v>22000</v>
      </c>
      <c r="C27" s="44" t="n">
        <v>1</v>
      </c>
      <c r="D27" s="14" t="inlineStr">
        <is>
          <t>Sustentação de plataforma</t>
        </is>
      </c>
      <c r="E27" s="14" t="n"/>
      <c r="F27" s="14" t="n"/>
      <c r="G27" s="14" t="n"/>
      <c r="H27" s="14" t="n"/>
    </row>
    <row r="28">
      <c r="A28" s="14" t="inlineStr">
        <is>
          <t>Segurança / compliance</t>
        </is>
      </c>
      <c r="B28" s="87" t="n">
        <v>14000</v>
      </c>
      <c r="C28" s="44" t="n">
        <v>1</v>
      </c>
      <c r="D28" s="14" t="inlineStr">
        <is>
          <t>Monitoramento, scans, LGPD e auditoria</t>
        </is>
      </c>
      <c r="E28" s="14" t="n"/>
      <c r="F28" s="14" t="n"/>
      <c r="G28" s="14" t="n"/>
      <c r="H28" s="14" t="n"/>
    </row>
    <row r="29">
      <c r="A29" s="14" t="inlineStr">
        <is>
          <t>QA / releases</t>
        </is>
      </c>
      <c r="B29" s="87" t="n">
        <v>16000</v>
      </c>
      <c r="C29" s="44" t="n">
        <v>1</v>
      </c>
      <c r="D29" s="14" t="inlineStr">
        <is>
          <t>Regressão e qualidade contínua</t>
        </is>
      </c>
      <c r="E29" s="14" t="n"/>
      <c r="F29" s="14" t="n"/>
      <c r="G29" s="14" t="n"/>
      <c r="H29" s="14" t="n"/>
    </row>
    <row r="30">
      <c r="A30" s="14" t="inlineStr">
        <is>
          <t>Produto / operação técnica</t>
        </is>
      </c>
      <c r="B30" s="87" t="n">
        <v>28000</v>
      </c>
      <c r="C30" s="44" t="n">
        <v>1</v>
      </c>
      <c r="D30" s="14" t="inlineStr">
        <is>
          <t>Gestão de backlog, incidentes e evolução</t>
        </is>
      </c>
      <c r="E30" s="14" t="n"/>
      <c r="F30" s="14" t="n"/>
      <c r="G30" s="14" t="n"/>
      <c r="H30" s="14" t="n"/>
    </row>
    <row r="31">
      <c r="A31" s="14" t="inlineStr">
        <is>
          <t>Suporte / CS técnico</t>
        </is>
      </c>
      <c r="B31" s="87" t="n">
        <v>18000</v>
      </c>
      <c r="C31" s="44" t="n">
        <v>1</v>
      </c>
      <c r="D31" s="14" t="inlineStr">
        <is>
          <t>Atendimento B2B e operação</t>
        </is>
      </c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inlineStr">
        <is>
          <t>MVP+1: custo integral (fator 1, como MVP) — escopo near-term alinhado à Tecnica. Desconto de 0,9 aplica-se apenas a Fase 2.</t>
        </is>
      </c>
      <c r="B33" s="14" t="n"/>
      <c r="C33" s="14" t="n"/>
      <c r="D33" s="14" t="n"/>
      <c r="E33" s="14" t="inlineStr">
        <is>
          <t>Fase Tecnica</t>
        </is>
      </c>
      <c r="F33" s="14" t="inlineStr">
        <is>
          <t>MVP / MVP+1 / Fase 2 + roadmap F0/MVP1..3</t>
        </is>
      </c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</sheetData>
  <mergeCells count="2">
    <mergeCell ref="A3:F3"/>
    <mergeCell ref="A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cols>
    <col width="7" customWidth="1" style="26" min="1" max="1"/>
    <col width="8" customWidth="1" style="26" min="2" max="2"/>
    <col width="24" customWidth="1" style="26" min="3" max="3"/>
    <col width="32" customWidth="1" style="26" min="4" max="4"/>
    <col width="12" customWidth="1" style="26" min="5" max="5"/>
    <col width="14" customWidth="1" style="26" min="6" max="6"/>
    <col width="25" customWidth="1" style="26" min="7" max="7"/>
    <col width="10" customWidth="1" style="26" min="8" max="8"/>
    <col width="11" customWidth="1" style="26" min="9" max="9"/>
    <col width="12" customWidth="1" style="26" min="10" max="10"/>
    <col width="13" customWidth="1" style="26" min="11" max="11"/>
    <col width="12" customWidth="1" style="26" min="12" max="12"/>
    <col width="12" customWidth="1" style="26" min="13" max="13"/>
    <col width="10" customWidth="1" style="26" min="14" max="14"/>
    <col width="10" customWidth="1" style="26" min="15" max="15"/>
    <col width="10" customWidth="1" style="26" min="16" max="16"/>
    <col width="10" customWidth="1" style="26" min="17" max="17"/>
    <col width="10" customWidth="1" style="26" min="18" max="18"/>
    <col width="10" customWidth="1" style="26" min="19" max="19"/>
    <col width="10" customWidth="1" style="26" min="20" max="20"/>
    <col width="11" customWidth="1" style="26" min="21" max="21"/>
    <col width="13" customWidth="1" style="26" min="22" max="22"/>
    <col width="13" customWidth="1" style="26" min="23" max="23"/>
    <col width="17" customWidth="1" style="26" min="24" max="24"/>
    <col width="18" customWidth="1" style="26" min="25" max="25"/>
    <col width="17" customWidth="1" style="26" min="26" max="26"/>
    <col width="17" customWidth="1" style="26" min="27" max="27"/>
    <col width="36" customWidth="1" style="26" min="28" max="28"/>
  </cols>
  <sheetData>
    <row r="1">
      <c r="A1" s="88" t="inlineStr">
        <is>
          <t>ESTIMATIVA DE BUILD POR TELA — 111 TELAS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83" t="inlineStr">
        <is>
          <t>Horas são calculadas a partir da complexidade, disciplina e drivers específicos. A coluna 'Componente compartilhado' evita duplicar custo quando a mesma capacidade é reutilizada entre verticais.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5">
      <c r="A5" s="41" t="inlineStr">
        <is>
          <t>ID</t>
        </is>
      </c>
      <c r="B5" s="41" t="inlineStr">
        <is>
          <t>Código</t>
        </is>
      </c>
      <c r="C5" s="41" t="inlineStr">
        <is>
          <t>Frente</t>
        </is>
      </c>
      <c r="D5" s="41" t="inlineStr">
        <is>
          <t>Tela</t>
        </is>
      </c>
      <c r="E5" s="41" t="inlineStr">
        <is>
          <t>Fase</t>
        </is>
      </c>
      <c r="F5" s="41" t="inlineStr">
        <is>
          <t>Complexidade</t>
        </is>
      </c>
      <c r="G5" s="41" t="inlineStr">
        <is>
          <t>Componente compartilhado</t>
        </is>
      </c>
      <c r="H5" s="41" t="inlineStr">
        <is>
          <t>Reuso %</t>
        </is>
      </c>
      <c r="I5" s="41" t="inlineStr">
        <is>
          <t>Driver IA</t>
        </is>
      </c>
      <c r="J5" s="41" t="inlineStr">
        <is>
          <t>Driver Dados</t>
        </is>
      </c>
      <c r="K5" s="41" t="inlineStr">
        <is>
          <t>Driver Segurança</t>
        </is>
      </c>
      <c r="L5" s="41" t="inlineStr">
        <is>
          <t>Driver Mobile</t>
        </is>
      </c>
      <c r="M5" s="41" t="inlineStr">
        <is>
          <t>Mult. complex.</t>
        </is>
      </c>
      <c r="N5" s="41" t="inlineStr">
        <is>
          <t>UX h</t>
        </is>
      </c>
      <c r="O5" s="41" t="inlineStr">
        <is>
          <t>Front h</t>
        </is>
      </c>
      <c r="P5" s="41" t="inlineStr">
        <is>
          <t>Back h</t>
        </is>
      </c>
      <c r="Q5" s="41" t="inlineStr">
        <is>
          <t>Dados h</t>
        </is>
      </c>
      <c r="R5" s="41" t="inlineStr">
        <is>
          <t>IA h</t>
        </is>
      </c>
      <c r="S5" s="41" t="inlineStr">
        <is>
          <t>QA h</t>
        </is>
      </c>
      <c r="T5" s="41" t="inlineStr">
        <is>
          <t>DevOps h</t>
        </is>
      </c>
      <c r="U5" s="41" t="inlineStr">
        <is>
          <t>Segurança h</t>
        </is>
      </c>
      <c r="V5" s="41" t="inlineStr">
        <is>
          <t>Horas brutas</t>
        </is>
      </c>
      <c r="W5" s="41" t="inlineStr">
        <is>
          <t>Horas líquidas</t>
        </is>
      </c>
      <c r="X5" s="41" t="inlineStr">
        <is>
          <t>Custo build R$</t>
        </is>
      </c>
      <c r="Y5" s="41" t="inlineStr">
        <is>
          <t>Gestão/arquitetura R$</t>
        </is>
      </c>
      <c r="Z5" s="41" t="inlineStr">
        <is>
          <t>Contingência R$</t>
        </is>
      </c>
      <c r="AA5" s="41" t="inlineStr">
        <is>
          <t>CAPEX tela R$</t>
        </is>
      </c>
      <c r="AB5" s="41" t="inlineStr">
        <is>
          <t>Observação</t>
        </is>
      </c>
    </row>
    <row r="6">
      <c r="A6" s="14" t="n">
        <v>1</v>
      </c>
      <c r="B6" s="14" t="inlineStr">
        <is>
          <t>CORE</t>
        </is>
      </c>
      <c r="C6" s="14" t="inlineStr">
        <is>
          <t>Core / Plataforma</t>
        </is>
      </c>
      <c r="D6" s="14" t="inlineStr">
        <is>
          <t>Login / SSO</t>
        </is>
      </c>
      <c r="E6" s="14" t="inlineStr">
        <is>
          <t>MVP</t>
        </is>
      </c>
      <c r="F6" s="14" t="inlineStr">
        <is>
          <t>Baixa</t>
        </is>
      </c>
      <c r="G6" s="14" t="inlineStr">
        <is>
          <t>CORE compartilhado</t>
        </is>
      </c>
      <c r="H6" s="89" t="n">
        <v>0.8</v>
      </c>
      <c r="I6" s="44" t="inlineStr">
        <is>
          <t>Não</t>
        </is>
      </c>
      <c r="J6" s="44" t="inlineStr">
        <is>
          <t>Não</t>
        </is>
      </c>
      <c r="K6" s="44" t="inlineStr">
        <is>
          <t>Sim</t>
        </is>
      </c>
      <c r="L6" s="44" t="inlineStr">
        <is>
          <t>Não</t>
        </is>
      </c>
      <c r="M6" s="90">
        <f>IF(F6="Baixa",'08_Premissas_Custos'!$B$6,IF(F6="Média",'08_Premissas_Custos'!$B$7,IF(F6="Alta",'08_Premissas_Custos'!$B$8,'08_Premissas_Custos'!$B$9)))</f>
        <v/>
      </c>
      <c r="N6" s="91">
        <f>'08_Premissas_Custos'!$B$13*M6</f>
        <v/>
      </c>
      <c r="O6" s="91">
        <f>'08_Premissas_Custos'!$B$14*M6*(1+IF(L6="Sim",0.25,0))</f>
        <v/>
      </c>
      <c r="P6" s="91">
        <f>'08_Premissas_Custos'!$B$15*M6*(1+IF(I6="Sim",0.20,0)+IF(K6="Sim",0.15,0))</f>
        <v/>
      </c>
      <c r="Q6" s="91">
        <f>'08_Premissas_Custos'!$B$16*M6*IF(J6="Sim",1.6,0.55)</f>
        <v/>
      </c>
      <c r="R6" s="91">
        <f>'08_Premissas_Custos'!$B$17*M6*IF(I6="Sim",1.8,0.15)</f>
        <v/>
      </c>
      <c r="S6" s="91">
        <f>'08_Premissas_Custos'!$B$18*M6*(1+IF(I6="Sim",0.15)+IF(L6="Sim",0.10))</f>
        <v/>
      </c>
      <c r="T6" s="91">
        <f>'08_Premissas_Custos'!$B$19*M6*(1+IF(J6="Sim",0.15))</f>
        <v/>
      </c>
      <c r="U6" s="91">
        <f>'08_Premissas_Custos'!$B$20*M6*IF(K6="Sim",1.8,0.7)</f>
        <v/>
      </c>
      <c r="V6" s="92">
        <f>SUM(N6:U6)</f>
        <v/>
      </c>
      <c r="W6" s="92">
        <f>V6*(1-H6)*IF(E6="Fase 2",'08_Premissas_Custos'!$F$10,1)</f>
        <v/>
      </c>
      <c r="X6" s="93">
        <f>(N6*'08_Premissas_Custos'!$C$13+O6*'08_Premissas_Custos'!$C$14+P6*'08_Premissas_Custos'!$C$15+Q6*'08_Premissas_Custos'!$C$16+R6*'08_Premissas_Custos'!$C$17+S6*'08_Premissas_Custos'!$C$18+T6*'08_Premissas_Custos'!$C$19+U6*'08_Premissas_Custos'!$C$20)*(1-H6)*IF(E6="Fase 2",'08_Premissas_Custos'!$F$10,1)</f>
        <v/>
      </c>
      <c r="Y6" s="93">
        <f>X6*'08_Premissas_Custos'!$F$7</f>
        <v/>
      </c>
      <c r="Z6" s="93">
        <f>(X6+Y6)*'08_Premissas_Custos'!$F$6</f>
        <v/>
      </c>
      <c r="AA6" s="93">
        <f>SUM(X6:Z6)</f>
        <v/>
      </c>
      <c r="AB6" s="14" t="inlineStr">
        <is>
          <t>Autenticação</t>
        </is>
      </c>
    </row>
    <row r="7">
      <c r="A7" s="14" t="n">
        <v>2</v>
      </c>
      <c r="B7" s="14" t="inlineStr">
        <is>
          <t>CORE</t>
        </is>
      </c>
      <c r="C7" s="14" t="inlineStr">
        <is>
          <t>Core / Plataforma</t>
        </is>
      </c>
      <c r="D7" s="14" t="inlineStr">
        <is>
          <t>Cadastro / onboarding</t>
        </is>
      </c>
      <c r="E7" s="14" t="inlineStr">
        <is>
          <t>MVP</t>
        </is>
      </c>
      <c r="F7" s="14" t="inlineStr">
        <is>
          <t>Média</t>
        </is>
      </c>
      <c r="G7" s="14" t="inlineStr">
        <is>
          <t>CORE compartilhado</t>
        </is>
      </c>
      <c r="H7" s="89" t="n">
        <v>0.8</v>
      </c>
      <c r="I7" s="44" t="inlineStr">
        <is>
          <t>Não</t>
        </is>
      </c>
      <c r="J7" s="44" t="inlineStr">
        <is>
          <t>Não</t>
        </is>
      </c>
      <c r="K7" s="44" t="inlineStr">
        <is>
          <t>Sim</t>
        </is>
      </c>
      <c r="L7" s="44" t="inlineStr">
        <is>
          <t>Sim</t>
        </is>
      </c>
      <c r="M7" s="90">
        <f>IF(F7="Baixa",'08_Premissas_Custos'!$B$6,IF(F7="Média",'08_Premissas_Custos'!$B$7,IF(F7="Alta",'08_Premissas_Custos'!$B$8,'08_Premissas_Custos'!$B$9)))</f>
        <v/>
      </c>
      <c r="N7" s="91">
        <f>'08_Premissas_Custos'!$B$13*M7</f>
        <v/>
      </c>
      <c r="O7" s="91">
        <f>'08_Premissas_Custos'!$B$14*M7*(1+IF(L7="Sim",0.25,0))</f>
        <v/>
      </c>
      <c r="P7" s="91">
        <f>'08_Premissas_Custos'!$B$15*M7*(1+IF(I7="Sim",0.20,0)+IF(K7="Sim",0.15,0))</f>
        <v/>
      </c>
      <c r="Q7" s="91">
        <f>'08_Premissas_Custos'!$B$16*M7*IF(J7="Sim",1.6,0.55)</f>
        <v/>
      </c>
      <c r="R7" s="91">
        <f>'08_Premissas_Custos'!$B$17*M7*IF(I7="Sim",1.8,0.15)</f>
        <v/>
      </c>
      <c r="S7" s="91">
        <f>'08_Premissas_Custos'!$B$18*M7*(1+IF(I7="Sim",0.15)+IF(L7="Sim",0.10))</f>
        <v/>
      </c>
      <c r="T7" s="91">
        <f>'08_Premissas_Custos'!$B$19*M7*(1+IF(J7="Sim",0.15))</f>
        <v/>
      </c>
      <c r="U7" s="91">
        <f>'08_Premissas_Custos'!$B$20*M7*IF(K7="Sim",1.8,0.7)</f>
        <v/>
      </c>
      <c r="V7" s="92">
        <f>SUM(N7:U7)</f>
        <v/>
      </c>
      <c r="W7" s="92">
        <f>V7*(1-H7)*IF(E7="Fase 2",'08_Premissas_Custos'!$F$10,1)</f>
        <v/>
      </c>
      <c r="X7" s="93">
        <f>(N7*'08_Premissas_Custos'!$C$13+O7*'08_Premissas_Custos'!$C$14+P7*'08_Premissas_Custos'!$C$15+Q7*'08_Premissas_Custos'!$C$16+R7*'08_Premissas_Custos'!$C$17+S7*'08_Premissas_Custos'!$C$18+T7*'08_Premissas_Custos'!$C$19+U7*'08_Premissas_Custos'!$C$20)*(1-H7)*IF(E7="Fase 2",'08_Premissas_Custos'!$F$10,1)</f>
        <v/>
      </c>
      <c r="Y7" s="93">
        <f>X7*'08_Premissas_Custos'!$F$7</f>
        <v/>
      </c>
      <c r="Z7" s="93">
        <f>(X7+Y7)*'08_Premissas_Custos'!$F$6</f>
        <v/>
      </c>
      <c r="AA7" s="93">
        <f>SUM(X7:Z7)</f>
        <v/>
      </c>
      <c r="AB7" s="14" t="inlineStr">
        <is>
          <t>Entrada por tipo</t>
        </is>
      </c>
    </row>
    <row r="8">
      <c r="A8" s="14" t="n">
        <v>3</v>
      </c>
      <c r="B8" s="14" t="inlineStr">
        <is>
          <t>CORE</t>
        </is>
      </c>
      <c r="C8" s="14" t="inlineStr">
        <is>
          <t>Core / Plataforma</t>
        </is>
      </c>
      <c r="D8" s="14" t="inlineStr">
        <is>
          <t>Perfis e organizações</t>
        </is>
      </c>
      <c r="E8" s="14" t="inlineStr">
        <is>
          <t>MVP</t>
        </is>
      </c>
      <c r="F8" s="14" t="inlineStr">
        <is>
          <t>Média</t>
        </is>
      </c>
      <c r="G8" s="14" t="inlineStr">
        <is>
          <t>CORE compartilhado</t>
        </is>
      </c>
      <c r="H8" s="89" t="n">
        <v>0.8</v>
      </c>
      <c r="I8" s="44" t="inlineStr">
        <is>
          <t>Não</t>
        </is>
      </c>
      <c r="J8" s="44" t="inlineStr">
        <is>
          <t>Não</t>
        </is>
      </c>
      <c r="K8" s="44" t="inlineStr">
        <is>
          <t>Sim</t>
        </is>
      </c>
      <c r="L8" s="44" t="inlineStr">
        <is>
          <t>Não</t>
        </is>
      </c>
      <c r="M8" s="90">
        <f>IF(F8="Baixa",'08_Premissas_Custos'!$B$6,IF(F8="Média",'08_Premissas_Custos'!$B$7,IF(F8="Alta",'08_Premissas_Custos'!$B$8,'08_Premissas_Custos'!$B$9)))</f>
        <v/>
      </c>
      <c r="N8" s="91">
        <f>'08_Premissas_Custos'!$B$13*M8</f>
        <v/>
      </c>
      <c r="O8" s="91">
        <f>'08_Premissas_Custos'!$B$14*M8*(1+IF(L8="Sim",0.25,0))</f>
        <v/>
      </c>
      <c r="P8" s="91">
        <f>'08_Premissas_Custos'!$B$15*M8*(1+IF(I8="Sim",0.20,0)+IF(K8="Sim",0.15,0))</f>
        <v/>
      </c>
      <c r="Q8" s="91">
        <f>'08_Premissas_Custos'!$B$16*M8*IF(J8="Sim",1.6,0.55)</f>
        <v/>
      </c>
      <c r="R8" s="91">
        <f>'08_Premissas_Custos'!$B$17*M8*IF(I8="Sim",1.8,0.15)</f>
        <v/>
      </c>
      <c r="S8" s="91">
        <f>'08_Premissas_Custos'!$B$18*M8*(1+IF(I8="Sim",0.15)+IF(L8="Sim",0.10))</f>
        <v/>
      </c>
      <c r="T8" s="91">
        <f>'08_Premissas_Custos'!$B$19*M8*(1+IF(J8="Sim",0.15))</f>
        <v/>
      </c>
      <c r="U8" s="91">
        <f>'08_Premissas_Custos'!$B$20*M8*IF(K8="Sim",1.8,0.7)</f>
        <v/>
      </c>
      <c r="V8" s="92">
        <f>SUM(N8:U8)</f>
        <v/>
      </c>
      <c r="W8" s="92">
        <f>V8*(1-H8)*IF(E8="Fase 2",'08_Premissas_Custos'!$F$10,1)</f>
        <v/>
      </c>
      <c r="X8" s="93">
        <f>(N8*'08_Premissas_Custos'!$C$13+O8*'08_Premissas_Custos'!$C$14+P8*'08_Premissas_Custos'!$C$15+Q8*'08_Premissas_Custos'!$C$16+R8*'08_Premissas_Custos'!$C$17+S8*'08_Premissas_Custos'!$C$18+T8*'08_Premissas_Custos'!$C$19+U8*'08_Premissas_Custos'!$C$20)*(1-H8)*IF(E8="Fase 2",'08_Premissas_Custos'!$F$10,1)</f>
        <v/>
      </c>
      <c r="Y8" s="93">
        <f>X8*'08_Premissas_Custos'!$F$7</f>
        <v/>
      </c>
      <c r="Z8" s="93">
        <f>(X8+Y8)*'08_Premissas_Custos'!$F$6</f>
        <v/>
      </c>
      <c r="AA8" s="93">
        <f>SUM(X8:Z8)</f>
        <v/>
      </c>
      <c r="AB8" s="14" t="inlineStr">
        <is>
          <t>Entidades</t>
        </is>
      </c>
    </row>
    <row r="9">
      <c r="A9" s="14" t="n">
        <v>4</v>
      </c>
      <c r="B9" s="14" t="inlineStr">
        <is>
          <t>CORE</t>
        </is>
      </c>
      <c r="C9" s="14" t="inlineStr">
        <is>
          <t>Core / Plataforma</t>
        </is>
      </c>
      <c r="D9" s="14" t="inlineStr">
        <is>
          <t>Papéis e permissões</t>
        </is>
      </c>
      <c r="E9" s="14" t="inlineStr">
        <is>
          <t>MVP</t>
        </is>
      </c>
      <c r="F9" s="14" t="inlineStr">
        <is>
          <t>Alta</t>
        </is>
      </c>
      <c r="G9" s="14" t="inlineStr">
        <is>
          <t>CORE compartilhado</t>
        </is>
      </c>
      <c r="H9" s="89" t="n">
        <v>0.8</v>
      </c>
      <c r="I9" s="44" t="inlineStr">
        <is>
          <t>Não</t>
        </is>
      </c>
      <c r="J9" s="44" t="inlineStr">
        <is>
          <t>Não</t>
        </is>
      </c>
      <c r="K9" s="44" t="inlineStr">
        <is>
          <t>Sim</t>
        </is>
      </c>
      <c r="L9" s="44" t="inlineStr">
        <is>
          <t>Não</t>
        </is>
      </c>
      <c r="M9" s="90">
        <f>IF(F9="Baixa",'08_Premissas_Custos'!$B$6,IF(F9="Média",'08_Premissas_Custos'!$B$7,IF(F9="Alta",'08_Premissas_Custos'!$B$8,'08_Premissas_Custos'!$B$9)))</f>
        <v/>
      </c>
      <c r="N9" s="91">
        <f>'08_Premissas_Custos'!$B$13*M9</f>
        <v/>
      </c>
      <c r="O9" s="91">
        <f>'08_Premissas_Custos'!$B$14*M9*(1+IF(L9="Sim",0.25,0))</f>
        <v/>
      </c>
      <c r="P9" s="91">
        <f>'08_Premissas_Custos'!$B$15*M9*(1+IF(I9="Sim",0.20,0)+IF(K9="Sim",0.15,0))</f>
        <v/>
      </c>
      <c r="Q9" s="91">
        <f>'08_Premissas_Custos'!$B$16*M9*IF(J9="Sim",1.6,0.55)</f>
        <v/>
      </c>
      <c r="R9" s="91">
        <f>'08_Premissas_Custos'!$B$17*M9*IF(I9="Sim",1.8,0.15)</f>
        <v/>
      </c>
      <c r="S9" s="91">
        <f>'08_Premissas_Custos'!$B$18*M9*(1+IF(I9="Sim",0.15)+IF(L9="Sim",0.10))</f>
        <v/>
      </c>
      <c r="T9" s="91">
        <f>'08_Premissas_Custos'!$B$19*M9*(1+IF(J9="Sim",0.15))</f>
        <v/>
      </c>
      <c r="U9" s="91">
        <f>'08_Premissas_Custos'!$B$20*M9*IF(K9="Sim",1.8,0.7)</f>
        <v/>
      </c>
      <c r="V9" s="92">
        <f>SUM(N9:U9)</f>
        <v/>
      </c>
      <c r="W9" s="92">
        <f>V9*(1-H9)*IF(E9="Fase 2",'08_Premissas_Custos'!$F$10,1)</f>
        <v/>
      </c>
      <c r="X9" s="93">
        <f>(N9*'08_Premissas_Custos'!$C$13+O9*'08_Premissas_Custos'!$C$14+P9*'08_Premissas_Custos'!$C$15+Q9*'08_Premissas_Custos'!$C$16+R9*'08_Premissas_Custos'!$C$17+S9*'08_Premissas_Custos'!$C$18+T9*'08_Premissas_Custos'!$C$19+U9*'08_Premissas_Custos'!$C$20)*(1-H9)*IF(E9="Fase 2",'08_Premissas_Custos'!$F$10,1)</f>
        <v/>
      </c>
      <c r="Y9" s="93">
        <f>X9*'08_Premissas_Custos'!$F$7</f>
        <v/>
      </c>
      <c r="Z9" s="93">
        <f>(X9+Y9)*'08_Premissas_Custos'!$F$6</f>
        <v/>
      </c>
      <c r="AA9" s="93">
        <f>SUM(X9:Z9)</f>
        <v/>
      </c>
      <c r="AB9" s="14" t="inlineStr">
        <is>
          <t>RBAC</t>
        </is>
      </c>
    </row>
    <row r="10">
      <c r="A10" s="14" t="n">
        <v>5</v>
      </c>
      <c r="B10" s="14" t="inlineStr">
        <is>
          <t>CORE</t>
        </is>
      </c>
      <c r="C10" s="14" t="inlineStr">
        <is>
          <t>Core / Plataforma</t>
        </is>
      </c>
      <c r="D10" s="14" t="inlineStr">
        <is>
          <t>Consentimentos / LGPD</t>
        </is>
      </c>
      <c r="E10" s="14" t="inlineStr">
        <is>
          <t>MVP</t>
        </is>
      </c>
      <c r="F10" s="14" t="inlineStr">
        <is>
          <t>Alta</t>
        </is>
      </c>
      <c r="G10" s="14" t="inlineStr">
        <is>
          <t>CORE compartilhado</t>
        </is>
      </c>
      <c r="H10" s="89" t="n">
        <v>0.8</v>
      </c>
      <c r="I10" s="44" t="inlineStr">
        <is>
          <t>Não</t>
        </is>
      </c>
      <c r="J10" s="44" t="inlineStr">
        <is>
          <t>Não</t>
        </is>
      </c>
      <c r="K10" s="44" t="inlineStr">
        <is>
          <t>Sim</t>
        </is>
      </c>
      <c r="L10" s="44" t="inlineStr">
        <is>
          <t>Não</t>
        </is>
      </c>
      <c r="M10" s="90">
        <f>IF(F10="Baixa",'08_Premissas_Custos'!$B$6,IF(F10="Média",'08_Premissas_Custos'!$B$7,IF(F10="Alta",'08_Premissas_Custos'!$B$8,'08_Premissas_Custos'!$B$9)))</f>
        <v/>
      </c>
      <c r="N10" s="91">
        <f>'08_Premissas_Custos'!$B$13*M10</f>
        <v/>
      </c>
      <c r="O10" s="91">
        <f>'08_Premissas_Custos'!$B$14*M10*(1+IF(L10="Sim",0.25,0))</f>
        <v/>
      </c>
      <c r="P10" s="91">
        <f>'08_Premissas_Custos'!$B$15*M10*(1+IF(I10="Sim",0.20,0)+IF(K10="Sim",0.15,0))</f>
        <v/>
      </c>
      <c r="Q10" s="91">
        <f>'08_Premissas_Custos'!$B$16*M10*IF(J10="Sim",1.6,0.55)</f>
        <v/>
      </c>
      <c r="R10" s="91">
        <f>'08_Premissas_Custos'!$B$17*M10*IF(I10="Sim",1.8,0.15)</f>
        <v/>
      </c>
      <c r="S10" s="91">
        <f>'08_Premissas_Custos'!$B$18*M10*(1+IF(I10="Sim",0.15)+IF(L10="Sim",0.10))</f>
        <v/>
      </c>
      <c r="T10" s="91">
        <f>'08_Premissas_Custos'!$B$19*M10*(1+IF(J10="Sim",0.15))</f>
        <v/>
      </c>
      <c r="U10" s="91">
        <f>'08_Premissas_Custos'!$B$20*M10*IF(K10="Sim",1.8,0.7)</f>
        <v/>
      </c>
      <c r="V10" s="92">
        <f>SUM(N10:U10)</f>
        <v/>
      </c>
      <c r="W10" s="92">
        <f>V10*(1-H10)*IF(E10="Fase 2",'08_Premissas_Custos'!$F$10,1)</f>
        <v/>
      </c>
      <c r="X10" s="93">
        <f>(N10*'08_Premissas_Custos'!$C$13+O10*'08_Premissas_Custos'!$C$14+P10*'08_Premissas_Custos'!$C$15+Q10*'08_Premissas_Custos'!$C$16+R10*'08_Premissas_Custos'!$C$17+S10*'08_Premissas_Custos'!$C$18+T10*'08_Premissas_Custos'!$C$19+U10*'08_Premissas_Custos'!$C$20)*(1-H10)*IF(E10="Fase 2",'08_Premissas_Custos'!$F$10,1)</f>
        <v/>
      </c>
      <c r="Y10" s="93">
        <f>X10*'08_Premissas_Custos'!$F$7</f>
        <v/>
      </c>
      <c r="Z10" s="93">
        <f>(X10+Y10)*'08_Premissas_Custos'!$F$6</f>
        <v/>
      </c>
      <c r="AA10" s="93">
        <f>SUM(X10:Z10)</f>
        <v/>
      </c>
      <c r="AB10" s="14" t="inlineStr">
        <is>
          <t>Privacidade</t>
        </is>
      </c>
    </row>
    <row r="11">
      <c r="A11" s="14" t="n">
        <v>6</v>
      </c>
      <c r="B11" s="14" t="inlineStr">
        <is>
          <t>CORE</t>
        </is>
      </c>
      <c r="C11" s="14" t="inlineStr">
        <is>
          <t>Core / Plataforma</t>
        </is>
      </c>
      <c r="D11" s="14" t="inlineStr">
        <is>
          <t>Central de integrações</t>
        </is>
      </c>
      <c r="E11" s="14" t="inlineStr">
        <is>
          <t>MVP</t>
        </is>
      </c>
      <c r="F11" s="14" t="inlineStr">
        <is>
          <t>Alta</t>
        </is>
      </c>
      <c r="G11" s="14" t="inlineStr">
        <is>
          <t>CORE compartilhado</t>
        </is>
      </c>
      <c r="H11" s="89" t="n">
        <v>0.8</v>
      </c>
      <c r="I11" s="44" t="inlineStr">
        <is>
          <t>Não</t>
        </is>
      </c>
      <c r="J11" s="44" t="inlineStr">
        <is>
          <t>Não</t>
        </is>
      </c>
      <c r="K11" s="44" t="inlineStr">
        <is>
          <t>Sim</t>
        </is>
      </c>
      <c r="L11" s="44" t="inlineStr">
        <is>
          <t>Não</t>
        </is>
      </c>
      <c r="M11" s="90">
        <f>IF(F11="Baixa",'08_Premissas_Custos'!$B$6,IF(F11="Média",'08_Premissas_Custos'!$B$7,IF(F11="Alta",'08_Premissas_Custos'!$B$8,'08_Premissas_Custos'!$B$9)))</f>
        <v/>
      </c>
      <c r="N11" s="91">
        <f>'08_Premissas_Custos'!$B$13*M11</f>
        <v/>
      </c>
      <c r="O11" s="91">
        <f>'08_Premissas_Custos'!$B$14*M11*(1+IF(L11="Sim",0.25,0))</f>
        <v/>
      </c>
      <c r="P11" s="91">
        <f>'08_Premissas_Custos'!$B$15*M11*(1+IF(I11="Sim",0.20,0)+IF(K11="Sim",0.15,0))</f>
        <v/>
      </c>
      <c r="Q11" s="91">
        <f>'08_Premissas_Custos'!$B$16*M11*IF(J11="Sim",1.6,0.55)</f>
        <v/>
      </c>
      <c r="R11" s="91">
        <f>'08_Premissas_Custos'!$B$17*M11*IF(I11="Sim",1.8,0.15)</f>
        <v/>
      </c>
      <c r="S11" s="91">
        <f>'08_Premissas_Custos'!$B$18*M11*(1+IF(I11="Sim",0.15)+IF(L11="Sim",0.10))</f>
        <v/>
      </c>
      <c r="T11" s="91">
        <f>'08_Premissas_Custos'!$B$19*M11*(1+IF(J11="Sim",0.15))</f>
        <v/>
      </c>
      <c r="U11" s="91">
        <f>'08_Premissas_Custos'!$B$20*M11*IF(K11="Sim",1.8,0.7)</f>
        <v/>
      </c>
      <c r="V11" s="92">
        <f>SUM(N11:U11)</f>
        <v/>
      </c>
      <c r="W11" s="92">
        <f>V11*(1-H11)*IF(E11="Fase 2",'08_Premissas_Custos'!$F$10,1)</f>
        <v/>
      </c>
      <c r="X11" s="93">
        <f>(N11*'08_Premissas_Custos'!$C$13+O11*'08_Premissas_Custos'!$C$14+P11*'08_Premissas_Custos'!$C$15+Q11*'08_Premissas_Custos'!$C$16+R11*'08_Premissas_Custos'!$C$17+S11*'08_Premissas_Custos'!$C$18+T11*'08_Premissas_Custos'!$C$19+U11*'08_Premissas_Custos'!$C$20)*(1-H11)*IF(E11="Fase 2",'08_Premissas_Custos'!$F$10,1)</f>
        <v/>
      </c>
      <c r="Y11" s="93">
        <f>X11*'08_Premissas_Custos'!$F$7</f>
        <v/>
      </c>
      <c r="Z11" s="93">
        <f>(X11+Y11)*'08_Premissas_Custos'!$F$6</f>
        <v/>
      </c>
      <c r="AA11" s="93">
        <f>SUM(X11:Z11)</f>
        <v/>
      </c>
      <c r="AB11" s="14" t="inlineStr">
        <is>
          <t>APIs/RHIS/ERP/CRM/LMS</t>
        </is>
      </c>
    </row>
    <row r="12">
      <c r="A12" s="14" t="n">
        <v>7</v>
      </c>
      <c r="B12" s="14" t="inlineStr">
        <is>
          <t>CORE</t>
        </is>
      </c>
      <c r="C12" s="14" t="inlineStr">
        <is>
          <t>Core / Plataforma</t>
        </is>
      </c>
      <c r="D12" s="14" t="inlineStr">
        <is>
          <t>Notificações</t>
        </is>
      </c>
      <c r="E12" s="14" t="inlineStr">
        <is>
          <t>MVP</t>
        </is>
      </c>
      <c r="F12" s="14" t="inlineStr">
        <is>
          <t>Média</t>
        </is>
      </c>
      <c r="G12" s="14" t="inlineStr">
        <is>
          <t>CORE compartilhado</t>
        </is>
      </c>
      <c r="H12" s="89" t="n">
        <v>0.8</v>
      </c>
      <c r="I12" s="44" t="inlineStr">
        <is>
          <t>Não</t>
        </is>
      </c>
      <c r="J12" s="44" t="inlineStr">
        <is>
          <t>Não</t>
        </is>
      </c>
      <c r="K12" s="44" t="inlineStr">
        <is>
          <t>Sim</t>
        </is>
      </c>
      <c r="L12" s="44" t="inlineStr">
        <is>
          <t>Sim</t>
        </is>
      </c>
      <c r="M12" s="90">
        <f>IF(F12="Baixa",'08_Premissas_Custos'!$B$6,IF(F12="Média",'08_Premissas_Custos'!$B$7,IF(F12="Alta",'08_Premissas_Custos'!$B$8,'08_Premissas_Custos'!$B$9)))</f>
        <v/>
      </c>
      <c r="N12" s="91">
        <f>'08_Premissas_Custos'!$B$13*M12</f>
        <v/>
      </c>
      <c r="O12" s="91">
        <f>'08_Premissas_Custos'!$B$14*M12*(1+IF(L12="Sim",0.25,0))</f>
        <v/>
      </c>
      <c r="P12" s="91">
        <f>'08_Premissas_Custos'!$B$15*M12*(1+IF(I12="Sim",0.20,0)+IF(K12="Sim",0.15,0))</f>
        <v/>
      </c>
      <c r="Q12" s="91">
        <f>'08_Premissas_Custos'!$B$16*M12*IF(J12="Sim",1.6,0.55)</f>
        <v/>
      </c>
      <c r="R12" s="91">
        <f>'08_Premissas_Custos'!$B$17*M12*IF(I12="Sim",1.8,0.15)</f>
        <v/>
      </c>
      <c r="S12" s="91">
        <f>'08_Premissas_Custos'!$B$18*M12*(1+IF(I12="Sim",0.15)+IF(L12="Sim",0.10))</f>
        <v/>
      </c>
      <c r="T12" s="91">
        <f>'08_Premissas_Custos'!$B$19*M12*(1+IF(J12="Sim",0.15))</f>
        <v/>
      </c>
      <c r="U12" s="91">
        <f>'08_Premissas_Custos'!$B$20*M12*IF(K12="Sim",1.8,0.7)</f>
        <v/>
      </c>
      <c r="V12" s="92">
        <f>SUM(N12:U12)</f>
        <v/>
      </c>
      <c r="W12" s="92">
        <f>V12*(1-H12)*IF(E12="Fase 2",'08_Premissas_Custos'!$F$10,1)</f>
        <v/>
      </c>
      <c r="X12" s="93">
        <f>(N12*'08_Premissas_Custos'!$C$13+O12*'08_Premissas_Custos'!$C$14+P12*'08_Premissas_Custos'!$C$15+Q12*'08_Premissas_Custos'!$C$16+R12*'08_Premissas_Custos'!$C$17+S12*'08_Premissas_Custos'!$C$18+T12*'08_Premissas_Custos'!$C$19+U12*'08_Premissas_Custos'!$C$20)*(1-H12)*IF(E12="Fase 2",'08_Premissas_Custos'!$F$10,1)</f>
        <v/>
      </c>
      <c r="Y12" s="93">
        <f>X12*'08_Premissas_Custos'!$F$7</f>
        <v/>
      </c>
      <c r="Z12" s="93">
        <f>(X12+Y12)*'08_Premissas_Custos'!$F$6</f>
        <v/>
      </c>
      <c r="AA12" s="93">
        <f>SUM(X12:Z12)</f>
        <v/>
      </c>
      <c r="AB12" s="14" t="inlineStr">
        <is>
          <t>Gatilhos</t>
        </is>
      </c>
    </row>
    <row r="13">
      <c r="A13" s="14" t="n">
        <v>8</v>
      </c>
      <c r="B13" s="14" t="inlineStr">
        <is>
          <t>CORE</t>
        </is>
      </c>
      <c r="C13" s="14" t="inlineStr">
        <is>
          <t>Core / Plataforma</t>
        </is>
      </c>
      <c r="D13" s="14" t="inlineStr">
        <is>
          <t>Mensagens</t>
        </is>
      </c>
      <c r="E13" s="14" t="inlineStr">
        <is>
          <t>Fase 2</t>
        </is>
      </c>
      <c r="F13" s="14" t="inlineStr">
        <is>
          <t>Alta</t>
        </is>
      </c>
      <c r="G13" s="14" t="inlineStr">
        <is>
          <t>CORE compartilhado</t>
        </is>
      </c>
      <c r="H13" s="89" t="n">
        <v>0.8</v>
      </c>
      <c r="I13" s="44" t="inlineStr">
        <is>
          <t>Não</t>
        </is>
      </c>
      <c r="J13" s="44" t="inlineStr">
        <is>
          <t>Não</t>
        </is>
      </c>
      <c r="K13" s="44" t="inlineStr">
        <is>
          <t>Sim</t>
        </is>
      </c>
      <c r="L13" s="44" t="inlineStr">
        <is>
          <t>Sim</t>
        </is>
      </c>
      <c r="M13" s="90">
        <f>IF(F13="Baixa",'08_Premissas_Custos'!$B$6,IF(F13="Média",'08_Premissas_Custos'!$B$7,IF(F13="Alta",'08_Premissas_Custos'!$B$8,'08_Premissas_Custos'!$B$9)))</f>
        <v/>
      </c>
      <c r="N13" s="91">
        <f>'08_Premissas_Custos'!$B$13*M13</f>
        <v/>
      </c>
      <c r="O13" s="91">
        <f>'08_Premissas_Custos'!$B$14*M13*(1+IF(L13="Sim",0.25,0))</f>
        <v/>
      </c>
      <c r="P13" s="91">
        <f>'08_Premissas_Custos'!$B$15*M13*(1+IF(I13="Sim",0.20,0)+IF(K13="Sim",0.15,0))</f>
        <v/>
      </c>
      <c r="Q13" s="91">
        <f>'08_Premissas_Custos'!$B$16*M13*IF(J13="Sim",1.6,0.55)</f>
        <v/>
      </c>
      <c r="R13" s="91">
        <f>'08_Premissas_Custos'!$B$17*M13*IF(I13="Sim",1.8,0.15)</f>
        <v/>
      </c>
      <c r="S13" s="91">
        <f>'08_Premissas_Custos'!$B$18*M13*(1+IF(I13="Sim",0.15)+IF(L13="Sim",0.10))</f>
        <v/>
      </c>
      <c r="T13" s="91">
        <f>'08_Premissas_Custos'!$B$19*M13*(1+IF(J13="Sim",0.15))</f>
        <v/>
      </c>
      <c r="U13" s="91">
        <f>'08_Premissas_Custos'!$B$20*M13*IF(K13="Sim",1.8,0.7)</f>
        <v/>
      </c>
      <c r="V13" s="92">
        <f>SUM(N13:U13)</f>
        <v/>
      </c>
      <c r="W13" s="92">
        <f>V13*(1-H13)*IF(E13="Fase 2",'08_Premissas_Custos'!$F$10,1)</f>
        <v/>
      </c>
      <c r="X13" s="93">
        <f>(N13*'08_Premissas_Custos'!$C$13+O13*'08_Premissas_Custos'!$C$14+P13*'08_Premissas_Custos'!$C$15+Q13*'08_Premissas_Custos'!$C$16+R13*'08_Premissas_Custos'!$C$17+S13*'08_Premissas_Custos'!$C$18+T13*'08_Premissas_Custos'!$C$19+U13*'08_Premissas_Custos'!$C$20)*(1-H13)*IF(E13="Fase 2",'08_Premissas_Custos'!$F$10,1)</f>
        <v/>
      </c>
      <c r="Y13" s="93">
        <f>X13*'08_Premissas_Custos'!$F$7</f>
        <v/>
      </c>
      <c r="Z13" s="93">
        <f>(X13+Y13)*'08_Premissas_Custos'!$F$6</f>
        <v/>
      </c>
      <c r="AA13" s="93">
        <f>SUM(X13:Z13)</f>
        <v/>
      </c>
      <c r="AB13" s="14" t="inlineStr">
        <is>
          <t>Conversas</t>
        </is>
      </c>
    </row>
    <row r="14">
      <c r="A14" s="14" t="n">
        <v>9</v>
      </c>
      <c r="B14" s="14" t="inlineStr">
        <is>
          <t>CORE</t>
        </is>
      </c>
      <c r="C14" s="14" t="inlineStr">
        <is>
          <t>Core / Plataforma</t>
        </is>
      </c>
      <c r="D14" s="14" t="inlineStr">
        <is>
          <t>Busca global</t>
        </is>
      </c>
      <c r="E14" s="14" t="inlineStr">
        <is>
          <t>Fase 2</t>
        </is>
      </c>
      <c r="F14" s="14" t="inlineStr">
        <is>
          <t>Média</t>
        </is>
      </c>
      <c r="G14" s="14" t="inlineStr">
        <is>
          <t>CORE compartilhado</t>
        </is>
      </c>
      <c r="H14" s="89" t="n">
        <v>0.8</v>
      </c>
      <c r="I14" s="44" t="inlineStr">
        <is>
          <t>Não</t>
        </is>
      </c>
      <c r="J14" s="44" t="inlineStr">
        <is>
          <t>Não</t>
        </is>
      </c>
      <c r="K14" s="44" t="inlineStr">
        <is>
          <t>Sim</t>
        </is>
      </c>
      <c r="L14" s="44" t="inlineStr">
        <is>
          <t>Não</t>
        </is>
      </c>
      <c r="M14" s="90">
        <f>IF(F14="Baixa",'08_Premissas_Custos'!$B$6,IF(F14="Média",'08_Premissas_Custos'!$B$7,IF(F14="Alta",'08_Premissas_Custos'!$B$8,'08_Premissas_Custos'!$B$9)))</f>
        <v/>
      </c>
      <c r="N14" s="91">
        <f>'08_Premissas_Custos'!$B$13*M14</f>
        <v/>
      </c>
      <c r="O14" s="91">
        <f>'08_Premissas_Custos'!$B$14*M14*(1+IF(L14="Sim",0.25,0))</f>
        <v/>
      </c>
      <c r="P14" s="91">
        <f>'08_Premissas_Custos'!$B$15*M14*(1+IF(I14="Sim",0.20,0)+IF(K14="Sim",0.15,0))</f>
        <v/>
      </c>
      <c r="Q14" s="91">
        <f>'08_Premissas_Custos'!$B$16*M14*IF(J14="Sim",1.6,0.55)</f>
        <v/>
      </c>
      <c r="R14" s="91">
        <f>'08_Premissas_Custos'!$B$17*M14*IF(I14="Sim",1.8,0.15)</f>
        <v/>
      </c>
      <c r="S14" s="91">
        <f>'08_Premissas_Custos'!$B$18*M14*(1+IF(I14="Sim",0.15)+IF(L14="Sim",0.10))</f>
        <v/>
      </c>
      <c r="T14" s="91">
        <f>'08_Premissas_Custos'!$B$19*M14*(1+IF(J14="Sim",0.15))</f>
        <v/>
      </c>
      <c r="U14" s="91">
        <f>'08_Premissas_Custos'!$B$20*M14*IF(K14="Sim",1.8,0.7)</f>
        <v/>
      </c>
      <c r="V14" s="92">
        <f>SUM(N14:U14)</f>
        <v/>
      </c>
      <c r="W14" s="92">
        <f>V14*(1-H14)*IF(E14="Fase 2",'08_Premissas_Custos'!$F$10,1)</f>
        <v/>
      </c>
      <c r="X14" s="93">
        <f>(N14*'08_Premissas_Custos'!$C$13+O14*'08_Premissas_Custos'!$C$14+P14*'08_Premissas_Custos'!$C$15+Q14*'08_Premissas_Custos'!$C$16+R14*'08_Premissas_Custos'!$C$17+S14*'08_Premissas_Custos'!$C$18+T14*'08_Premissas_Custos'!$C$19+U14*'08_Premissas_Custos'!$C$20)*(1-H14)*IF(E14="Fase 2",'08_Premissas_Custos'!$F$10,1)</f>
        <v/>
      </c>
      <c r="Y14" s="93">
        <f>X14*'08_Premissas_Custos'!$F$7</f>
        <v/>
      </c>
      <c r="Z14" s="93">
        <f>(X14+Y14)*'08_Premissas_Custos'!$F$6</f>
        <v/>
      </c>
      <c r="AA14" s="93">
        <f>SUM(X14:Z14)</f>
        <v/>
      </c>
      <c r="AB14" s="14" t="inlineStr">
        <is>
          <t>Busca</t>
        </is>
      </c>
    </row>
    <row r="15">
      <c r="A15" s="14" t="n">
        <v>10</v>
      </c>
      <c r="B15" s="14" t="inlineStr">
        <is>
          <t>CORE</t>
        </is>
      </c>
      <c r="C15" s="14" t="inlineStr">
        <is>
          <t>Core / Plataforma</t>
        </is>
      </c>
      <c r="D15" s="14" t="inlineStr">
        <is>
          <t>Analytics de uso</t>
        </is>
      </c>
      <c r="E15" s="14" t="inlineStr">
        <is>
          <t>MVP</t>
        </is>
      </c>
      <c r="F15" s="14" t="inlineStr">
        <is>
          <t>Média</t>
        </is>
      </c>
      <c r="G15" s="14" t="inlineStr">
        <is>
          <t>CORE compartilhado</t>
        </is>
      </c>
      <c r="H15" s="89" t="n">
        <v>0.8</v>
      </c>
      <c r="I15" s="44" t="inlineStr">
        <is>
          <t>Não</t>
        </is>
      </c>
      <c r="J15" s="44" t="inlineStr">
        <is>
          <t>Sim</t>
        </is>
      </c>
      <c r="K15" s="44" t="inlineStr">
        <is>
          <t>Sim</t>
        </is>
      </c>
      <c r="L15" s="44" t="inlineStr">
        <is>
          <t>Não</t>
        </is>
      </c>
      <c r="M15" s="90">
        <f>IF(F15="Baixa",'08_Premissas_Custos'!$B$6,IF(F15="Média",'08_Premissas_Custos'!$B$7,IF(F15="Alta",'08_Premissas_Custos'!$B$8,'08_Premissas_Custos'!$B$9)))</f>
        <v/>
      </c>
      <c r="N15" s="91">
        <f>'08_Premissas_Custos'!$B$13*M15</f>
        <v/>
      </c>
      <c r="O15" s="91">
        <f>'08_Premissas_Custos'!$B$14*M15*(1+IF(L15="Sim",0.25,0))</f>
        <v/>
      </c>
      <c r="P15" s="91">
        <f>'08_Premissas_Custos'!$B$15*M15*(1+IF(I15="Sim",0.20,0)+IF(K15="Sim",0.15,0))</f>
        <v/>
      </c>
      <c r="Q15" s="91">
        <f>'08_Premissas_Custos'!$B$16*M15*IF(J15="Sim",1.6,0.55)</f>
        <v/>
      </c>
      <c r="R15" s="91">
        <f>'08_Premissas_Custos'!$B$17*M15*IF(I15="Sim",1.8,0.15)</f>
        <v/>
      </c>
      <c r="S15" s="91">
        <f>'08_Premissas_Custos'!$B$18*M15*(1+IF(I15="Sim",0.15)+IF(L15="Sim",0.10))</f>
        <v/>
      </c>
      <c r="T15" s="91">
        <f>'08_Premissas_Custos'!$B$19*M15*(1+IF(J15="Sim",0.15))</f>
        <v/>
      </c>
      <c r="U15" s="91">
        <f>'08_Premissas_Custos'!$B$20*M15*IF(K15="Sim",1.8,0.7)</f>
        <v/>
      </c>
      <c r="V15" s="92">
        <f>SUM(N15:U15)</f>
        <v/>
      </c>
      <c r="W15" s="92">
        <f>V15*(1-H15)*IF(E15="Fase 2",'08_Premissas_Custos'!$F$10,1)</f>
        <v/>
      </c>
      <c r="X15" s="93">
        <f>(N15*'08_Premissas_Custos'!$C$13+O15*'08_Premissas_Custos'!$C$14+P15*'08_Premissas_Custos'!$C$15+Q15*'08_Premissas_Custos'!$C$16+R15*'08_Premissas_Custos'!$C$17+S15*'08_Premissas_Custos'!$C$18+T15*'08_Premissas_Custos'!$C$19+U15*'08_Premissas_Custos'!$C$20)*(1-H15)*IF(E15="Fase 2",'08_Premissas_Custos'!$F$10,1)</f>
        <v/>
      </c>
      <c r="Y15" s="93">
        <f>X15*'08_Premissas_Custos'!$F$7</f>
        <v/>
      </c>
      <c r="Z15" s="93">
        <f>(X15+Y15)*'08_Premissas_Custos'!$F$6</f>
        <v/>
      </c>
      <c r="AA15" s="93">
        <f>SUM(X15:Z15)</f>
        <v/>
      </c>
      <c r="AB15" s="14" t="inlineStr">
        <is>
          <t>Adoção</t>
        </is>
      </c>
    </row>
    <row r="16">
      <c r="A16" s="14" t="n">
        <v>11</v>
      </c>
      <c r="B16" s="14" t="inlineStr">
        <is>
          <t>CORE</t>
        </is>
      </c>
      <c r="C16" s="14" t="inlineStr">
        <is>
          <t>Core / Plataforma</t>
        </is>
      </c>
      <c r="D16" s="14" t="inlineStr">
        <is>
          <t>Administração</t>
        </is>
      </c>
      <c r="E16" s="14" t="inlineStr">
        <is>
          <t>MVP</t>
        </is>
      </c>
      <c r="F16" s="14" t="inlineStr">
        <is>
          <t>Alta</t>
        </is>
      </c>
      <c r="G16" s="14" t="inlineStr">
        <is>
          <t>CORE compartilhado</t>
        </is>
      </c>
      <c r="H16" s="89" t="n">
        <v>0.8</v>
      </c>
      <c r="I16" s="44" t="inlineStr">
        <is>
          <t>Não</t>
        </is>
      </c>
      <c r="J16" s="44" t="inlineStr">
        <is>
          <t>Não</t>
        </is>
      </c>
      <c r="K16" s="44" t="inlineStr">
        <is>
          <t>Sim</t>
        </is>
      </c>
      <c r="L16" s="44" t="inlineStr">
        <is>
          <t>Não</t>
        </is>
      </c>
      <c r="M16" s="90">
        <f>IF(F16="Baixa",'08_Premissas_Custos'!$B$6,IF(F16="Média",'08_Premissas_Custos'!$B$7,IF(F16="Alta",'08_Premissas_Custos'!$B$8,'08_Premissas_Custos'!$B$9)))</f>
        <v/>
      </c>
      <c r="N16" s="91">
        <f>'08_Premissas_Custos'!$B$13*M16</f>
        <v/>
      </c>
      <c r="O16" s="91">
        <f>'08_Premissas_Custos'!$B$14*M16*(1+IF(L16="Sim",0.25,0))</f>
        <v/>
      </c>
      <c r="P16" s="91">
        <f>'08_Premissas_Custos'!$B$15*M16*(1+IF(I16="Sim",0.20,0)+IF(K16="Sim",0.15,0))</f>
        <v/>
      </c>
      <c r="Q16" s="91">
        <f>'08_Premissas_Custos'!$B$16*M16*IF(J16="Sim",1.6,0.55)</f>
        <v/>
      </c>
      <c r="R16" s="91">
        <f>'08_Premissas_Custos'!$B$17*M16*IF(I16="Sim",1.8,0.15)</f>
        <v/>
      </c>
      <c r="S16" s="91">
        <f>'08_Premissas_Custos'!$B$18*M16*(1+IF(I16="Sim",0.15)+IF(L16="Sim",0.10))</f>
        <v/>
      </c>
      <c r="T16" s="91">
        <f>'08_Premissas_Custos'!$B$19*M16*(1+IF(J16="Sim",0.15))</f>
        <v/>
      </c>
      <c r="U16" s="91">
        <f>'08_Premissas_Custos'!$B$20*M16*IF(K16="Sim",1.8,0.7)</f>
        <v/>
      </c>
      <c r="V16" s="92">
        <f>SUM(N16:U16)</f>
        <v/>
      </c>
      <c r="W16" s="92">
        <f>V16*(1-H16)*IF(E16="Fase 2",'08_Premissas_Custos'!$F$10,1)</f>
        <v/>
      </c>
      <c r="X16" s="93">
        <f>(N16*'08_Premissas_Custos'!$C$13+O16*'08_Premissas_Custos'!$C$14+P16*'08_Premissas_Custos'!$C$15+Q16*'08_Premissas_Custos'!$C$16+R16*'08_Premissas_Custos'!$C$17+S16*'08_Premissas_Custos'!$C$18+T16*'08_Premissas_Custos'!$C$19+U16*'08_Premissas_Custos'!$C$20)*(1-H16)*IF(E16="Fase 2",'08_Premissas_Custos'!$F$10,1)</f>
        <v/>
      </c>
      <c r="Y16" s="93">
        <f>X16*'08_Premissas_Custos'!$F$7</f>
        <v/>
      </c>
      <c r="Z16" s="93">
        <f>(X16+Y16)*'08_Premissas_Custos'!$F$6</f>
        <v/>
      </c>
      <c r="AA16" s="93">
        <f>SUM(X16:Z16)</f>
        <v/>
      </c>
      <c r="AB16" s="14" t="inlineStr">
        <is>
          <t>Configurações</t>
        </is>
      </c>
    </row>
    <row r="17">
      <c r="A17" s="14" t="n">
        <v>12</v>
      </c>
      <c r="B17" s="14" t="inlineStr">
        <is>
          <t>CORE</t>
        </is>
      </c>
      <c r="C17" s="14" t="inlineStr">
        <is>
          <t>Core / Plataforma</t>
        </is>
      </c>
      <c r="D17" s="14" t="inlineStr">
        <is>
          <t>Auditoria e logs</t>
        </is>
      </c>
      <c r="E17" s="14" t="inlineStr">
        <is>
          <t>MVP</t>
        </is>
      </c>
      <c r="F17" s="14" t="inlineStr">
        <is>
          <t>Alta</t>
        </is>
      </c>
      <c r="G17" s="14" t="inlineStr">
        <is>
          <t>CORE compartilhado</t>
        </is>
      </c>
      <c r="H17" s="89" t="n">
        <v>0.8</v>
      </c>
      <c r="I17" s="44" t="inlineStr">
        <is>
          <t>Não</t>
        </is>
      </c>
      <c r="J17" s="44" t="inlineStr">
        <is>
          <t>Não</t>
        </is>
      </c>
      <c r="K17" s="44" t="inlineStr">
        <is>
          <t>Sim</t>
        </is>
      </c>
      <c r="L17" s="44" t="inlineStr">
        <is>
          <t>Não</t>
        </is>
      </c>
      <c r="M17" s="90">
        <f>IF(F17="Baixa",'08_Premissas_Custos'!$B$6,IF(F17="Média",'08_Premissas_Custos'!$B$7,IF(F17="Alta",'08_Premissas_Custos'!$B$8,'08_Premissas_Custos'!$B$9)))</f>
        <v/>
      </c>
      <c r="N17" s="91">
        <f>'08_Premissas_Custos'!$B$13*M17</f>
        <v/>
      </c>
      <c r="O17" s="91">
        <f>'08_Premissas_Custos'!$B$14*M17*(1+IF(L17="Sim",0.25,0))</f>
        <v/>
      </c>
      <c r="P17" s="91">
        <f>'08_Premissas_Custos'!$B$15*M17*(1+IF(I17="Sim",0.20,0)+IF(K17="Sim",0.15,0))</f>
        <v/>
      </c>
      <c r="Q17" s="91">
        <f>'08_Premissas_Custos'!$B$16*M17*IF(J17="Sim",1.6,0.55)</f>
        <v/>
      </c>
      <c r="R17" s="91">
        <f>'08_Premissas_Custos'!$B$17*M17*IF(I17="Sim",1.8,0.15)</f>
        <v/>
      </c>
      <c r="S17" s="91">
        <f>'08_Premissas_Custos'!$B$18*M17*(1+IF(I17="Sim",0.15)+IF(L17="Sim",0.10))</f>
        <v/>
      </c>
      <c r="T17" s="91">
        <f>'08_Premissas_Custos'!$B$19*M17*(1+IF(J17="Sim",0.15))</f>
        <v/>
      </c>
      <c r="U17" s="91">
        <f>'08_Premissas_Custos'!$B$20*M17*IF(K17="Sim",1.8,0.7)</f>
        <v/>
      </c>
      <c r="V17" s="92">
        <f>SUM(N17:U17)</f>
        <v/>
      </c>
      <c r="W17" s="92">
        <f>V17*(1-H17)*IF(E17="Fase 2",'08_Premissas_Custos'!$F$10,1)</f>
        <v/>
      </c>
      <c r="X17" s="93">
        <f>(N17*'08_Premissas_Custos'!$C$13+O17*'08_Premissas_Custos'!$C$14+P17*'08_Premissas_Custos'!$C$15+Q17*'08_Premissas_Custos'!$C$16+R17*'08_Premissas_Custos'!$C$17+S17*'08_Premissas_Custos'!$C$18+T17*'08_Premissas_Custos'!$C$19+U17*'08_Premissas_Custos'!$C$20)*(1-H17)*IF(E17="Fase 2",'08_Premissas_Custos'!$F$10,1)</f>
        <v/>
      </c>
      <c r="Y17" s="93">
        <f>X17*'08_Premissas_Custos'!$F$7</f>
        <v/>
      </c>
      <c r="Z17" s="93">
        <f>(X17+Y17)*'08_Premissas_Custos'!$F$6</f>
        <v/>
      </c>
      <c r="AA17" s="93">
        <f>SUM(X17:Z17)</f>
        <v/>
      </c>
      <c r="AB17" s="14" t="inlineStr">
        <is>
          <t>Rastreabilidade</t>
        </is>
      </c>
    </row>
    <row r="18">
      <c r="A18" s="14" t="n">
        <v>13</v>
      </c>
      <c r="B18" s="14" t="inlineStr">
        <is>
          <t>ED</t>
        </is>
      </c>
      <c r="C18" s="14" t="inlineStr">
        <is>
          <t>Estratégia &amp; Dados</t>
        </is>
      </c>
      <c r="D18" s="14" t="inlineStr">
        <is>
          <t>Visão executiva</t>
        </is>
      </c>
      <c r="E18" s="14" t="inlineStr">
        <is>
          <t>MVP</t>
        </is>
      </c>
      <c r="F18" s="14" t="inlineStr">
        <is>
          <t>Alta</t>
        </is>
      </c>
      <c r="G18" s="14" t="str"/>
      <c r="H18" s="89" t="n">
        <v>0</v>
      </c>
      <c r="I18" s="44" t="inlineStr">
        <is>
          <t>Não</t>
        </is>
      </c>
      <c r="J18" s="44" t="inlineStr">
        <is>
          <t>Sim</t>
        </is>
      </c>
      <c r="K18" s="44" t="inlineStr">
        <is>
          <t>Não</t>
        </is>
      </c>
      <c r="L18" s="44" t="inlineStr">
        <is>
          <t>Não</t>
        </is>
      </c>
      <c r="M18" s="90">
        <f>IF(F18="Baixa",'08_Premissas_Custos'!$B$6,IF(F18="Média",'08_Premissas_Custos'!$B$7,IF(F18="Alta",'08_Premissas_Custos'!$B$8,'08_Premissas_Custos'!$B$9)))</f>
        <v/>
      </c>
      <c r="N18" s="91">
        <f>'08_Premissas_Custos'!$B$13*M18</f>
        <v/>
      </c>
      <c r="O18" s="91">
        <f>'08_Premissas_Custos'!$B$14*M18*(1+IF(L18="Sim",0.25,0))</f>
        <v/>
      </c>
      <c r="P18" s="91">
        <f>'08_Premissas_Custos'!$B$15*M18*(1+IF(I18="Sim",0.20,0)+IF(K18="Sim",0.15,0))</f>
        <v/>
      </c>
      <c r="Q18" s="91">
        <f>'08_Premissas_Custos'!$B$16*M18*IF(J18="Sim",1.6,0.55)</f>
        <v/>
      </c>
      <c r="R18" s="91">
        <f>'08_Premissas_Custos'!$B$17*M18*IF(I18="Sim",1.8,0.15)</f>
        <v/>
      </c>
      <c r="S18" s="91">
        <f>'08_Premissas_Custos'!$B$18*M18*(1+IF(I18="Sim",0.15)+IF(L18="Sim",0.10))</f>
        <v/>
      </c>
      <c r="T18" s="91">
        <f>'08_Premissas_Custos'!$B$19*M18*(1+IF(J18="Sim",0.15))</f>
        <v/>
      </c>
      <c r="U18" s="91">
        <f>'08_Premissas_Custos'!$B$20*M18*IF(K18="Sim",1.8,0.7)</f>
        <v/>
      </c>
      <c r="V18" s="92">
        <f>SUM(N18:U18)</f>
        <v/>
      </c>
      <c r="W18" s="92">
        <f>V18*(1-H18)*IF(E18="Fase 2",'08_Premissas_Custos'!$F$10,1)</f>
        <v/>
      </c>
      <c r="X18" s="93">
        <f>(N18*'08_Premissas_Custos'!$C$13+O18*'08_Premissas_Custos'!$C$14+P18*'08_Premissas_Custos'!$C$15+Q18*'08_Premissas_Custos'!$C$16+R18*'08_Premissas_Custos'!$C$17+S18*'08_Premissas_Custos'!$C$18+T18*'08_Premissas_Custos'!$C$19+U18*'08_Premissas_Custos'!$C$20)*(1-H18)*IF(E18="Fase 2",'08_Premissas_Custos'!$F$10,1)</f>
        <v/>
      </c>
      <c r="Y18" s="93">
        <f>X18*'08_Premissas_Custos'!$F$7</f>
        <v/>
      </c>
      <c r="Z18" s="93">
        <f>(X18+Y18)*'08_Premissas_Custos'!$F$6</f>
        <v/>
      </c>
      <c r="AA18" s="93">
        <f>SUM(X18:Z18)</f>
        <v/>
      </c>
      <c r="AB18" s="14" t="inlineStr">
        <is>
          <t>KPIs pessoas x negócio</t>
        </is>
      </c>
    </row>
    <row r="19">
      <c r="A19" s="14" t="n">
        <v>14</v>
      </c>
      <c r="B19" s="14" t="inlineStr">
        <is>
          <t>ED</t>
        </is>
      </c>
      <c r="C19" s="14" t="inlineStr">
        <is>
          <t>Estratégia &amp; Dados</t>
        </is>
      </c>
      <c r="D19" s="14" t="inlineStr">
        <is>
          <t>Conectores de dados</t>
        </is>
      </c>
      <c r="E19" s="14" t="inlineStr">
        <is>
          <t>MVP</t>
        </is>
      </c>
      <c r="F19" s="14" t="inlineStr">
        <is>
          <t>Alta</t>
        </is>
      </c>
      <c r="G19" s="14" t="str"/>
      <c r="H19" s="89" t="n">
        <v>0</v>
      </c>
      <c r="I19" s="44" t="inlineStr">
        <is>
          <t>Não</t>
        </is>
      </c>
      <c r="J19" s="44" t="inlineStr">
        <is>
          <t>Sim</t>
        </is>
      </c>
      <c r="K19" s="44" t="inlineStr">
        <is>
          <t>Não</t>
        </is>
      </c>
      <c r="L19" s="44" t="inlineStr">
        <is>
          <t>Não</t>
        </is>
      </c>
      <c r="M19" s="90">
        <f>IF(F19="Baixa",'08_Premissas_Custos'!$B$6,IF(F19="Média",'08_Premissas_Custos'!$B$7,IF(F19="Alta",'08_Premissas_Custos'!$B$8,'08_Premissas_Custos'!$B$9)))</f>
        <v/>
      </c>
      <c r="N19" s="91">
        <f>'08_Premissas_Custos'!$B$13*M19</f>
        <v/>
      </c>
      <c r="O19" s="91">
        <f>'08_Premissas_Custos'!$B$14*M19*(1+IF(L19="Sim",0.25,0))</f>
        <v/>
      </c>
      <c r="P19" s="91">
        <f>'08_Premissas_Custos'!$B$15*M19*(1+IF(I19="Sim",0.20,0)+IF(K19="Sim",0.15,0))</f>
        <v/>
      </c>
      <c r="Q19" s="91">
        <f>'08_Premissas_Custos'!$B$16*M19*IF(J19="Sim",1.6,0.55)</f>
        <v/>
      </c>
      <c r="R19" s="91">
        <f>'08_Premissas_Custos'!$B$17*M19*IF(I19="Sim",1.8,0.15)</f>
        <v/>
      </c>
      <c r="S19" s="91">
        <f>'08_Premissas_Custos'!$B$18*M19*(1+IF(I19="Sim",0.15)+IF(L19="Sim",0.10))</f>
        <v/>
      </c>
      <c r="T19" s="91">
        <f>'08_Premissas_Custos'!$B$19*M19*(1+IF(J19="Sim",0.15))</f>
        <v/>
      </c>
      <c r="U19" s="91">
        <f>'08_Premissas_Custos'!$B$20*M19*IF(K19="Sim",1.8,0.7)</f>
        <v/>
      </c>
      <c r="V19" s="92">
        <f>SUM(N19:U19)</f>
        <v/>
      </c>
      <c r="W19" s="92">
        <f>V19*(1-H19)*IF(E19="Fase 2",'08_Premissas_Custos'!$F$10,1)</f>
        <v/>
      </c>
      <c r="X19" s="93">
        <f>(N19*'08_Premissas_Custos'!$C$13+O19*'08_Premissas_Custos'!$C$14+P19*'08_Premissas_Custos'!$C$15+Q19*'08_Premissas_Custos'!$C$16+R19*'08_Premissas_Custos'!$C$17+S19*'08_Premissas_Custos'!$C$18+T19*'08_Premissas_Custos'!$C$19+U19*'08_Premissas_Custos'!$C$20)*(1-H19)*IF(E19="Fase 2",'08_Premissas_Custos'!$F$10,1)</f>
        <v/>
      </c>
      <c r="Y19" s="93">
        <f>X19*'08_Premissas_Custos'!$F$7</f>
        <v/>
      </c>
      <c r="Z19" s="93">
        <f>(X19+Y19)*'08_Premissas_Custos'!$F$6</f>
        <v/>
      </c>
      <c r="AA19" s="93">
        <f>SUM(X19:Z19)</f>
        <v/>
      </c>
      <c r="AB19" s="14" t="inlineStr">
        <is>
          <t>Dados existentes</t>
        </is>
      </c>
    </row>
    <row r="20">
      <c r="A20" s="14" t="n">
        <v>15</v>
      </c>
      <c r="B20" s="14" t="inlineStr">
        <is>
          <t>ED</t>
        </is>
      </c>
      <c r="C20" s="14" t="inlineStr">
        <is>
          <t>Estratégia &amp; Dados</t>
        </is>
      </c>
      <c r="D20" s="14" t="inlineStr">
        <is>
          <t>Mapeamento de indicadores</t>
        </is>
      </c>
      <c r="E20" s="14" t="inlineStr">
        <is>
          <t>MVP</t>
        </is>
      </c>
      <c r="F20" s="14" t="inlineStr">
        <is>
          <t>Alta</t>
        </is>
      </c>
      <c r="G20" s="14" t="str"/>
      <c r="H20" s="89" t="n">
        <v>0</v>
      </c>
      <c r="I20" s="44" t="inlineStr">
        <is>
          <t>Não</t>
        </is>
      </c>
      <c r="J20" s="44" t="inlineStr">
        <is>
          <t>Sim</t>
        </is>
      </c>
      <c r="K20" s="44" t="inlineStr">
        <is>
          <t>Não</t>
        </is>
      </c>
      <c r="L20" s="44" t="inlineStr">
        <is>
          <t>Não</t>
        </is>
      </c>
      <c r="M20" s="90">
        <f>IF(F20="Baixa",'08_Premissas_Custos'!$B$6,IF(F20="Média",'08_Premissas_Custos'!$B$7,IF(F20="Alta",'08_Premissas_Custos'!$B$8,'08_Premissas_Custos'!$B$9)))</f>
        <v/>
      </c>
      <c r="N20" s="91">
        <f>'08_Premissas_Custos'!$B$13*M20</f>
        <v/>
      </c>
      <c r="O20" s="91">
        <f>'08_Premissas_Custos'!$B$14*M20*(1+IF(L20="Sim",0.25,0))</f>
        <v/>
      </c>
      <c r="P20" s="91">
        <f>'08_Premissas_Custos'!$B$15*M20*(1+IF(I20="Sim",0.20,0)+IF(K20="Sim",0.15,0))</f>
        <v/>
      </c>
      <c r="Q20" s="91">
        <f>'08_Premissas_Custos'!$B$16*M20*IF(J20="Sim",1.6,0.55)</f>
        <v/>
      </c>
      <c r="R20" s="91">
        <f>'08_Premissas_Custos'!$B$17*M20*IF(I20="Sim",1.8,0.15)</f>
        <v/>
      </c>
      <c r="S20" s="91">
        <f>'08_Premissas_Custos'!$B$18*M20*(1+IF(I20="Sim",0.15)+IF(L20="Sim",0.10))</f>
        <v/>
      </c>
      <c r="T20" s="91">
        <f>'08_Premissas_Custos'!$B$19*M20*(1+IF(J20="Sim",0.15))</f>
        <v/>
      </c>
      <c r="U20" s="91">
        <f>'08_Premissas_Custos'!$B$20*M20*IF(K20="Sim",1.8,0.7)</f>
        <v/>
      </c>
      <c r="V20" s="92">
        <f>SUM(N20:U20)</f>
        <v/>
      </c>
      <c r="W20" s="92">
        <f>V20*(1-H20)*IF(E20="Fase 2",'08_Premissas_Custos'!$F$10,1)</f>
        <v/>
      </c>
      <c r="X20" s="93">
        <f>(N20*'08_Premissas_Custos'!$C$13+O20*'08_Premissas_Custos'!$C$14+P20*'08_Premissas_Custos'!$C$15+Q20*'08_Premissas_Custos'!$C$16+R20*'08_Premissas_Custos'!$C$17+S20*'08_Premissas_Custos'!$C$18+T20*'08_Premissas_Custos'!$C$19+U20*'08_Premissas_Custos'!$C$20)*(1-H20)*IF(E20="Fase 2",'08_Premissas_Custos'!$F$10,1)</f>
        <v/>
      </c>
      <c r="Y20" s="93">
        <f>X20*'08_Premissas_Custos'!$F$7</f>
        <v/>
      </c>
      <c r="Z20" s="93">
        <f>(X20+Y20)*'08_Premissas_Custos'!$F$6</f>
        <v/>
      </c>
      <c r="AA20" s="93">
        <f>SUM(X20:Z20)</f>
        <v/>
      </c>
      <c r="AB20" s="14" t="inlineStr">
        <is>
          <t>Dicionário</t>
        </is>
      </c>
    </row>
    <row r="21">
      <c r="A21" s="14" t="n">
        <v>16</v>
      </c>
      <c r="B21" s="14" t="inlineStr">
        <is>
          <t>ED</t>
        </is>
      </c>
      <c r="C21" s="14" t="inlineStr">
        <is>
          <t>Estratégia &amp; Dados</t>
        </is>
      </c>
      <c r="D21" s="14" t="inlineStr">
        <is>
          <t>Diagnóstico</t>
        </is>
      </c>
      <c r="E21" s="14" t="inlineStr">
        <is>
          <t>MVP</t>
        </is>
      </c>
      <c r="F21" s="14" t="inlineStr">
        <is>
          <t>Alta</t>
        </is>
      </c>
      <c r="G21" s="14" t="str"/>
      <c r="H21" s="89" t="n">
        <v>0</v>
      </c>
      <c r="I21" s="44" t="inlineStr">
        <is>
          <t>Não</t>
        </is>
      </c>
      <c r="J21" s="44" t="inlineStr">
        <is>
          <t>Sim</t>
        </is>
      </c>
      <c r="K21" s="44" t="inlineStr">
        <is>
          <t>Não</t>
        </is>
      </c>
      <c r="L21" s="44" t="inlineStr">
        <is>
          <t>Não</t>
        </is>
      </c>
      <c r="M21" s="90">
        <f>IF(F21="Baixa",'08_Premissas_Custos'!$B$6,IF(F21="Média",'08_Premissas_Custos'!$B$7,IF(F21="Alta",'08_Premissas_Custos'!$B$8,'08_Premissas_Custos'!$B$9)))</f>
        <v/>
      </c>
      <c r="N21" s="91">
        <f>'08_Premissas_Custos'!$B$13*M21</f>
        <v/>
      </c>
      <c r="O21" s="91">
        <f>'08_Premissas_Custos'!$B$14*M21*(1+IF(L21="Sim",0.25,0))</f>
        <v/>
      </c>
      <c r="P21" s="91">
        <f>'08_Premissas_Custos'!$B$15*M21*(1+IF(I21="Sim",0.20,0)+IF(K21="Sim",0.15,0))</f>
        <v/>
      </c>
      <c r="Q21" s="91">
        <f>'08_Premissas_Custos'!$B$16*M21*IF(J21="Sim",1.6,0.55)</f>
        <v/>
      </c>
      <c r="R21" s="91">
        <f>'08_Premissas_Custos'!$B$17*M21*IF(I21="Sim",1.8,0.15)</f>
        <v/>
      </c>
      <c r="S21" s="91">
        <f>'08_Premissas_Custos'!$B$18*M21*(1+IF(I21="Sim",0.15)+IF(L21="Sim",0.10))</f>
        <v/>
      </c>
      <c r="T21" s="91">
        <f>'08_Premissas_Custos'!$B$19*M21*(1+IF(J21="Sim",0.15))</f>
        <v/>
      </c>
      <c r="U21" s="91">
        <f>'08_Premissas_Custos'!$B$20*M21*IF(K21="Sim",1.8,0.7)</f>
        <v/>
      </c>
      <c r="V21" s="92">
        <f>SUM(N21:U21)</f>
        <v/>
      </c>
      <c r="W21" s="92">
        <f>V21*(1-H21)*IF(E21="Fase 2",'08_Premissas_Custos'!$F$10,1)</f>
        <v/>
      </c>
      <c r="X21" s="93">
        <f>(N21*'08_Premissas_Custos'!$C$13+O21*'08_Premissas_Custos'!$C$14+P21*'08_Premissas_Custos'!$C$15+Q21*'08_Premissas_Custos'!$C$16+R21*'08_Premissas_Custos'!$C$17+S21*'08_Premissas_Custos'!$C$18+T21*'08_Premissas_Custos'!$C$19+U21*'08_Premissas_Custos'!$C$20)*(1-H21)*IF(E21="Fase 2",'08_Premissas_Custos'!$F$10,1)</f>
        <v/>
      </c>
      <c r="Y21" s="93">
        <f>X21*'08_Premissas_Custos'!$F$7</f>
        <v/>
      </c>
      <c r="Z21" s="93">
        <f>(X21+Y21)*'08_Premissas_Custos'!$F$6</f>
        <v/>
      </c>
      <c r="AA21" s="93">
        <f>SUM(X21:Z21)</f>
        <v/>
      </c>
      <c r="AB21" s="14" t="inlineStr">
        <is>
          <t>Contexto</t>
        </is>
      </c>
    </row>
    <row r="22">
      <c r="A22" s="14" t="n">
        <v>17</v>
      </c>
      <c r="B22" s="14" t="inlineStr">
        <is>
          <t>ED</t>
        </is>
      </c>
      <c r="C22" s="14" t="inlineStr">
        <is>
          <t>Estratégia &amp; Dados</t>
        </is>
      </c>
      <c r="D22" s="14" t="inlineStr">
        <is>
          <t>Análises e correlações</t>
        </is>
      </c>
      <c r="E22" s="14" t="inlineStr">
        <is>
          <t>MVP</t>
        </is>
      </c>
      <c r="F22" s="14" t="inlineStr">
        <is>
          <t>Muito alta</t>
        </is>
      </c>
      <c r="G22" s="14" t="str"/>
      <c r="H22" s="89" t="n">
        <v>0</v>
      </c>
      <c r="I22" s="44" t="inlineStr">
        <is>
          <t>Sim</t>
        </is>
      </c>
      <c r="J22" s="44" t="inlineStr">
        <is>
          <t>Sim</t>
        </is>
      </c>
      <c r="K22" s="44" t="inlineStr">
        <is>
          <t>Não</t>
        </is>
      </c>
      <c r="L22" s="44" t="inlineStr">
        <is>
          <t>Não</t>
        </is>
      </c>
      <c r="M22" s="90">
        <f>IF(F22="Baixa",'08_Premissas_Custos'!$B$6,IF(F22="Média",'08_Premissas_Custos'!$B$7,IF(F22="Alta",'08_Premissas_Custos'!$B$8,'08_Premissas_Custos'!$B$9)))</f>
        <v/>
      </c>
      <c r="N22" s="91">
        <f>'08_Premissas_Custos'!$B$13*M22</f>
        <v/>
      </c>
      <c r="O22" s="91">
        <f>'08_Premissas_Custos'!$B$14*M22*(1+IF(L22="Sim",0.25,0))</f>
        <v/>
      </c>
      <c r="P22" s="91">
        <f>'08_Premissas_Custos'!$B$15*M22*(1+IF(I22="Sim",0.20,0)+IF(K22="Sim",0.15,0))</f>
        <v/>
      </c>
      <c r="Q22" s="91">
        <f>'08_Premissas_Custos'!$B$16*M22*IF(J22="Sim",1.6,0.55)</f>
        <v/>
      </c>
      <c r="R22" s="91">
        <f>'08_Premissas_Custos'!$B$17*M22*IF(I22="Sim",1.8,0.15)</f>
        <v/>
      </c>
      <c r="S22" s="91">
        <f>'08_Premissas_Custos'!$B$18*M22*(1+IF(I22="Sim",0.15)+IF(L22="Sim",0.10))</f>
        <v/>
      </c>
      <c r="T22" s="91">
        <f>'08_Premissas_Custos'!$B$19*M22*(1+IF(J22="Sim",0.15))</f>
        <v/>
      </c>
      <c r="U22" s="91">
        <f>'08_Premissas_Custos'!$B$20*M22*IF(K22="Sim",1.8,0.7)</f>
        <v/>
      </c>
      <c r="V22" s="92">
        <f>SUM(N22:U22)</f>
        <v/>
      </c>
      <c r="W22" s="92">
        <f>V22*(1-H22)*IF(E22="Fase 2",'08_Premissas_Custos'!$F$10,1)</f>
        <v/>
      </c>
      <c r="X22" s="93">
        <f>(N22*'08_Premissas_Custos'!$C$13+O22*'08_Premissas_Custos'!$C$14+P22*'08_Premissas_Custos'!$C$15+Q22*'08_Premissas_Custos'!$C$16+R22*'08_Premissas_Custos'!$C$17+S22*'08_Premissas_Custos'!$C$18+T22*'08_Premissas_Custos'!$C$19+U22*'08_Premissas_Custos'!$C$20)*(1-H22)*IF(E22="Fase 2",'08_Premissas_Custos'!$F$10,1)</f>
        <v/>
      </c>
      <c r="Y22" s="93">
        <f>X22*'08_Premissas_Custos'!$F$7</f>
        <v/>
      </c>
      <c r="Z22" s="93">
        <f>(X22+Y22)*'08_Premissas_Custos'!$F$6</f>
        <v/>
      </c>
      <c r="AA22" s="93">
        <f>SUM(X22:Z22)</f>
        <v/>
      </c>
      <c r="AB22" s="14" t="inlineStr">
        <is>
          <t>Padrões</t>
        </is>
      </c>
    </row>
    <row r="23">
      <c r="A23" s="14" t="n">
        <v>18</v>
      </c>
      <c r="B23" s="14" t="inlineStr">
        <is>
          <t>ED</t>
        </is>
      </c>
      <c r="C23" s="14" t="inlineStr">
        <is>
          <t>Estratégia &amp; Dados</t>
        </is>
      </c>
      <c r="D23" s="14" t="inlineStr">
        <is>
          <t>Prioridades</t>
        </is>
      </c>
      <c r="E23" s="14" t="inlineStr">
        <is>
          <t>MVP</t>
        </is>
      </c>
      <c r="F23" s="14" t="inlineStr">
        <is>
          <t>Alta</t>
        </is>
      </c>
      <c r="G23" s="14" t="str"/>
      <c r="H23" s="89" t="n">
        <v>0</v>
      </c>
      <c r="I23" s="44" t="inlineStr">
        <is>
          <t>Não</t>
        </is>
      </c>
      <c r="J23" s="44" t="inlineStr">
        <is>
          <t>Sim</t>
        </is>
      </c>
      <c r="K23" s="44" t="inlineStr">
        <is>
          <t>Não</t>
        </is>
      </c>
      <c r="L23" s="44" t="inlineStr">
        <is>
          <t>Não</t>
        </is>
      </c>
      <c r="M23" s="90">
        <f>IF(F23="Baixa",'08_Premissas_Custos'!$B$6,IF(F23="Média",'08_Premissas_Custos'!$B$7,IF(F23="Alta",'08_Premissas_Custos'!$B$8,'08_Premissas_Custos'!$B$9)))</f>
        <v/>
      </c>
      <c r="N23" s="91">
        <f>'08_Premissas_Custos'!$B$13*M23</f>
        <v/>
      </c>
      <c r="O23" s="91">
        <f>'08_Premissas_Custos'!$B$14*M23*(1+IF(L23="Sim",0.25,0))</f>
        <v/>
      </c>
      <c r="P23" s="91">
        <f>'08_Premissas_Custos'!$B$15*M23*(1+IF(I23="Sim",0.20,0)+IF(K23="Sim",0.15,0))</f>
        <v/>
      </c>
      <c r="Q23" s="91">
        <f>'08_Premissas_Custos'!$B$16*M23*IF(J23="Sim",1.6,0.55)</f>
        <v/>
      </c>
      <c r="R23" s="91">
        <f>'08_Premissas_Custos'!$B$17*M23*IF(I23="Sim",1.8,0.15)</f>
        <v/>
      </c>
      <c r="S23" s="91">
        <f>'08_Premissas_Custos'!$B$18*M23*(1+IF(I23="Sim",0.15)+IF(L23="Sim",0.10))</f>
        <v/>
      </c>
      <c r="T23" s="91">
        <f>'08_Premissas_Custos'!$B$19*M23*(1+IF(J23="Sim",0.15))</f>
        <v/>
      </c>
      <c r="U23" s="91">
        <f>'08_Premissas_Custos'!$B$20*M23*IF(K23="Sim",1.8,0.7)</f>
        <v/>
      </c>
      <c r="V23" s="92">
        <f>SUM(N23:U23)</f>
        <v/>
      </c>
      <c r="W23" s="92">
        <f>V23*(1-H23)*IF(E23="Fase 2",'08_Premissas_Custos'!$F$10,1)</f>
        <v/>
      </c>
      <c r="X23" s="93">
        <f>(N23*'08_Premissas_Custos'!$C$13+O23*'08_Premissas_Custos'!$C$14+P23*'08_Premissas_Custos'!$C$15+Q23*'08_Premissas_Custos'!$C$16+R23*'08_Premissas_Custos'!$C$17+S23*'08_Premissas_Custos'!$C$18+T23*'08_Premissas_Custos'!$C$19+U23*'08_Premissas_Custos'!$C$20)*(1-H23)*IF(E23="Fase 2",'08_Premissas_Custos'!$F$10,1)</f>
        <v/>
      </c>
      <c r="Y23" s="93">
        <f>X23*'08_Premissas_Custos'!$F$7</f>
        <v/>
      </c>
      <c r="Z23" s="93">
        <f>(X23+Y23)*'08_Premissas_Custos'!$F$6</f>
        <v/>
      </c>
      <c r="AA23" s="93">
        <f>SUM(X23:Z23)</f>
        <v/>
      </c>
      <c r="AB23" s="14" t="inlineStr">
        <is>
          <t>Riscos/oportunidades</t>
        </is>
      </c>
    </row>
    <row r="24">
      <c r="A24" s="14" t="n">
        <v>19</v>
      </c>
      <c r="B24" s="14" t="inlineStr">
        <is>
          <t>ED</t>
        </is>
      </c>
      <c r="C24" s="14" t="inlineStr">
        <is>
          <t>Estratégia &amp; Dados</t>
        </is>
      </c>
      <c r="D24" s="14" t="inlineStr">
        <is>
          <t>Planos de ação</t>
        </is>
      </c>
      <c r="E24" s="14" t="inlineStr">
        <is>
          <t>MVP</t>
        </is>
      </c>
      <c r="F24" s="14" t="inlineStr">
        <is>
          <t>Média</t>
        </is>
      </c>
      <c r="G24" s="14" t="str"/>
      <c r="H24" s="89" t="n">
        <v>0</v>
      </c>
      <c r="I24" s="44" t="inlineStr">
        <is>
          <t>Não</t>
        </is>
      </c>
      <c r="J24" s="44" t="inlineStr">
        <is>
          <t>Sim</t>
        </is>
      </c>
      <c r="K24" s="44" t="inlineStr">
        <is>
          <t>Não</t>
        </is>
      </c>
      <c r="L24" s="44" t="inlineStr">
        <is>
          <t>Não</t>
        </is>
      </c>
      <c r="M24" s="90">
        <f>IF(F24="Baixa",'08_Premissas_Custos'!$B$6,IF(F24="Média",'08_Premissas_Custos'!$B$7,IF(F24="Alta",'08_Premissas_Custos'!$B$8,'08_Premissas_Custos'!$B$9)))</f>
        <v/>
      </c>
      <c r="N24" s="91">
        <f>'08_Premissas_Custos'!$B$13*M24</f>
        <v/>
      </c>
      <c r="O24" s="91">
        <f>'08_Premissas_Custos'!$B$14*M24*(1+IF(L24="Sim",0.25,0))</f>
        <v/>
      </c>
      <c r="P24" s="91">
        <f>'08_Premissas_Custos'!$B$15*M24*(1+IF(I24="Sim",0.20,0)+IF(K24="Sim",0.15,0))</f>
        <v/>
      </c>
      <c r="Q24" s="91">
        <f>'08_Premissas_Custos'!$B$16*M24*IF(J24="Sim",1.6,0.55)</f>
        <v/>
      </c>
      <c r="R24" s="91">
        <f>'08_Premissas_Custos'!$B$17*M24*IF(I24="Sim",1.8,0.15)</f>
        <v/>
      </c>
      <c r="S24" s="91">
        <f>'08_Premissas_Custos'!$B$18*M24*(1+IF(I24="Sim",0.15)+IF(L24="Sim",0.10))</f>
        <v/>
      </c>
      <c r="T24" s="91">
        <f>'08_Premissas_Custos'!$B$19*M24*(1+IF(J24="Sim",0.15))</f>
        <v/>
      </c>
      <c r="U24" s="91">
        <f>'08_Premissas_Custos'!$B$20*M24*IF(K24="Sim",1.8,0.7)</f>
        <v/>
      </c>
      <c r="V24" s="92">
        <f>SUM(N24:U24)</f>
        <v/>
      </c>
      <c r="W24" s="92">
        <f>V24*(1-H24)*IF(E24="Fase 2",'08_Premissas_Custos'!$F$10,1)</f>
        <v/>
      </c>
      <c r="X24" s="93">
        <f>(N24*'08_Premissas_Custos'!$C$13+O24*'08_Premissas_Custos'!$C$14+P24*'08_Premissas_Custos'!$C$15+Q24*'08_Premissas_Custos'!$C$16+R24*'08_Premissas_Custos'!$C$17+S24*'08_Premissas_Custos'!$C$18+T24*'08_Premissas_Custos'!$C$19+U24*'08_Premissas_Custos'!$C$20)*(1-H24)*IF(E24="Fase 2",'08_Premissas_Custos'!$F$10,1)</f>
        <v/>
      </c>
      <c r="Y24" s="93">
        <f>X24*'08_Premissas_Custos'!$F$7</f>
        <v/>
      </c>
      <c r="Z24" s="93">
        <f>(X24+Y24)*'08_Premissas_Custos'!$F$6</f>
        <v/>
      </c>
      <c r="AA24" s="93">
        <f>SUM(X24:Z24)</f>
        <v/>
      </c>
      <c r="AB24" s="14" t="inlineStr">
        <is>
          <t>Ações</t>
        </is>
      </c>
    </row>
    <row r="25">
      <c r="A25" s="14" t="n">
        <v>20</v>
      </c>
      <c r="B25" s="14" t="inlineStr">
        <is>
          <t>ED</t>
        </is>
      </c>
      <c r="C25" s="14" t="inlineStr">
        <is>
          <t>Estratégia &amp; Dados</t>
        </is>
      </c>
      <c r="D25" s="14" t="inlineStr">
        <is>
          <t>Cenários / simulações</t>
        </is>
      </c>
      <c r="E25" s="14" t="inlineStr">
        <is>
          <t>Fase 2</t>
        </is>
      </c>
      <c r="F25" s="14" t="inlineStr">
        <is>
          <t>Muito alta</t>
        </is>
      </c>
      <c r="G25" s="14" t="str"/>
      <c r="H25" s="89" t="n">
        <v>0</v>
      </c>
      <c r="I25" s="44" t="inlineStr">
        <is>
          <t>Sim</t>
        </is>
      </c>
      <c r="J25" s="44" t="inlineStr">
        <is>
          <t>Sim</t>
        </is>
      </c>
      <c r="K25" s="44" t="inlineStr">
        <is>
          <t>Não</t>
        </is>
      </c>
      <c r="L25" s="44" t="inlineStr">
        <is>
          <t>Não</t>
        </is>
      </c>
      <c r="M25" s="90">
        <f>IF(F25="Baixa",'08_Premissas_Custos'!$B$6,IF(F25="Média",'08_Premissas_Custos'!$B$7,IF(F25="Alta",'08_Premissas_Custos'!$B$8,'08_Premissas_Custos'!$B$9)))</f>
        <v/>
      </c>
      <c r="N25" s="91">
        <f>'08_Premissas_Custos'!$B$13*M25</f>
        <v/>
      </c>
      <c r="O25" s="91">
        <f>'08_Premissas_Custos'!$B$14*M25*(1+IF(L25="Sim",0.25,0))</f>
        <v/>
      </c>
      <c r="P25" s="91">
        <f>'08_Premissas_Custos'!$B$15*M25*(1+IF(I25="Sim",0.20,0)+IF(K25="Sim",0.15,0))</f>
        <v/>
      </c>
      <c r="Q25" s="91">
        <f>'08_Premissas_Custos'!$B$16*M25*IF(J25="Sim",1.6,0.55)</f>
        <v/>
      </c>
      <c r="R25" s="91">
        <f>'08_Premissas_Custos'!$B$17*M25*IF(I25="Sim",1.8,0.15)</f>
        <v/>
      </c>
      <c r="S25" s="91">
        <f>'08_Premissas_Custos'!$B$18*M25*(1+IF(I25="Sim",0.15)+IF(L25="Sim",0.10))</f>
        <v/>
      </c>
      <c r="T25" s="91">
        <f>'08_Premissas_Custos'!$B$19*M25*(1+IF(J25="Sim",0.15))</f>
        <v/>
      </c>
      <c r="U25" s="91">
        <f>'08_Premissas_Custos'!$B$20*M25*IF(K25="Sim",1.8,0.7)</f>
        <v/>
      </c>
      <c r="V25" s="92">
        <f>SUM(N25:U25)</f>
        <v/>
      </c>
      <c r="W25" s="92">
        <f>V25*(1-H25)*IF(E25="Fase 2",'08_Premissas_Custos'!$F$10,1)</f>
        <v/>
      </c>
      <c r="X25" s="93">
        <f>(N25*'08_Premissas_Custos'!$C$13+O25*'08_Premissas_Custos'!$C$14+P25*'08_Premissas_Custos'!$C$15+Q25*'08_Premissas_Custos'!$C$16+R25*'08_Premissas_Custos'!$C$17+S25*'08_Premissas_Custos'!$C$18+T25*'08_Premissas_Custos'!$C$19+U25*'08_Premissas_Custos'!$C$20)*(1-H25)*IF(E25="Fase 2",'08_Premissas_Custos'!$F$10,1)</f>
        <v/>
      </c>
      <c r="Y25" s="93">
        <f>X25*'08_Premissas_Custos'!$F$7</f>
        <v/>
      </c>
      <c r="Z25" s="93">
        <f>(X25+Y25)*'08_Premissas_Custos'!$F$6</f>
        <v/>
      </c>
      <c r="AA25" s="93">
        <f>SUM(X25:Z25)</f>
        <v/>
      </c>
      <c r="AB25" s="14" t="inlineStr">
        <is>
          <t>Projeções</t>
        </is>
      </c>
    </row>
    <row r="26">
      <c r="A26" s="14" t="n">
        <v>21</v>
      </c>
      <c r="B26" s="14" t="inlineStr">
        <is>
          <t>ED</t>
        </is>
      </c>
      <c r="C26" s="14" t="inlineStr">
        <is>
          <t>Estratégia &amp; Dados</t>
        </is>
      </c>
      <c r="D26" s="14" t="inlineStr">
        <is>
          <t>ROI / valor capturado</t>
        </is>
      </c>
      <c r="E26" s="14" t="inlineStr">
        <is>
          <t>MVP</t>
        </is>
      </c>
      <c r="F26" s="14" t="inlineStr">
        <is>
          <t>Alta</t>
        </is>
      </c>
      <c r="G26" s="14" t="str"/>
      <c r="H26" s="89" t="n">
        <v>0</v>
      </c>
      <c r="I26" s="44" t="inlineStr">
        <is>
          <t>Não</t>
        </is>
      </c>
      <c r="J26" s="44" t="inlineStr">
        <is>
          <t>Sim</t>
        </is>
      </c>
      <c r="K26" s="44" t="inlineStr">
        <is>
          <t>Não</t>
        </is>
      </c>
      <c r="L26" s="44" t="inlineStr">
        <is>
          <t>Não</t>
        </is>
      </c>
      <c r="M26" s="90">
        <f>IF(F26="Baixa",'08_Premissas_Custos'!$B$6,IF(F26="Média",'08_Premissas_Custos'!$B$7,IF(F26="Alta",'08_Premissas_Custos'!$B$8,'08_Premissas_Custos'!$B$9)))</f>
        <v/>
      </c>
      <c r="N26" s="91">
        <f>'08_Premissas_Custos'!$B$13*M26</f>
        <v/>
      </c>
      <c r="O26" s="91">
        <f>'08_Premissas_Custos'!$B$14*M26*(1+IF(L26="Sim",0.25,0))</f>
        <v/>
      </c>
      <c r="P26" s="91">
        <f>'08_Premissas_Custos'!$B$15*M26*(1+IF(I26="Sim",0.20,0)+IF(K26="Sim",0.15,0))</f>
        <v/>
      </c>
      <c r="Q26" s="91">
        <f>'08_Premissas_Custos'!$B$16*M26*IF(J26="Sim",1.6,0.55)</f>
        <v/>
      </c>
      <c r="R26" s="91">
        <f>'08_Premissas_Custos'!$B$17*M26*IF(I26="Sim",1.8,0.15)</f>
        <v/>
      </c>
      <c r="S26" s="91">
        <f>'08_Premissas_Custos'!$B$18*M26*(1+IF(I26="Sim",0.15)+IF(L26="Sim",0.10))</f>
        <v/>
      </c>
      <c r="T26" s="91">
        <f>'08_Premissas_Custos'!$B$19*M26*(1+IF(J26="Sim",0.15))</f>
        <v/>
      </c>
      <c r="U26" s="91">
        <f>'08_Premissas_Custos'!$B$20*M26*IF(K26="Sim",1.8,0.7)</f>
        <v/>
      </c>
      <c r="V26" s="92">
        <f>SUM(N26:U26)</f>
        <v/>
      </c>
      <c r="W26" s="92">
        <f>V26*(1-H26)*IF(E26="Fase 2",'08_Premissas_Custos'!$F$10,1)</f>
        <v/>
      </c>
      <c r="X26" s="93">
        <f>(N26*'08_Premissas_Custos'!$C$13+O26*'08_Premissas_Custos'!$C$14+P26*'08_Premissas_Custos'!$C$15+Q26*'08_Premissas_Custos'!$C$16+R26*'08_Premissas_Custos'!$C$17+S26*'08_Premissas_Custos'!$C$18+T26*'08_Premissas_Custos'!$C$19+U26*'08_Premissas_Custos'!$C$20)*(1-H26)*IF(E26="Fase 2",'08_Premissas_Custos'!$F$10,1)</f>
        <v/>
      </c>
      <c r="Y26" s="93">
        <f>X26*'08_Premissas_Custos'!$F$7</f>
        <v/>
      </c>
      <c r="Z26" s="93">
        <f>(X26+Y26)*'08_Premissas_Custos'!$F$6</f>
        <v/>
      </c>
      <c r="AA26" s="93">
        <f>SUM(X26:Z26)</f>
        <v/>
      </c>
      <c r="AB26" s="14" t="inlineStr">
        <is>
          <t>Financeiro</t>
        </is>
      </c>
    </row>
    <row r="27">
      <c r="A27" s="14" t="n">
        <v>22</v>
      </c>
      <c r="B27" s="14" t="inlineStr">
        <is>
          <t>ED</t>
        </is>
      </c>
      <c r="C27" s="14" t="inlineStr">
        <is>
          <t>Estratégia &amp; Dados</t>
        </is>
      </c>
      <c r="D27" s="14" t="inlineStr">
        <is>
          <t>Relatórios executivos</t>
        </is>
      </c>
      <c r="E27" s="14" t="inlineStr">
        <is>
          <t>MVP</t>
        </is>
      </c>
      <c r="F27" s="14" t="inlineStr">
        <is>
          <t>Média</t>
        </is>
      </c>
      <c r="G27" s="14" t="str"/>
      <c r="H27" s="89" t="n">
        <v>0</v>
      </c>
      <c r="I27" s="44" t="inlineStr">
        <is>
          <t>Não</t>
        </is>
      </c>
      <c r="J27" s="44" t="inlineStr">
        <is>
          <t>Sim</t>
        </is>
      </c>
      <c r="K27" s="44" t="inlineStr">
        <is>
          <t>Não</t>
        </is>
      </c>
      <c r="L27" s="44" t="inlineStr">
        <is>
          <t>Não</t>
        </is>
      </c>
      <c r="M27" s="90">
        <f>IF(F27="Baixa",'08_Premissas_Custos'!$B$6,IF(F27="Média",'08_Premissas_Custos'!$B$7,IF(F27="Alta",'08_Premissas_Custos'!$B$8,'08_Premissas_Custos'!$B$9)))</f>
        <v/>
      </c>
      <c r="N27" s="91">
        <f>'08_Premissas_Custos'!$B$13*M27</f>
        <v/>
      </c>
      <c r="O27" s="91">
        <f>'08_Premissas_Custos'!$B$14*M27*(1+IF(L27="Sim",0.25,0))</f>
        <v/>
      </c>
      <c r="P27" s="91">
        <f>'08_Premissas_Custos'!$B$15*M27*(1+IF(I27="Sim",0.20,0)+IF(K27="Sim",0.15,0))</f>
        <v/>
      </c>
      <c r="Q27" s="91">
        <f>'08_Premissas_Custos'!$B$16*M27*IF(J27="Sim",1.6,0.55)</f>
        <v/>
      </c>
      <c r="R27" s="91">
        <f>'08_Premissas_Custos'!$B$17*M27*IF(I27="Sim",1.8,0.15)</f>
        <v/>
      </c>
      <c r="S27" s="91">
        <f>'08_Premissas_Custos'!$B$18*M27*(1+IF(I27="Sim",0.15)+IF(L27="Sim",0.10))</f>
        <v/>
      </c>
      <c r="T27" s="91">
        <f>'08_Premissas_Custos'!$B$19*M27*(1+IF(J27="Sim",0.15))</f>
        <v/>
      </c>
      <c r="U27" s="91">
        <f>'08_Premissas_Custos'!$B$20*M27*IF(K27="Sim",1.8,0.7)</f>
        <v/>
      </c>
      <c r="V27" s="92">
        <f>SUM(N27:U27)</f>
        <v/>
      </c>
      <c r="W27" s="92">
        <f>V27*(1-H27)*IF(E27="Fase 2",'08_Premissas_Custos'!$F$10,1)</f>
        <v/>
      </c>
      <c r="X27" s="93">
        <f>(N27*'08_Premissas_Custos'!$C$13+O27*'08_Premissas_Custos'!$C$14+P27*'08_Premissas_Custos'!$C$15+Q27*'08_Premissas_Custos'!$C$16+R27*'08_Premissas_Custos'!$C$17+S27*'08_Premissas_Custos'!$C$18+T27*'08_Premissas_Custos'!$C$19+U27*'08_Premissas_Custos'!$C$20)*(1-H27)*IF(E27="Fase 2",'08_Premissas_Custos'!$F$10,1)</f>
        <v/>
      </c>
      <c r="Y27" s="93">
        <f>X27*'08_Premissas_Custos'!$F$7</f>
        <v/>
      </c>
      <c r="Z27" s="93">
        <f>(X27+Y27)*'08_Premissas_Custos'!$F$6</f>
        <v/>
      </c>
      <c r="AA27" s="93">
        <f>SUM(X27:Z27)</f>
        <v/>
      </c>
      <c r="AB27" s="14" t="inlineStr">
        <is>
          <t>Exportação</t>
        </is>
      </c>
    </row>
    <row r="28">
      <c r="A28" s="14" t="n">
        <v>23</v>
      </c>
      <c r="B28" s="14" t="inlineStr">
        <is>
          <t>ED</t>
        </is>
      </c>
      <c r="C28" s="14" t="inlineStr">
        <is>
          <t>Estratégia &amp; Dados</t>
        </is>
      </c>
      <c r="D28" s="14" t="inlineStr">
        <is>
          <t>Alertas estratégicos</t>
        </is>
      </c>
      <c r="E28" s="14" t="inlineStr">
        <is>
          <t>MVP</t>
        </is>
      </c>
      <c r="F28" s="14" t="inlineStr">
        <is>
          <t>Alta</t>
        </is>
      </c>
      <c r="G28" s="14" t="str"/>
      <c r="H28" s="89" t="n">
        <v>0</v>
      </c>
      <c r="I28" s="44" t="inlineStr">
        <is>
          <t>Não</t>
        </is>
      </c>
      <c r="J28" s="44" t="inlineStr">
        <is>
          <t>Sim</t>
        </is>
      </c>
      <c r="K28" s="44" t="inlineStr">
        <is>
          <t>Não</t>
        </is>
      </c>
      <c r="L28" s="44" t="inlineStr">
        <is>
          <t>Não</t>
        </is>
      </c>
      <c r="M28" s="90">
        <f>IF(F28="Baixa",'08_Premissas_Custos'!$B$6,IF(F28="Média",'08_Premissas_Custos'!$B$7,IF(F28="Alta",'08_Premissas_Custos'!$B$8,'08_Premissas_Custos'!$B$9)))</f>
        <v/>
      </c>
      <c r="N28" s="91">
        <f>'08_Premissas_Custos'!$B$13*M28</f>
        <v/>
      </c>
      <c r="O28" s="91">
        <f>'08_Premissas_Custos'!$B$14*M28*(1+IF(L28="Sim",0.25,0))</f>
        <v/>
      </c>
      <c r="P28" s="91">
        <f>'08_Premissas_Custos'!$B$15*M28*(1+IF(I28="Sim",0.20,0)+IF(K28="Sim",0.15,0))</f>
        <v/>
      </c>
      <c r="Q28" s="91">
        <f>'08_Premissas_Custos'!$B$16*M28*IF(J28="Sim",1.6,0.55)</f>
        <v/>
      </c>
      <c r="R28" s="91">
        <f>'08_Premissas_Custos'!$B$17*M28*IF(I28="Sim",1.8,0.15)</f>
        <v/>
      </c>
      <c r="S28" s="91">
        <f>'08_Premissas_Custos'!$B$18*M28*(1+IF(I28="Sim",0.15)+IF(L28="Sim",0.10))</f>
        <v/>
      </c>
      <c r="T28" s="91">
        <f>'08_Premissas_Custos'!$B$19*M28*(1+IF(J28="Sim",0.15))</f>
        <v/>
      </c>
      <c r="U28" s="91">
        <f>'08_Premissas_Custos'!$B$20*M28*IF(K28="Sim",1.8,0.7)</f>
        <v/>
      </c>
      <c r="V28" s="92">
        <f>SUM(N28:U28)</f>
        <v/>
      </c>
      <c r="W28" s="92">
        <f>V28*(1-H28)*IF(E28="Fase 2",'08_Premissas_Custos'!$F$10,1)</f>
        <v/>
      </c>
      <c r="X28" s="93">
        <f>(N28*'08_Premissas_Custos'!$C$13+O28*'08_Premissas_Custos'!$C$14+P28*'08_Premissas_Custos'!$C$15+Q28*'08_Premissas_Custos'!$C$16+R28*'08_Premissas_Custos'!$C$17+S28*'08_Premissas_Custos'!$C$18+T28*'08_Premissas_Custos'!$C$19+U28*'08_Premissas_Custos'!$C$20)*(1-H28)*IF(E28="Fase 2",'08_Premissas_Custos'!$F$10,1)</f>
        <v/>
      </c>
      <c r="Y28" s="93">
        <f>X28*'08_Premissas_Custos'!$F$7</f>
        <v/>
      </c>
      <c r="Z28" s="93">
        <f>(X28+Y28)*'08_Premissas_Custos'!$F$6</f>
        <v/>
      </c>
      <c r="AA28" s="93">
        <f>SUM(X28:Z28)</f>
        <v/>
      </c>
      <c r="AB28" s="14" t="inlineStr">
        <is>
          <t>Sinais</t>
        </is>
      </c>
    </row>
    <row r="29">
      <c r="A29" s="14" t="n">
        <v>24</v>
      </c>
      <c r="B29" s="14" t="inlineStr">
        <is>
          <t>COL</t>
        </is>
      </c>
      <c r="C29" s="14" t="inlineStr">
        <is>
          <t>Colaboradores / Meu Time</t>
        </is>
      </c>
      <c r="D29" s="14" t="inlineStr">
        <is>
          <t>Meu time</t>
        </is>
      </c>
      <c r="E29" s="14" t="inlineStr">
        <is>
          <t>MVP</t>
        </is>
      </c>
      <c r="F29" s="14" t="inlineStr">
        <is>
          <t>Alta</t>
        </is>
      </c>
      <c r="G29" s="14" t="str"/>
      <c r="H29" s="89" t="n">
        <v>0</v>
      </c>
      <c r="I29" s="44" t="inlineStr">
        <is>
          <t>Não</t>
        </is>
      </c>
      <c r="J29" s="44" t="inlineStr">
        <is>
          <t>Não</t>
        </is>
      </c>
      <c r="K29" s="44" t="inlineStr">
        <is>
          <t>Não</t>
        </is>
      </c>
      <c r="L29" s="44" t="inlineStr">
        <is>
          <t>Não</t>
        </is>
      </c>
      <c r="M29" s="90">
        <f>IF(F29="Baixa",'08_Premissas_Custos'!$B$6,IF(F29="Média",'08_Premissas_Custos'!$B$7,IF(F29="Alta",'08_Premissas_Custos'!$B$8,'08_Premissas_Custos'!$B$9)))</f>
        <v/>
      </c>
      <c r="N29" s="91">
        <f>'08_Premissas_Custos'!$B$13*M29</f>
        <v/>
      </c>
      <c r="O29" s="91">
        <f>'08_Premissas_Custos'!$B$14*M29*(1+IF(L29="Sim",0.25,0))</f>
        <v/>
      </c>
      <c r="P29" s="91">
        <f>'08_Premissas_Custos'!$B$15*M29*(1+IF(I29="Sim",0.20,0)+IF(K29="Sim",0.15,0))</f>
        <v/>
      </c>
      <c r="Q29" s="91">
        <f>'08_Premissas_Custos'!$B$16*M29*IF(J29="Sim",1.6,0.55)</f>
        <v/>
      </c>
      <c r="R29" s="91">
        <f>'08_Premissas_Custos'!$B$17*M29*IF(I29="Sim",1.8,0.15)</f>
        <v/>
      </c>
      <c r="S29" s="91">
        <f>'08_Premissas_Custos'!$B$18*M29*(1+IF(I29="Sim",0.15)+IF(L29="Sim",0.10))</f>
        <v/>
      </c>
      <c r="T29" s="91">
        <f>'08_Premissas_Custos'!$B$19*M29*(1+IF(J29="Sim",0.15))</f>
        <v/>
      </c>
      <c r="U29" s="91">
        <f>'08_Premissas_Custos'!$B$20*M29*IF(K29="Sim",1.8,0.7)</f>
        <v/>
      </c>
      <c r="V29" s="92">
        <f>SUM(N29:U29)</f>
        <v/>
      </c>
      <c r="W29" s="92">
        <f>V29*(1-H29)*IF(E29="Fase 2",'08_Premissas_Custos'!$F$10,1)</f>
        <v/>
      </c>
      <c r="X29" s="93">
        <f>(N29*'08_Premissas_Custos'!$C$13+O29*'08_Premissas_Custos'!$C$14+P29*'08_Premissas_Custos'!$C$15+Q29*'08_Premissas_Custos'!$C$16+R29*'08_Premissas_Custos'!$C$17+S29*'08_Premissas_Custos'!$C$18+T29*'08_Premissas_Custos'!$C$19+U29*'08_Premissas_Custos'!$C$20)*(1-H29)*IF(E29="Fase 2",'08_Premissas_Custos'!$F$10,1)</f>
        <v/>
      </c>
      <c r="Y29" s="93">
        <f>X29*'08_Premissas_Custos'!$F$7</f>
        <v/>
      </c>
      <c r="Z29" s="93">
        <f>(X29+Y29)*'08_Premissas_Custos'!$F$6</f>
        <v/>
      </c>
      <c r="AA29" s="93">
        <f>SUM(X29:Z29)</f>
        <v/>
      </c>
      <c r="AB29" s="14" t="inlineStr">
        <is>
          <t>Mapa</t>
        </is>
      </c>
    </row>
    <row r="30">
      <c r="A30" s="14" t="n">
        <v>25</v>
      </c>
      <c r="B30" s="14" t="inlineStr">
        <is>
          <t>COL</t>
        </is>
      </c>
      <c r="C30" s="14" t="inlineStr">
        <is>
          <t>Colaboradores / Meu Time</t>
        </is>
      </c>
      <c r="D30" s="14" t="inlineStr">
        <is>
          <t>Perfil do colaborador</t>
        </is>
      </c>
      <c r="E30" s="14" t="inlineStr">
        <is>
          <t>MVP</t>
        </is>
      </c>
      <c r="F30" s="14" t="inlineStr">
        <is>
          <t>Média</t>
        </is>
      </c>
      <c r="G30" s="14" t="inlineStr">
        <is>
          <t>Perfil do colaborador</t>
        </is>
      </c>
      <c r="H30" s="89" t="n">
        <v>0.45</v>
      </c>
      <c r="I30" s="44" t="inlineStr">
        <is>
          <t>Não</t>
        </is>
      </c>
      <c r="J30" s="44" t="inlineStr">
        <is>
          <t>Não</t>
        </is>
      </c>
      <c r="K30" s="44" t="inlineStr">
        <is>
          <t>Não</t>
        </is>
      </c>
      <c r="L30" s="44" t="inlineStr">
        <is>
          <t>Não</t>
        </is>
      </c>
      <c r="M30" s="90">
        <f>IF(F30="Baixa",'08_Premissas_Custos'!$B$6,IF(F30="Média",'08_Premissas_Custos'!$B$7,IF(F30="Alta",'08_Premissas_Custos'!$B$8,'08_Premissas_Custos'!$B$9)))</f>
        <v/>
      </c>
      <c r="N30" s="91">
        <f>'08_Premissas_Custos'!$B$13*M30</f>
        <v/>
      </c>
      <c r="O30" s="91">
        <f>'08_Premissas_Custos'!$B$14*M30*(1+IF(L30="Sim",0.25,0))</f>
        <v/>
      </c>
      <c r="P30" s="91">
        <f>'08_Premissas_Custos'!$B$15*M30*(1+IF(I30="Sim",0.20,0)+IF(K30="Sim",0.15,0))</f>
        <v/>
      </c>
      <c r="Q30" s="91">
        <f>'08_Premissas_Custos'!$B$16*M30*IF(J30="Sim",1.6,0.55)</f>
        <v/>
      </c>
      <c r="R30" s="91">
        <f>'08_Premissas_Custos'!$B$17*M30*IF(I30="Sim",1.8,0.15)</f>
        <v/>
      </c>
      <c r="S30" s="91">
        <f>'08_Premissas_Custos'!$B$18*M30*(1+IF(I30="Sim",0.15)+IF(L30="Sim",0.10))</f>
        <v/>
      </c>
      <c r="T30" s="91">
        <f>'08_Premissas_Custos'!$B$19*M30*(1+IF(J30="Sim",0.15))</f>
        <v/>
      </c>
      <c r="U30" s="91">
        <f>'08_Premissas_Custos'!$B$20*M30*IF(K30="Sim",1.8,0.7)</f>
        <v/>
      </c>
      <c r="V30" s="92">
        <f>SUM(N30:U30)</f>
        <v/>
      </c>
      <c r="W30" s="92">
        <f>V30*(1-H30)*IF(E30="Fase 2",'08_Premissas_Custos'!$F$10,1)</f>
        <v/>
      </c>
      <c r="X30" s="93">
        <f>(N30*'08_Premissas_Custos'!$C$13+O30*'08_Premissas_Custos'!$C$14+P30*'08_Premissas_Custos'!$C$15+Q30*'08_Premissas_Custos'!$C$16+R30*'08_Premissas_Custos'!$C$17+S30*'08_Premissas_Custos'!$C$18+T30*'08_Premissas_Custos'!$C$19+U30*'08_Premissas_Custos'!$C$20)*(1-H30)*IF(E30="Fase 2",'08_Premissas_Custos'!$F$10,1)</f>
        <v/>
      </c>
      <c r="Y30" s="93">
        <f>X30*'08_Premissas_Custos'!$F$7</f>
        <v/>
      </c>
      <c r="Z30" s="93">
        <f>(X30+Y30)*'08_Premissas_Custos'!$F$6</f>
        <v/>
      </c>
      <c r="AA30" s="93">
        <f>SUM(X30:Z30)</f>
        <v/>
      </c>
      <c r="AB30" s="14" t="inlineStr">
        <is>
          <t>360</t>
        </is>
      </c>
    </row>
    <row r="31">
      <c r="A31" s="14" t="n">
        <v>26</v>
      </c>
      <c r="B31" s="14" t="inlineStr">
        <is>
          <t>COL</t>
        </is>
      </c>
      <c r="C31" s="14" t="inlineStr">
        <is>
          <t>Colaboradores / Meu Time</t>
        </is>
      </c>
      <c r="D31" s="14" t="inlineStr">
        <is>
          <t>Objetivos e combinados</t>
        </is>
      </c>
      <c r="E31" s="14" t="inlineStr">
        <is>
          <t>MVP</t>
        </is>
      </c>
      <c r="F31" s="14" t="inlineStr">
        <is>
          <t>Média</t>
        </is>
      </c>
      <c r="G31" s="14" t="str"/>
      <c r="H31" s="89" t="n">
        <v>0</v>
      </c>
      <c r="I31" s="44" t="inlineStr">
        <is>
          <t>Não</t>
        </is>
      </c>
      <c r="J31" s="44" t="inlineStr">
        <is>
          <t>Não</t>
        </is>
      </c>
      <c r="K31" s="44" t="inlineStr">
        <is>
          <t>Não</t>
        </is>
      </c>
      <c r="L31" s="44" t="inlineStr">
        <is>
          <t>Não</t>
        </is>
      </c>
      <c r="M31" s="90">
        <f>IF(F31="Baixa",'08_Premissas_Custos'!$B$6,IF(F31="Média",'08_Premissas_Custos'!$B$7,IF(F31="Alta",'08_Premissas_Custos'!$B$8,'08_Premissas_Custos'!$B$9)))</f>
        <v/>
      </c>
      <c r="N31" s="91">
        <f>'08_Premissas_Custos'!$B$13*M31</f>
        <v/>
      </c>
      <c r="O31" s="91">
        <f>'08_Premissas_Custos'!$B$14*M31*(1+IF(L31="Sim",0.25,0))</f>
        <v/>
      </c>
      <c r="P31" s="91">
        <f>'08_Premissas_Custos'!$B$15*M31*(1+IF(I31="Sim",0.20,0)+IF(K31="Sim",0.15,0))</f>
        <v/>
      </c>
      <c r="Q31" s="91">
        <f>'08_Premissas_Custos'!$B$16*M31*IF(J31="Sim",1.6,0.55)</f>
        <v/>
      </c>
      <c r="R31" s="91">
        <f>'08_Premissas_Custos'!$B$17*M31*IF(I31="Sim",1.8,0.15)</f>
        <v/>
      </c>
      <c r="S31" s="91">
        <f>'08_Premissas_Custos'!$B$18*M31*(1+IF(I31="Sim",0.15)+IF(L31="Sim",0.10))</f>
        <v/>
      </c>
      <c r="T31" s="91">
        <f>'08_Premissas_Custos'!$B$19*M31*(1+IF(J31="Sim",0.15))</f>
        <v/>
      </c>
      <c r="U31" s="91">
        <f>'08_Premissas_Custos'!$B$20*M31*IF(K31="Sim",1.8,0.7)</f>
        <v/>
      </c>
      <c r="V31" s="92">
        <f>SUM(N31:U31)</f>
        <v/>
      </c>
      <c r="W31" s="92">
        <f>V31*(1-H31)*IF(E31="Fase 2",'08_Premissas_Custos'!$F$10,1)</f>
        <v/>
      </c>
      <c r="X31" s="93">
        <f>(N31*'08_Premissas_Custos'!$C$13+O31*'08_Premissas_Custos'!$C$14+P31*'08_Premissas_Custos'!$C$15+Q31*'08_Premissas_Custos'!$C$16+R31*'08_Premissas_Custos'!$C$17+S31*'08_Premissas_Custos'!$C$18+T31*'08_Premissas_Custos'!$C$19+U31*'08_Premissas_Custos'!$C$20)*(1-H31)*IF(E31="Fase 2",'08_Premissas_Custos'!$F$10,1)</f>
        <v/>
      </c>
      <c r="Y31" s="93">
        <f>X31*'08_Premissas_Custos'!$F$7</f>
        <v/>
      </c>
      <c r="Z31" s="93">
        <f>(X31+Y31)*'08_Premissas_Custos'!$F$6</f>
        <v/>
      </c>
      <c r="AA31" s="93">
        <f>SUM(X31:Z31)</f>
        <v/>
      </c>
      <c r="AB31" s="14" t="inlineStr">
        <is>
          <t>Metas</t>
        </is>
      </c>
    </row>
    <row r="32">
      <c r="A32" s="14" t="n">
        <v>27</v>
      </c>
      <c r="B32" s="14" t="inlineStr">
        <is>
          <t>COL</t>
        </is>
      </c>
      <c r="C32" s="14" t="inlineStr">
        <is>
          <t>Colaboradores / Meu Time</t>
        </is>
      </c>
      <c r="D32" s="14" t="inlineStr">
        <is>
          <t>Competências</t>
        </is>
      </c>
      <c r="E32" s="14" t="inlineStr">
        <is>
          <t>MVP</t>
        </is>
      </c>
      <c r="F32" s="14" t="inlineStr">
        <is>
          <t>Média</t>
        </is>
      </c>
      <c r="G32" s="14" t="str"/>
      <c r="H32" s="89" t="n">
        <v>0</v>
      </c>
      <c r="I32" s="44" t="inlineStr">
        <is>
          <t>Não</t>
        </is>
      </c>
      <c r="J32" s="44" t="inlineStr">
        <is>
          <t>Não</t>
        </is>
      </c>
      <c r="K32" s="44" t="inlineStr">
        <is>
          <t>Não</t>
        </is>
      </c>
      <c r="L32" s="44" t="inlineStr">
        <is>
          <t>Não</t>
        </is>
      </c>
      <c r="M32" s="90">
        <f>IF(F32="Baixa",'08_Premissas_Custos'!$B$6,IF(F32="Média",'08_Premissas_Custos'!$B$7,IF(F32="Alta",'08_Premissas_Custos'!$B$8,'08_Premissas_Custos'!$B$9)))</f>
        <v/>
      </c>
      <c r="N32" s="91">
        <f>'08_Premissas_Custos'!$B$13*M32</f>
        <v/>
      </c>
      <c r="O32" s="91">
        <f>'08_Premissas_Custos'!$B$14*M32*(1+IF(L32="Sim",0.25,0))</f>
        <v/>
      </c>
      <c r="P32" s="91">
        <f>'08_Premissas_Custos'!$B$15*M32*(1+IF(I32="Sim",0.20,0)+IF(K32="Sim",0.15,0))</f>
        <v/>
      </c>
      <c r="Q32" s="91">
        <f>'08_Premissas_Custos'!$B$16*M32*IF(J32="Sim",1.6,0.55)</f>
        <v/>
      </c>
      <c r="R32" s="91">
        <f>'08_Premissas_Custos'!$B$17*M32*IF(I32="Sim",1.8,0.15)</f>
        <v/>
      </c>
      <c r="S32" s="91">
        <f>'08_Premissas_Custos'!$B$18*M32*(1+IF(I32="Sim",0.15)+IF(L32="Sim",0.10))</f>
        <v/>
      </c>
      <c r="T32" s="91">
        <f>'08_Premissas_Custos'!$B$19*M32*(1+IF(J32="Sim",0.15))</f>
        <v/>
      </c>
      <c r="U32" s="91">
        <f>'08_Premissas_Custos'!$B$20*M32*IF(K32="Sim",1.8,0.7)</f>
        <v/>
      </c>
      <c r="V32" s="92">
        <f>SUM(N32:U32)</f>
        <v/>
      </c>
      <c r="W32" s="92">
        <f>V32*(1-H32)*IF(E32="Fase 2",'08_Premissas_Custos'!$F$10,1)</f>
        <v/>
      </c>
      <c r="X32" s="93">
        <f>(N32*'08_Premissas_Custos'!$C$13+O32*'08_Premissas_Custos'!$C$14+P32*'08_Premissas_Custos'!$C$15+Q32*'08_Premissas_Custos'!$C$16+R32*'08_Premissas_Custos'!$C$17+S32*'08_Premissas_Custos'!$C$18+T32*'08_Premissas_Custos'!$C$19+U32*'08_Premissas_Custos'!$C$20)*(1-H32)*IF(E32="Fase 2",'08_Premissas_Custos'!$F$10,1)</f>
        <v/>
      </c>
      <c r="Y32" s="93">
        <f>X32*'08_Premissas_Custos'!$F$7</f>
        <v/>
      </c>
      <c r="Z32" s="93">
        <f>(X32+Y32)*'08_Premissas_Custos'!$F$6</f>
        <v/>
      </c>
      <c r="AA32" s="93">
        <f>SUM(X32:Z32)</f>
        <v/>
      </c>
      <c r="AB32" s="14" t="inlineStr">
        <is>
          <t>Skills</t>
        </is>
      </c>
    </row>
    <row r="33">
      <c r="A33" s="14" t="n">
        <v>28</v>
      </c>
      <c r="B33" s="14" t="inlineStr">
        <is>
          <t>COL</t>
        </is>
      </c>
      <c r="C33" s="14" t="inlineStr">
        <is>
          <t>Colaboradores / Meu Time</t>
        </is>
      </c>
      <c r="D33" s="14" t="inlineStr">
        <is>
          <t>Feedbacks / check-ins</t>
        </is>
      </c>
      <c r="E33" s="14" t="inlineStr">
        <is>
          <t>MVP</t>
        </is>
      </c>
      <c r="F33" s="14" t="inlineStr">
        <is>
          <t>Média</t>
        </is>
      </c>
      <c r="G33" s="14" t="str"/>
      <c r="H33" s="89" t="n">
        <v>0</v>
      </c>
      <c r="I33" s="44" t="inlineStr">
        <is>
          <t>Não</t>
        </is>
      </c>
      <c r="J33" s="44" t="inlineStr">
        <is>
          <t>Não</t>
        </is>
      </c>
      <c r="K33" s="44" t="inlineStr">
        <is>
          <t>Não</t>
        </is>
      </c>
      <c r="L33" s="44" t="inlineStr">
        <is>
          <t>Sim</t>
        </is>
      </c>
      <c r="M33" s="90">
        <f>IF(F33="Baixa",'08_Premissas_Custos'!$B$6,IF(F33="Média",'08_Premissas_Custos'!$B$7,IF(F33="Alta",'08_Premissas_Custos'!$B$8,'08_Premissas_Custos'!$B$9)))</f>
        <v/>
      </c>
      <c r="N33" s="91">
        <f>'08_Premissas_Custos'!$B$13*M33</f>
        <v/>
      </c>
      <c r="O33" s="91">
        <f>'08_Premissas_Custos'!$B$14*M33*(1+IF(L33="Sim",0.25,0))</f>
        <v/>
      </c>
      <c r="P33" s="91">
        <f>'08_Premissas_Custos'!$B$15*M33*(1+IF(I33="Sim",0.20,0)+IF(K33="Sim",0.15,0))</f>
        <v/>
      </c>
      <c r="Q33" s="91">
        <f>'08_Premissas_Custos'!$B$16*M33*IF(J33="Sim",1.6,0.55)</f>
        <v/>
      </c>
      <c r="R33" s="91">
        <f>'08_Premissas_Custos'!$B$17*M33*IF(I33="Sim",1.8,0.15)</f>
        <v/>
      </c>
      <c r="S33" s="91">
        <f>'08_Premissas_Custos'!$B$18*M33*(1+IF(I33="Sim",0.15)+IF(L33="Sim",0.10))</f>
        <v/>
      </c>
      <c r="T33" s="91">
        <f>'08_Premissas_Custos'!$B$19*M33*(1+IF(J33="Sim",0.15))</f>
        <v/>
      </c>
      <c r="U33" s="91">
        <f>'08_Premissas_Custos'!$B$20*M33*IF(K33="Sim",1.8,0.7)</f>
        <v/>
      </c>
      <c r="V33" s="92">
        <f>SUM(N33:U33)</f>
        <v/>
      </c>
      <c r="W33" s="92">
        <f>V33*(1-H33)*IF(E33="Fase 2",'08_Premissas_Custos'!$F$10,1)</f>
        <v/>
      </c>
      <c r="X33" s="93">
        <f>(N33*'08_Premissas_Custos'!$C$13+O33*'08_Premissas_Custos'!$C$14+P33*'08_Premissas_Custos'!$C$15+Q33*'08_Premissas_Custos'!$C$16+R33*'08_Premissas_Custos'!$C$17+S33*'08_Premissas_Custos'!$C$18+T33*'08_Premissas_Custos'!$C$19+U33*'08_Premissas_Custos'!$C$20)*(1-H33)*IF(E33="Fase 2",'08_Premissas_Custos'!$F$10,1)</f>
        <v/>
      </c>
      <c r="Y33" s="93">
        <f>X33*'08_Premissas_Custos'!$F$7</f>
        <v/>
      </c>
      <c r="Z33" s="93">
        <f>(X33+Y33)*'08_Premissas_Custos'!$F$6</f>
        <v/>
      </c>
      <c r="AA33" s="93">
        <f>SUM(X33:Z33)</f>
        <v/>
      </c>
      <c r="AB33" s="14" t="inlineStr">
        <is>
          <t>Ciclo</t>
        </is>
      </c>
    </row>
    <row r="34">
      <c r="A34" s="14" t="n">
        <v>29</v>
      </c>
      <c r="B34" s="14" t="inlineStr">
        <is>
          <t>COL</t>
        </is>
      </c>
      <c r="C34" s="14" t="inlineStr">
        <is>
          <t>Colaboradores / Meu Time</t>
        </is>
      </c>
      <c r="D34" s="14" t="inlineStr">
        <is>
          <t>Plano de desenvolvimento</t>
        </is>
      </c>
      <c r="E34" s="14" t="inlineStr">
        <is>
          <t>MVP</t>
        </is>
      </c>
      <c r="F34" s="14" t="inlineStr">
        <is>
          <t>Média</t>
        </is>
      </c>
      <c r="G34" s="14" t="inlineStr">
        <is>
          <t>Plano de desenvolvimento</t>
        </is>
      </c>
      <c r="H34" s="89" t="n">
        <v>0.45</v>
      </c>
      <c r="I34" s="44" t="inlineStr">
        <is>
          <t>Não</t>
        </is>
      </c>
      <c r="J34" s="44" t="inlineStr">
        <is>
          <t>Não</t>
        </is>
      </c>
      <c r="K34" s="44" t="inlineStr">
        <is>
          <t>Não</t>
        </is>
      </c>
      <c r="L34" s="44" t="inlineStr">
        <is>
          <t>Não</t>
        </is>
      </c>
      <c r="M34" s="90">
        <f>IF(F34="Baixa",'08_Premissas_Custos'!$B$6,IF(F34="Média",'08_Premissas_Custos'!$B$7,IF(F34="Alta",'08_Premissas_Custos'!$B$8,'08_Premissas_Custos'!$B$9)))</f>
        <v/>
      </c>
      <c r="N34" s="91">
        <f>'08_Premissas_Custos'!$B$13*M34</f>
        <v/>
      </c>
      <c r="O34" s="91">
        <f>'08_Premissas_Custos'!$B$14*M34*(1+IF(L34="Sim",0.25,0))</f>
        <v/>
      </c>
      <c r="P34" s="91">
        <f>'08_Premissas_Custos'!$B$15*M34*(1+IF(I34="Sim",0.20,0)+IF(K34="Sim",0.15,0))</f>
        <v/>
      </c>
      <c r="Q34" s="91">
        <f>'08_Premissas_Custos'!$B$16*M34*IF(J34="Sim",1.6,0.55)</f>
        <v/>
      </c>
      <c r="R34" s="91">
        <f>'08_Premissas_Custos'!$B$17*M34*IF(I34="Sim",1.8,0.15)</f>
        <v/>
      </c>
      <c r="S34" s="91">
        <f>'08_Premissas_Custos'!$B$18*M34*(1+IF(I34="Sim",0.15)+IF(L34="Sim",0.10))</f>
        <v/>
      </c>
      <c r="T34" s="91">
        <f>'08_Premissas_Custos'!$B$19*M34*(1+IF(J34="Sim",0.15))</f>
        <v/>
      </c>
      <c r="U34" s="91">
        <f>'08_Premissas_Custos'!$B$20*M34*IF(K34="Sim",1.8,0.7)</f>
        <v/>
      </c>
      <c r="V34" s="92">
        <f>SUM(N34:U34)</f>
        <v/>
      </c>
      <c r="W34" s="92">
        <f>V34*(1-H34)*IF(E34="Fase 2",'08_Premissas_Custos'!$F$10,1)</f>
        <v/>
      </c>
      <c r="X34" s="93">
        <f>(N34*'08_Premissas_Custos'!$C$13+O34*'08_Premissas_Custos'!$C$14+P34*'08_Premissas_Custos'!$C$15+Q34*'08_Premissas_Custos'!$C$16+R34*'08_Premissas_Custos'!$C$17+S34*'08_Premissas_Custos'!$C$18+T34*'08_Premissas_Custos'!$C$19+U34*'08_Premissas_Custos'!$C$20)*(1-H34)*IF(E34="Fase 2",'08_Premissas_Custos'!$F$10,1)</f>
        <v/>
      </c>
      <c r="Y34" s="93">
        <f>X34*'08_Premissas_Custos'!$F$7</f>
        <v/>
      </c>
      <c r="Z34" s="93">
        <f>(X34+Y34)*'08_Premissas_Custos'!$F$6</f>
        <v/>
      </c>
      <c r="AA34" s="93">
        <f>SUM(X34:Z34)</f>
        <v/>
      </c>
      <c r="AB34" s="14" t="inlineStr">
        <is>
          <t>PDI</t>
        </is>
      </c>
    </row>
    <row r="35">
      <c r="A35" s="14" t="n">
        <v>30</v>
      </c>
      <c r="B35" s="14" t="inlineStr">
        <is>
          <t>COL</t>
        </is>
      </c>
      <c r="C35" s="14" t="inlineStr">
        <is>
          <t>Colaboradores / Meu Time</t>
        </is>
      </c>
      <c r="D35" s="14" t="inlineStr">
        <is>
          <t>Mentorias</t>
        </is>
      </c>
      <c r="E35" s="14" t="inlineStr">
        <is>
          <t>MVP+1</t>
        </is>
      </c>
      <c r="F35" s="14" t="inlineStr">
        <is>
          <t>Média</t>
        </is>
      </c>
      <c r="G35" s="14" t="str"/>
      <c r="H35" s="89" t="n">
        <v>0</v>
      </c>
      <c r="I35" s="44" t="inlineStr">
        <is>
          <t>Não</t>
        </is>
      </c>
      <c r="J35" s="44" t="inlineStr">
        <is>
          <t>Não</t>
        </is>
      </c>
      <c r="K35" s="44" t="inlineStr">
        <is>
          <t>Não</t>
        </is>
      </c>
      <c r="L35" s="44" t="inlineStr">
        <is>
          <t>Não</t>
        </is>
      </c>
      <c r="M35" s="90">
        <f>IF(F35="Baixa",'08_Premissas_Custos'!$B$6,IF(F35="Média",'08_Premissas_Custos'!$B$7,IF(F35="Alta",'08_Premissas_Custos'!$B$8,'08_Premissas_Custos'!$B$9)))</f>
        <v/>
      </c>
      <c r="N35" s="91">
        <f>'08_Premissas_Custos'!$B$13*M35</f>
        <v/>
      </c>
      <c r="O35" s="91">
        <f>'08_Premissas_Custos'!$B$14*M35*(1+IF(L35="Sim",0.25,0))</f>
        <v/>
      </c>
      <c r="P35" s="91">
        <f>'08_Premissas_Custos'!$B$15*M35*(1+IF(I35="Sim",0.20,0)+IF(K35="Sim",0.15,0))</f>
        <v/>
      </c>
      <c r="Q35" s="91">
        <f>'08_Premissas_Custos'!$B$16*M35*IF(J35="Sim",1.6,0.55)</f>
        <v/>
      </c>
      <c r="R35" s="91">
        <f>'08_Premissas_Custos'!$B$17*M35*IF(I35="Sim",1.8,0.15)</f>
        <v/>
      </c>
      <c r="S35" s="91">
        <f>'08_Premissas_Custos'!$B$18*M35*(1+IF(I35="Sim",0.15)+IF(L35="Sim",0.10))</f>
        <v/>
      </c>
      <c r="T35" s="91">
        <f>'08_Premissas_Custos'!$B$19*M35*(1+IF(J35="Sim",0.15))</f>
        <v/>
      </c>
      <c r="U35" s="91">
        <f>'08_Premissas_Custos'!$B$20*M35*IF(K35="Sim",1.8,0.7)</f>
        <v/>
      </c>
      <c r="V35" s="92">
        <f>SUM(N35:U35)</f>
        <v/>
      </c>
      <c r="W35" s="92">
        <f>V35*(1-H35)*IF(E35="Fase 2",'08_Premissas_Custos'!$F$10,1)</f>
        <v/>
      </c>
      <c r="X35" s="93">
        <f>(N35*'08_Premissas_Custos'!$C$13+O35*'08_Premissas_Custos'!$C$14+P35*'08_Premissas_Custos'!$C$15+Q35*'08_Premissas_Custos'!$C$16+R35*'08_Premissas_Custos'!$C$17+S35*'08_Premissas_Custos'!$C$18+T35*'08_Premissas_Custos'!$C$19+U35*'08_Premissas_Custos'!$C$20)*(1-H35)*IF(E35="Fase 2",'08_Premissas_Custos'!$F$10,1)</f>
        <v/>
      </c>
      <c r="Y35" s="93">
        <f>X35*'08_Premissas_Custos'!$F$7</f>
        <v/>
      </c>
      <c r="Z35" s="93">
        <f>(X35+Y35)*'08_Premissas_Custos'!$F$6</f>
        <v/>
      </c>
      <c r="AA35" s="93">
        <f>SUM(X35:Z35)</f>
        <v/>
      </c>
      <c r="AB35" s="14" t="inlineStr">
        <is>
          <t>Matching</t>
        </is>
      </c>
    </row>
    <row r="36">
      <c r="A36" s="14" t="n">
        <v>31</v>
      </c>
      <c r="B36" s="14" t="inlineStr">
        <is>
          <t>COL</t>
        </is>
      </c>
      <c r="C36" s="14" t="inlineStr">
        <is>
          <t>Colaboradores / Meu Time</t>
        </is>
      </c>
      <c r="D36" s="14" t="inlineStr">
        <is>
          <t>Aprendizagem / trilhas</t>
        </is>
      </c>
      <c r="E36" s="14" t="inlineStr">
        <is>
          <t>MVP+1</t>
        </is>
      </c>
      <c r="F36" s="14" t="inlineStr">
        <is>
          <t>Média</t>
        </is>
      </c>
      <c r="G36" s="14" t="str"/>
      <c r="H36" s="89" t="n">
        <v>0</v>
      </c>
      <c r="I36" s="44" t="inlineStr">
        <is>
          <t>Não</t>
        </is>
      </c>
      <c r="J36" s="44" t="inlineStr">
        <is>
          <t>Não</t>
        </is>
      </c>
      <c r="K36" s="44" t="inlineStr">
        <is>
          <t>Não</t>
        </is>
      </c>
      <c r="L36" s="44" t="inlineStr">
        <is>
          <t>Não</t>
        </is>
      </c>
      <c r="M36" s="90">
        <f>IF(F36="Baixa",'08_Premissas_Custos'!$B$6,IF(F36="Média",'08_Premissas_Custos'!$B$7,IF(F36="Alta",'08_Premissas_Custos'!$B$8,'08_Premissas_Custos'!$B$9)))</f>
        <v/>
      </c>
      <c r="N36" s="91">
        <f>'08_Premissas_Custos'!$B$13*M36</f>
        <v/>
      </c>
      <c r="O36" s="91">
        <f>'08_Premissas_Custos'!$B$14*M36*(1+IF(L36="Sim",0.25,0))</f>
        <v/>
      </c>
      <c r="P36" s="91">
        <f>'08_Premissas_Custos'!$B$15*M36*(1+IF(I36="Sim",0.20,0)+IF(K36="Sim",0.15,0))</f>
        <v/>
      </c>
      <c r="Q36" s="91">
        <f>'08_Premissas_Custos'!$B$16*M36*IF(J36="Sim",1.6,0.55)</f>
        <v/>
      </c>
      <c r="R36" s="91">
        <f>'08_Premissas_Custos'!$B$17*M36*IF(I36="Sim",1.8,0.15)</f>
        <v/>
      </c>
      <c r="S36" s="91">
        <f>'08_Premissas_Custos'!$B$18*M36*(1+IF(I36="Sim",0.15)+IF(L36="Sim",0.10))</f>
        <v/>
      </c>
      <c r="T36" s="91">
        <f>'08_Premissas_Custos'!$B$19*M36*(1+IF(J36="Sim",0.15))</f>
        <v/>
      </c>
      <c r="U36" s="91">
        <f>'08_Premissas_Custos'!$B$20*M36*IF(K36="Sim",1.8,0.7)</f>
        <v/>
      </c>
      <c r="V36" s="92">
        <f>SUM(N36:U36)</f>
        <v/>
      </c>
      <c r="W36" s="92">
        <f>V36*(1-H36)*IF(E36="Fase 2",'08_Premissas_Custos'!$F$10,1)</f>
        <v/>
      </c>
      <c r="X36" s="93">
        <f>(N36*'08_Premissas_Custos'!$C$13+O36*'08_Premissas_Custos'!$C$14+P36*'08_Premissas_Custos'!$C$15+Q36*'08_Premissas_Custos'!$C$16+R36*'08_Premissas_Custos'!$C$17+S36*'08_Premissas_Custos'!$C$18+T36*'08_Premissas_Custos'!$C$19+U36*'08_Premissas_Custos'!$C$20)*(1-H36)*IF(E36="Fase 2",'08_Premissas_Custos'!$F$10,1)</f>
        <v/>
      </c>
      <c r="Y36" s="93">
        <f>X36*'08_Premissas_Custos'!$F$7</f>
        <v/>
      </c>
      <c r="Z36" s="93">
        <f>(X36+Y36)*'08_Premissas_Custos'!$F$6</f>
        <v/>
      </c>
      <c r="AA36" s="93">
        <f>SUM(X36:Z36)</f>
        <v/>
      </c>
      <c r="AB36" s="14" t="inlineStr">
        <is>
          <t>Conteúdo</t>
        </is>
      </c>
    </row>
    <row r="37">
      <c r="A37" s="14" t="n">
        <v>32</v>
      </c>
      <c r="B37" s="14" t="inlineStr">
        <is>
          <t>COL</t>
        </is>
      </c>
      <c r="C37" s="14" t="inlineStr">
        <is>
          <t>Colaboradores / Meu Time</t>
        </is>
      </c>
      <c r="D37" s="14" t="inlineStr">
        <is>
          <t>Talentos internos / mobilidade</t>
        </is>
      </c>
      <c r="E37" s="14" t="inlineStr">
        <is>
          <t>MVP+1</t>
        </is>
      </c>
      <c r="F37" s="14" t="inlineStr">
        <is>
          <t>Alta</t>
        </is>
      </c>
      <c r="G37" s="14" t="str"/>
      <c r="H37" s="89" t="n">
        <v>0</v>
      </c>
      <c r="I37" s="44" t="inlineStr">
        <is>
          <t>Não</t>
        </is>
      </c>
      <c r="J37" s="44" t="inlineStr">
        <is>
          <t>Não</t>
        </is>
      </c>
      <c r="K37" s="44" t="inlineStr">
        <is>
          <t>Não</t>
        </is>
      </c>
      <c r="L37" s="44" t="inlineStr">
        <is>
          <t>Não</t>
        </is>
      </c>
      <c r="M37" s="90">
        <f>IF(F37="Baixa",'08_Premissas_Custos'!$B$6,IF(F37="Média",'08_Premissas_Custos'!$B$7,IF(F37="Alta",'08_Premissas_Custos'!$B$8,'08_Premissas_Custos'!$B$9)))</f>
        <v/>
      </c>
      <c r="N37" s="91">
        <f>'08_Premissas_Custos'!$B$13*M37</f>
        <v/>
      </c>
      <c r="O37" s="91">
        <f>'08_Premissas_Custos'!$B$14*M37*(1+IF(L37="Sim",0.25,0))</f>
        <v/>
      </c>
      <c r="P37" s="91">
        <f>'08_Premissas_Custos'!$B$15*M37*(1+IF(I37="Sim",0.20,0)+IF(K37="Sim",0.15,0))</f>
        <v/>
      </c>
      <c r="Q37" s="91">
        <f>'08_Premissas_Custos'!$B$16*M37*IF(J37="Sim",1.6,0.55)</f>
        <v/>
      </c>
      <c r="R37" s="91">
        <f>'08_Premissas_Custos'!$B$17*M37*IF(I37="Sim",1.8,0.15)</f>
        <v/>
      </c>
      <c r="S37" s="91">
        <f>'08_Premissas_Custos'!$B$18*M37*(1+IF(I37="Sim",0.15)+IF(L37="Sim",0.10))</f>
        <v/>
      </c>
      <c r="T37" s="91">
        <f>'08_Premissas_Custos'!$B$19*M37*(1+IF(J37="Sim",0.15))</f>
        <v/>
      </c>
      <c r="U37" s="91">
        <f>'08_Premissas_Custos'!$B$20*M37*IF(K37="Sim",1.8,0.7)</f>
        <v/>
      </c>
      <c r="V37" s="92">
        <f>SUM(N37:U37)</f>
        <v/>
      </c>
      <c r="W37" s="92">
        <f>V37*(1-H37)*IF(E37="Fase 2",'08_Premissas_Custos'!$F$10,1)</f>
        <v/>
      </c>
      <c r="X37" s="93">
        <f>(N37*'08_Premissas_Custos'!$C$13+O37*'08_Premissas_Custos'!$C$14+P37*'08_Premissas_Custos'!$C$15+Q37*'08_Premissas_Custos'!$C$16+R37*'08_Premissas_Custos'!$C$17+S37*'08_Premissas_Custos'!$C$18+T37*'08_Premissas_Custos'!$C$19+U37*'08_Premissas_Custos'!$C$20)*(1-H37)*IF(E37="Fase 2",'08_Premissas_Custos'!$F$10,1)</f>
        <v/>
      </c>
      <c r="Y37" s="93">
        <f>X37*'08_Premissas_Custos'!$F$7</f>
        <v/>
      </c>
      <c r="Z37" s="93">
        <f>(X37+Y37)*'08_Premissas_Custos'!$F$6</f>
        <v/>
      </c>
      <c r="AA37" s="93">
        <f>SUM(X37:Z37)</f>
        <v/>
      </c>
      <c r="AB37" s="14" t="inlineStr">
        <is>
          <t>Oportunidades</t>
        </is>
      </c>
    </row>
    <row r="38">
      <c r="A38" s="14" t="n">
        <v>33</v>
      </c>
      <c r="B38" s="14" t="inlineStr">
        <is>
          <t>COL</t>
        </is>
      </c>
      <c r="C38" s="14" t="inlineStr">
        <is>
          <t>Colaboradores / Meu Time</t>
        </is>
      </c>
      <c r="D38" s="14" t="inlineStr">
        <is>
          <t>Sucessão</t>
        </is>
      </c>
      <c r="E38" s="14" t="inlineStr">
        <is>
          <t>MVP+1</t>
        </is>
      </c>
      <c r="F38" s="14" t="inlineStr">
        <is>
          <t>Alta</t>
        </is>
      </c>
      <c r="G38" s="14" t="str"/>
      <c r="H38" s="89" t="n">
        <v>0</v>
      </c>
      <c r="I38" s="44" t="inlineStr">
        <is>
          <t>Não</t>
        </is>
      </c>
      <c r="J38" s="44" t="inlineStr">
        <is>
          <t>Não</t>
        </is>
      </c>
      <c r="K38" s="44" t="inlineStr">
        <is>
          <t>Não</t>
        </is>
      </c>
      <c r="L38" s="44" t="inlineStr">
        <is>
          <t>Não</t>
        </is>
      </c>
      <c r="M38" s="90">
        <f>IF(F38="Baixa",'08_Premissas_Custos'!$B$6,IF(F38="Média",'08_Premissas_Custos'!$B$7,IF(F38="Alta",'08_Premissas_Custos'!$B$8,'08_Premissas_Custos'!$B$9)))</f>
        <v/>
      </c>
      <c r="N38" s="91">
        <f>'08_Premissas_Custos'!$B$13*M38</f>
        <v/>
      </c>
      <c r="O38" s="91">
        <f>'08_Premissas_Custos'!$B$14*M38*(1+IF(L38="Sim",0.25,0))</f>
        <v/>
      </c>
      <c r="P38" s="91">
        <f>'08_Premissas_Custos'!$B$15*M38*(1+IF(I38="Sim",0.20,0)+IF(K38="Sim",0.15,0))</f>
        <v/>
      </c>
      <c r="Q38" s="91">
        <f>'08_Premissas_Custos'!$B$16*M38*IF(J38="Sim",1.6,0.55)</f>
        <v/>
      </c>
      <c r="R38" s="91">
        <f>'08_Premissas_Custos'!$B$17*M38*IF(I38="Sim",1.8,0.15)</f>
        <v/>
      </c>
      <c r="S38" s="91">
        <f>'08_Premissas_Custos'!$B$18*M38*(1+IF(I38="Sim",0.15)+IF(L38="Sim",0.10))</f>
        <v/>
      </c>
      <c r="T38" s="91">
        <f>'08_Premissas_Custos'!$B$19*M38*(1+IF(J38="Sim",0.15))</f>
        <v/>
      </c>
      <c r="U38" s="91">
        <f>'08_Premissas_Custos'!$B$20*M38*IF(K38="Sim",1.8,0.7)</f>
        <v/>
      </c>
      <c r="V38" s="92">
        <f>SUM(N38:U38)</f>
        <v/>
      </c>
      <c r="W38" s="92">
        <f>V38*(1-H38)*IF(E38="Fase 2",'08_Premissas_Custos'!$F$10,1)</f>
        <v/>
      </c>
      <c r="X38" s="93">
        <f>(N38*'08_Premissas_Custos'!$C$13+O38*'08_Premissas_Custos'!$C$14+P38*'08_Premissas_Custos'!$C$15+Q38*'08_Premissas_Custos'!$C$16+R38*'08_Premissas_Custos'!$C$17+S38*'08_Premissas_Custos'!$C$18+T38*'08_Premissas_Custos'!$C$19+U38*'08_Premissas_Custos'!$C$20)*(1-H38)*IF(E38="Fase 2",'08_Premissas_Custos'!$F$10,1)</f>
        <v/>
      </c>
      <c r="Y38" s="93">
        <f>X38*'08_Premissas_Custos'!$F$7</f>
        <v/>
      </c>
      <c r="Z38" s="93">
        <f>(X38+Y38)*'08_Premissas_Custos'!$F$6</f>
        <v/>
      </c>
      <c r="AA38" s="93">
        <f>SUM(X38:Z38)</f>
        <v/>
      </c>
      <c r="AB38" s="14" t="inlineStr">
        <is>
          <t>Prontidão</t>
        </is>
      </c>
    </row>
    <row r="39">
      <c r="A39" s="14" t="n">
        <v>34</v>
      </c>
      <c r="B39" s="14" t="inlineStr">
        <is>
          <t>COL</t>
        </is>
      </c>
      <c r="C39" s="14" t="inlineStr">
        <is>
          <t>Colaboradores / Meu Time</t>
        </is>
      </c>
      <c r="D39" s="14" t="inlineStr">
        <is>
          <t>Saúde do time / alertas</t>
        </is>
      </c>
      <c r="E39" s="14" t="inlineStr">
        <is>
          <t>MVP</t>
        </is>
      </c>
      <c r="F39" s="14" t="inlineStr">
        <is>
          <t>Alta</t>
        </is>
      </c>
      <c r="G39" s="14" t="str"/>
      <c r="H39" s="89" t="n">
        <v>0</v>
      </c>
      <c r="I39" s="44" t="inlineStr">
        <is>
          <t>Não</t>
        </is>
      </c>
      <c r="J39" s="44" t="inlineStr">
        <is>
          <t>Sim</t>
        </is>
      </c>
      <c r="K39" s="44" t="inlineStr">
        <is>
          <t>Não</t>
        </is>
      </c>
      <c r="L39" s="44" t="inlineStr">
        <is>
          <t>Não</t>
        </is>
      </c>
      <c r="M39" s="90">
        <f>IF(F39="Baixa",'08_Premissas_Custos'!$B$6,IF(F39="Média",'08_Premissas_Custos'!$B$7,IF(F39="Alta",'08_Premissas_Custos'!$B$8,'08_Premissas_Custos'!$B$9)))</f>
        <v/>
      </c>
      <c r="N39" s="91">
        <f>'08_Premissas_Custos'!$B$13*M39</f>
        <v/>
      </c>
      <c r="O39" s="91">
        <f>'08_Premissas_Custos'!$B$14*M39*(1+IF(L39="Sim",0.25,0))</f>
        <v/>
      </c>
      <c r="P39" s="91">
        <f>'08_Premissas_Custos'!$B$15*M39*(1+IF(I39="Sim",0.20,0)+IF(K39="Sim",0.15,0))</f>
        <v/>
      </c>
      <c r="Q39" s="91">
        <f>'08_Premissas_Custos'!$B$16*M39*IF(J39="Sim",1.6,0.55)</f>
        <v/>
      </c>
      <c r="R39" s="91">
        <f>'08_Premissas_Custos'!$B$17*M39*IF(I39="Sim",1.8,0.15)</f>
        <v/>
      </c>
      <c r="S39" s="91">
        <f>'08_Premissas_Custos'!$B$18*M39*(1+IF(I39="Sim",0.15)+IF(L39="Sim",0.10))</f>
        <v/>
      </c>
      <c r="T39" s="91">
        <f>'08_Premissas_Custos'!$B$19*M39*(1+IF(J39="Sim",0.15))</f>
        <v/>
      </c>
      <c r="U39" s="91">
        <f>'08_Premissas_Custos'!$B$20*M39*IF(K39="Sim",1.8,0.7)</f>
        <v/>
      </c>
      <c r="V39" s="92">
        <f>SUM(N39:U39)</f>
        <v/>
      </c>
      <c r="W39" s="92">
        <f>V39*(1-H39)*IF(E39="Fase 2",'08_Premissas_Custos'!$F$10,1)</f>
        <v/>
      </c>
      <c r="X39" s="93">
        <f>(N39*'08_Premissas_Custos'!$C$13+O39*'08_Premissas_Custos'!$C$14+P39*'08_Premissas_Custos'!$C$15+Q39*'08_Premissas_Custos'!$C$16+R39*'08_Premissas_Custos'!$C$17+S39*'08_Premissas_Custos'!$C$18+T39*'08_Premissas_Custos'!$C$19+U39*'08_Premissas_Custos'!$C$20)*(1-H39)*IF(E39="Fase 2",'08_Premissas_Custos'!$F$10,1)</f>
        <v/>
      </c>
      <c r="Y39" s="93">
        <f>X39*'08_Premissas_Custos'!$F$7</f>
        <v/>
      </c>
      <c r="Z39" s="93">
        <f>(X39+Y39)*'08_Premissas_Custos'!$F$6</f>
        <v/>
      </c>
      <c r="AA39" s="93">
        <f>SUM(X39:Z39)</f>
        <v/>
      </c>
      <c r="AB39" s="14" t="inlineStr">
        <is>
          <t>Risco</t>
        </is>
      </c>
    </row>
    <row r="40">
      <c r="A40" s="14" t="n">
        <v>35</v>
      </c>
      <c r="B40" s="14" t="inlineStr">
        <is>
          <t>CAN</t>
        </is>
      </c>
      <c r="C40" s="14" t="inlineStr">
        <is>
          <t>Candidatos &amp; Carreira</t>
        </is>
      </c>
      <c r="D40" s="14" t="inlineStr">
        <is>
          <t>Perfil do candidato</t>
        </is>
      </c>
      <c r="E40" s="14" t="inlineStr">
        <is>
          <t>MVP+1</t>
        </is>
      </c>
      <c r="F40" s="14" t="inlineStr">
        <is>
          <t>Média</t>
        </is>
      </c>
      <c r="G40" s="14" t="inlineStr">
        <is>
          <t>Perfil do candidato</t>
        </is>
      </c>
      <c r="H40" s="89" t="n">
        <v>0.45</v>
      </c>
      <c r="I40" s="44" t="inlineStr">
        <is>
          <t>Não</t>
        </is>
      </c>
      <c r="J40" s="44" t="inlineStr">
        <is>
          <t>Não</t>
        </is>
      </c>
      <c r="K40" s="44" t="inlineStr">
        <is>
          <t>Não</t>
        </is>
      </c>
      <c r="L40" s="44" t="inlineStr">
        <is>
          <t>Sim</t>
        </is>
      </c>
      <c r="M40" s="90">
        <f>IF(F40="Baixa",'08_Premissas_Custos'!$B$6,IF(F40="Média",'08_Premissas_Custos'!$B$7,IF(F40="Alta",'08_Premissas_Custos'!$B$8,'08_Premissas_Custos'!$B$9)))</f>
        <v/>
      </c>
      <c r="N40" s="91">
        <f>'08_Premissas_Custos'!$B$13*M40</f>
        <v/>
      </c>
      <c r="O40" s="91">
        <f>'08_Premissas_Custos'!$B$14*M40*(1+IF(L40="Sim",0.25,0))</f>
        <v/>
      </c>
      <c r="P40" s="91">
        <f>'08_Premissas_Custos'!$B$15*M40*(1+IF(I40="Sim",0.20,0)+IF(K40="Sim",0.15,0))</f>
        <v/>
      </c>
      <c r="Q40" s="91">
        <f>'08_Premissas_Custos'!$B$16*M40*IF(J40="Sim",1.6,0.55)</f>
        <v/>
      </c>
      <c r="R40" s="91">
        <f>'08_Premissas_Custos'!$B$17*M40*IF(I40="Sim",1.8,0.15)</f>
        <v/>
      </c>
      <c r="S40" s="91">
        <f>'08_Premissas_Custos'!$B$18*M40*(1+IF(I40="Sim",0.15)+IF(L40="Sim",0.10))</f>
        <v/>
      </c>
      <c r="T40" s="91">
        <f>'08_Premissas_Custos'!$B$19*M40*(1+IF(J40="Sim",0.15))</f>
        <v/>
      </c>
      <c r="U40" s="91">
        <f>'08_Premissas_Custos'!$B$20*M40*IF(K40="Sim",1.8,0.7)</f>
        <v/>
      </c>
      <c r="V40" s="92">
        <f>SUM(N40:U40)</f>
        <v/>
      </c>
      <c r="W40" s="92">
        <f>V40*(1-H40)*IF(E40="Fase 2",'08_Premissas_Custos'!$F$10,1)</f>
        <v/>
      </c>
      <c r="X40" s="93">
        <f>(N40*'08_Premissas_Custos'!$C$13+O40*'08_Premissas_Custos'!$C$14+P40*'08_Premissas_Custos'!$C$15+Q40*'08_Premissas_Custos'!$C$16+R40*'08_Premissas_Custos'!$C$17+S40*'08_Premissas_Custos'!$C$18+T40*'08_Premissas_Custos'!$C$19+U40*'08_Premissas_Custos'!$C$20)*(1-H40)*IF(E40="Fase 2",'08_Premissas_Custos'!$F$10,1)</f>
        <v/>
      </c>
      <c r="Y40" s="93">
        <f>X40*'08_Premissas_Custos'!$F$7</f>
        <v/>
      </c>
      <c r="Z40" s="93">
        <f>(X40+Y40)*'08_Premissas_Custos'!$F$6</f>
        <v/>
      </c>
      <c r="AA40" s="93">
        <f>SUM(X40:Z40)</f>
        <v/>
      </c>
      <c r="AB40" s="14" t="inlineStr">
        <is>
          <t>Perfil</t>
        </is>
      </c>
    </row>
    <row r="41">
      <c r="A41" s="14" t="n">
        <v>36</v>
      </c>
      <c r="B41" s="14" t="inlineStr">
        <is>
          <t>CAN</t>
        </is>
      </c>
      <c r="C41" s="14" t="inlineStr">
        <is>
          <t>Candidatos &amp; Carreira</t>
        </is>
      </c>
      <c r="D41" s="14" t="inlineStr">
        <is>
          <t>Currículo / portfólio</t>
        </is>
      </c>
      <c r="E41" s="14" t="inlineStr">
        <is>
          <t>MVP+1</t>
        </is>
      </c>
      <c r="F41" s="14" t="inlineStr">
        <is>
          <t>Média</t>
        </is>
      </c>
      <c r="G41" s="14" t="str"/>
      <c r="H41" s="89" t="n">
        <v>0</v>
      </c>
      <c r="I41" s="44" t="inlineStr">
        <is>
          <t>Não</t>
        </is>
      </c>
      <c r="J41" s="44" t="inlineStr">
        <is>
          <t>Não</t>
        </is>
      </c>
      <c r="K41" s="44" t="inlineStr">
        <is>
          <t>Não</t>
        </is>
      </c>
      <c r="L41" s="44" t="inlineStr">
        <is>
          <t>Sim</t>
        </is>
      </c>
      <c r="M41" s="90">
        <f>IF(F41="Baixa",'08_Premissas_Custos'!$B$6,IF(F41="Média",'08_Premissas_Custos'!$B$7,IF(F41="Alta",'08_Premissas_Custos'!$B$8,'08_Premissas_Custos'!$B$9)))</f>
        <v/>
      </c>
      <c r="N41" s="91">
        <f>'08_Premissas_Custos'!$B$13*M41</f>
        <v/>
      </c>
      <c r="O41" s="91">
        <f>'08_Premissas_Custos'!$B$14*M41*(1+IF(L41="Sim",0.25,0))</f>
        <v/>
      </c>
      <c r="P41" s="91">
        <f>'08_Premissas_Custos'!$B$15*M41*(1+IF(I41="Sim",0.20,0)+IF(K41="Sim",0.15,0))</f>
        <v/>
      </c>
      <c r="Q41" s="91">
        <f>'08_Premissas_Custos'!$B$16*M41*IF(J41="Sim",1.6,0.55)</f>
        <v/>
      </c>
      <c r="R41" s="91">
        <f>'08_Premissas_Custos'!$B$17*M41*IF(I41="Sim",1.8,0.15)</f>
        <v/>
      </c>
      <c r="S41" s="91">
        <f>'08_Premissas_Custos'!$B$18*M41*(1+IF(I41="Sim",0.15)+IF(L41="Sim",0.10))</f>
        <v/>
      </c>
      <c r="T41" s="91">
        <f>'08_Premissas_Custos'!$B$19*M41*(1+IF(J41="Sim",0.15))</f>
        <v/>
      </c>
      <c r="U41" s="91">
        <f>'08_Premissas_Custos'!$B$20*M41*IF(K41="Sim",1.8,0.7)</f>
        <v/>
      </c>
      <c r="V41" s="92">
        <f>SUM(N41:U41)</f>
        <v/>
      </c>
      <c r="W41" s="92">
        <f>V41*(1-H41)*IF(E41="Fase 2",'08_Premissas_Custos'!$F$10,1)</f>
        <v/>
      </c>
      <c r="X41" s="93">
        <f>(N41*'08_Premissas_Custos'!$C$13+O41*'08_Premissas_Custos'!$C$14+P41*'08_Premissas_Custos'!$C$15+Q41*'08_Premissas_Custos'!$C$16+R41*'08_Premissas_Custos'!$C$17+S41*'08_Premissas_Custos'!$C$18+T41*'08_Premissas_Custos'!$C$19+U41*'08_Premissas_Custos'!$C$20)*(1-H41)*IF(E41="Fase 2",'08_Premissas_Custos'!$F$10,1)</f>
        <v/>
      </c>
      <c r="Y41" s="93">
        <f>X41*'08_Premissas_Custos'!$F$7</f>
        <v/>
      </c>
      <c r="Z41" s="93">
        <f>(X41+Y41)*'08_Premissas_Custos'!$F$6</f>
        <v/>
      </c>
      <c r="AA41" s="93">
        <f>SUM(X41:Z41)</f>
        <v/>
      </c>
      <c r="AB41" s="14" t="inlineStr">
        <is>
          <t>Evidências</t>
        </is>
      </c>
    </row>
    <row r="42">
      <c r="A42" s="14" t="n">
        <v>37</v>
      </c>
      <c r="B42" s="14" t="inlineStr">
        <is>
          <t>CAN</t>
        </is>
      </c>
      <c r="C42" s="14" t="inlineStr">
        <is>
          <t>Candidatos &amp; Carreira</t>
        </is>
      </c>
      <c r="D42" s="14" t="inlineStr">
        <is>
          <t>Competências e interesses</t>
        </is>
      </c>
      <c r="E42" s="14" t="inlineStr">
        <is>
          <t>MVP+1</t>
        </is>
      </c>
      <c r="F42" s="14" t="inlineStr">
        <is>
          <t>Média</t>
        </is>
      </c>
      <c r="G42" s="14" t="str"/>
      <c r="H42" s="89" t="n">
        <v>0</v>
      </c>
      <c r="I42" s="44" t="inlineStr">
        <is>
          <t>Não</t>
        </is>
      </c>
      <c r="J42" s="44" t="inlineStr">
        <is>
          <t>Não</t>
        </is>
      </c>
      <c r="K42" s="44" t="inlineStr">
        <is>
          <t>Não</t>
        </is>
      </c>
      <c r="L42" s="44" t="inlineStr">
        <is>
          <t>Sim</t>
        </is>
      </c>
      <c r="M42" s="90">
        <f>IF(F42="Baixa",'08_Premissas_Custos'!$B$6,IF(F42="Média",'08_Premissas_Custos'!$B$7,IF(F42="Alta",'08_Premissas_Custos'!$B$8,'08_Premissas_Custos'!$B$9)))</f>
        <v/>
      </c>
      <c r="N42" s="91">
        <f>'08_Premissas_Custos'!$B$13*M42</f>
        <v/>
      </c>
      <c r="O42" s="91">
        <f>'08_Premissas_Custos'!$B$14*M42*(1+IF(L42="Sim",0.25,0))</f>
        <v/>
      </c>
      <c r="P42" s="91">
        <f>'08_Premissas_Custos'!$B$15*M42*(1+IF(I42="Sim",0.20,0)+IF(K42="Sim",0.15,0))</f>
        <v/>
      </c>
      <c r="Q42" s="91">
        <f>'08_Premissas_Custos'!$B$16*M42*IF(J42="Sim",1.6,0.55)</f>
        <v/>
      </c>
      <c r="R42" s="91">
        <f>'08_Premissas_Custos'!$B$17*M42*IF(I42="Sim",1.8,0.15)</f>
        <v/>
      </c>
      <c r="S42" s="91">
        <f>'08_Premissas_Custos'!$B$18*M42*(1+IF(I42="Sim",0.15)+IF(L42="Sim",0.10))</f>
        <v/>
      </c>
      <c r="T42" s="91">
        <f>'08_Premissas_Custos'!$B$19*M42*(1+IF(J42="Sim",0.15))</f>
        <v/>
      </c>
      <c r="U42" s="91">
        <f>'08_Premissas_Custos'!$B$20*M42*IF(K42="Sim",1.8,0.7)</f>
        <v/>
      </c>
      <c r="V42" s="92">
        <f>SUM(N42:U42)</f>
        <v/>
      </c>
      <c r="W42" s="92">
        <f>V42*(1-H42)*IF(E42="Fase 2",'08_Premissas_Custos'!$F$10,1)</f>
        <v/>
      </c>
      <c r="X42" s="93">
        <f>(N42*'08_Premissas_Custos'!$C$13+O42*'08_Premissas_Custos'!$C$14+P42*'08_Premissas_Custos'!$C$15+Q42*'08_Premissas_Custos'!$C$16+R42*'08_Premissas_Custos'!$C$17+S42*'08_Premissas_Custos'!$C$18+T42*'08_Premissas_Custos'!$C$19+U42*'08_Premissas_Custos'!$C$20)*(1-H42)*IF(E42="Fase 2",'08_Premissas_Custos'!$F$10,1)</f>
        <v/>
      </c>
      <c r="Y42" s="93">
        <f>X42*'08_Premissas_Custos'!$F$7</f>
        <v/>
      </c>
      <c r="Z42" s="93">
        <f>(X42+Y42)*'08_Premissas_Custos'!$F$6</f>
        <v/>
      </c>
      <c r="AA42" s="93">
        <f>SUM(X42:Z42)</f>
        <v/>
      </c>
      <c r="AB42" s="14" t="inlineStr">
        <is>
          <t>Skills</t>
        </is>
      </c>
    </row>
    <row r="43">
      <c r="A43" s="14" t="n">
        <v>38</v>
      </c>
      <c r="B43" s="14" t="inlineStr">
        <is>
          <t>CAN</t>
        </is>
      </c>
      <c r="C43" s="14" t="inlineStr">
        <is>
          <t>Candidatos &amp; Carreira</t>
        </is>
      </c>
      <c r="D43" s="14" t="inlineStr">
        <is>
          <t>Oportunidades recomendadas</t>
        </is>
      </c>
      <c r="E43" s="14" t="inlineStr">
        <is>
          <t>MVP+1</t>
        </is>
      </c>
      <c r="F43" s="14" t="inlineStr">
        <is>
          <t>Alta</t>
        </is>
      </c>
      <c r="G43" s="14" t="str"/>
      <c r="H43" s="89" t="n">
        <v>0</v>
      </c>
      <c r="I43" s="44" t="inlineStr">
        <is>
          <t>Sim</t>
        </is>
      </c>
      <c r="J43" s="44" t="inlineStr">
        <is>
          <t>Não</t>
        </is>
      </c>
      <c r="K43" s="44" t="inlineStr">
        <is>
          <t>Não</t>
        </is>
      </c>
      <c r="L43" s="44" t="inlineStr">
        <is>
          <t>Sim</t>
        </is>
      </c>
      <c r="M43" s="90">
        <f>IF(F43="Baixa",'08_Premissas_Custos'!$B$6,IF(F43="Média",'08_Premissas_Custos'!$B$7,IF(F43="Alta",'08_Premissas_Custos'!$B$8,'08_Premissas_Custos'!$B$9)))</f>
        <v/>
      </c>
      <c r="N43" s="91">
        <f>'08_Premissas_Custos'!$B$13*M43</f>
        <v/>
      </c>
      <c r="O43" s="91">
        <f>'08_Premissas_Custos'!$B$14*M43*(1+IF(L43="Sim",0.25,0))</f>
        <v/>
      </c>
      <c r="P43" s="91">
        <f>'08_Premissas_Custos'!$B$15*M43*(1+IF(I43="Sim",0.20,0)+IF(K43="Sim",0.15,0))</f>
        <v/>
      </c>
      <c r="Q43" s="91">
        <f>'08_Premissas_Custos'!$B$16*M43*IF(J43="Sim",1.6,0.55)</f>
        <v/>
      </c>
      <c r="R43" s="91">
        <f>'08_Premissas_Custos'!$B$17*M43*IF(I43="Sim",1.8,0.15)</f>
        <v/>
      </c>
      <c r="S43" s="91">
        <f>'08_Premissas_Custos'!$B$18*M43*(1+IF(I43="Sim",0.15)+IF(L43="Sim",0.10))</f>
        <v/>
      </c>
      <c r="T43" s="91">
        <f>'08_Premissas_Custos'!$B$19*M43*(1+IF(J43="Sim",0.15))</f>
        <v/>
      </c>
      <c r="U43" s="91">
        <f>'08_Premissas_Custos'!$B$20*M43*IF(K43="Sim",1.8,0.7)</f>
        <v/>
      </c>
      <c r="V43" s="92">
        <f>SUM(N43:U43)</f>
        <v/>
      </c>
      <c r="W43" s="92">
        <f>V43*(1-H43)*IF(E43="Fase 2",'08_Premissas_Custos'!$F$10,1)</f>
        <v/>
      </c>
      <c r="X43" s="93">
        <f>(N43*'08_Premissas_Custos'!$C$13+O43*'08_Premissas_Custos'!$C$14+P43*'08_Premissas_Custos'!$C$15+Q43*'08_Premissas_Custos'!$C$16+R43*'08_Premissas_Custos'!$C$17+S43*'08_Premissas_Custos'!$C$18+T43*'08_Premissas_Custos'!$C$19+U43*'08_Premissas_Custos'!$C$20)*(1-H43)*IF(E43="Fase 2",'08_Premissas_Custos'!$F$10,1)</f>
        <v/>
      </c>
      <c r="Y43" s="93">
        <f>X43*'08_Premissas_Custos'!$F$7</f>
        <v/>
      </c>
      <c r="Z43" s="93">
        <f>(X43+Y43)*'08_Premissas_Custos'!$F$6</f>
        <v/>
      </c>
      <c r="AA43" s="93">
        <f>SUM(X43:Z43)</f>
        <v/>
      </c>
      <c r="AB43" s="14" t="inlineStr">
        <is>
          <t>Feed</t>
        </is>
      </c>
    </row>
    <row r="44">
      <c r="A44" s="14" t="n">
        <v>39</v>
      </c>
      <c r="B44" s="14" t="inlineStr">
        <is>
          <t>CAN</t>
        </is>
      </c>
      <c r="C44" s="14" t="inlineStr">
        <is>
          <t>Candidatos &amp; Carreira</t>
        </is>
      </c>
      <c r="D44" s="14" t="inlineStr">
        <is>
          <t>Detalhe da oportunidade</t>
        </is>
      </c>
      <c r="E44" s="14" t="inlineStr">
        <is>
          <t>MVP+1</t>
        </is>
      </c>
      <c r="F44" s="14" t="inlineStr">
        <is>
          <t>Baixa</t>
        </is>
      </c>
      <c r="G44" s="14" t="str"/>
      <c r="H44" s="89" t="n">
        <v>0</v>
      </c>
      <c r="I44" s="44" t="inlineStr">
        <is>
          <t>Não</t>
        </is>
      </c>
      <c r="J44" s="44" t="inlineStr">
        <is>
          <t>Não</t>
        </is>
      </c>
      <c r="K44" s="44" t="inlineStr">
        <is>
          <t>Não</t>
        </is>
      </c>
      <c r="L44" s="44" t="inlineStr">
        <is>
          <t>Sim</t>
        </is>
      </c>
      <c r="M44" s="90">
        <f>IF(F44="Baixa",'08_Premissas_Custos'!$B$6,IF(F44="Média",'08_Premissas_Custos'!$B$7,IF(F44="Alta",'08_Premissas_Custos'!$B$8,'08_Premissas_Custos'!$B$9)))</f>
        <v/>
      </c>
      <c r="N44" s="91">
        <f>'08_Premissas_Custos'!$B$13*M44</f>
        <v/>
      </c>
      <c r="O44" s="91">
        <f>'08_Premissas_Custos'!$B$14*M44*(1+IF(L44="Sim",0.25,0))</f>
        <v/>
      </c>
      <c r="P44" s="91">
        <f>'08_Premissas_Custos'!$B$15*M44*(1+IF(I44="Sim",0.20,0)+IF(K44="Sim",0.15,0))</f>
        <v/>
      </c>
      <c r="Q44" s="91">
        <f>'08_Premissas_Custos'!$B$16*M44*IF(J44="Sim",1.6,0.55)</f>
        <v/>
      </c>
      <c r="R44" s="91">
        <f>'08_Premissas_Custos'!$B$17*M44*IF(I44="Sim",1.8,0.15)</f>
        <v/>
      </c>
      <c r="S44" s="91">
        <f>'08_Premissas_Custos'!$B$18*M44*(1+IF(I44="Sim",0.15)+IF(L44="Sim",0.10))</f>
        <v/>
      </c>
      <c r="T44" s="91">
        <f>'08_Premissas_Custos'!$B$19*M44*(1+IF(J44="Sim",0.15))</f>
        <v/>
      </c>
      <c r="U44" s="91">
        <f>'08_Premissas_Custos'!$B$20*M44*IF(K44="Sim",1.8,0.7)</f>
        <v/>
      </c>
      <c r="V44" s="92">
        <f>SUM(N44:U44)</f>
        <v/>
      </c>
      <c r="W44" s="92">
        <f>V44*(1-H44)*IF(E44="Fase 2",'08_Premissas_Custos'!$F$10,1)</f>
        <v/>
      </c>
      <c r="X44" s="93">
        <f>(N44*'08_Premissas_Custos'!$C$13+O44*'08_Premissas_Custos'!$C$14+P44*'08_Premissas_Custos'!$C$15+Q44*'08_Premissas_Custos'!$C$16+R44*'08_Premissas_Custos'!$C$17+S44*'08_Premissas_Custos'!$C$18+T44*'08_Premissas_Custos'!$C$19+U44*'08_Premissas_Custos'!$C$20)*(1-H44)*IF(E44="Fase 2",'08_Premissas_Custos'!$F$10,1)</f>
        <v/>
      </c>
      <c r="Y44" s="93">
        <f>X44*'08_Premissas_Custos'!$F$7</f>
        <v/>
      </c>
      <c r="Z44" s="93">
        <f>(X44+Y44)*'08_Premissas_Custos'!$F$6</f>
        <v/>
      </c>
      <c r="AA44" s="93">
        <f>SUM(X44:Z44)</f>
        <v/>
      </c>
      <c r="AB44" s="14" t="inlineStr">
        <is>
          <t>Vaga/projeto</t>
        </is>
      </c>
    </row>
    <row r="45">
      <c r="A45" s="14" t="n">
        <v>40</v>
      </c>
      <c r="B45" s="14" t="inlineStr">
        <is>
          <t>CAN</t>
        </is>
      </c>
      <c r="C45" s="14" t="inlineStr">
        <is>
          <t>Candidatos &amp; Carreira</t>
        </is>
      </c>
      <c r="D45" s="14" t="inlineStr">
        <is>
          <t>Candidatura</t>
        </is>
      </c>
      <c r="E45" s="14" t="inlineStr">
        <is>
          <t>MVP+1</t>
        </is>
      </c>
      <c r="F45" s="14" t="inlineStr">
        <is>
          <t>Média</t>
        </is>
      </c>
      <c r="G45" s="14" t="str"/>
      <c r="H45" s="89" t="n">
        <v>0</v>
      </c>
      <c r="I45" s="44" t="inlineStr">
        <is>
          <t>Não</t>
        </is>
      </c>
      <c r="J45" s="44" t="inlineStr">
        <is>
          <t>Não</t>
        </is>
      </c>
      <c r="K45" s="44" t="inlineStr">
        <is>
          <t>Não</t>
        </is>
      </c>
      <c r="L45" s="44" t="inlineStr">
        <is>
          <t>Sim</t>
        </is>
      </c>
      <c r="M45" s="90">
        <f>IF(F45="Baixa",'08_Premissas_Custos'!$B$6,IF(F45="Média",'08_Premissas_Custos'!$B$7,IF(F45="Alta",'08_Premissas_Custos'!$B$8,'08_Premissas_Custos'!$B$9)))</f>
        <v/>
      </c>
      <c r="N45" s="91">
        <f>'08_Premissas_Custos'!$B$13*M45</f>
        <v/>
      </c>
      <c r="O45" s="91">
        <f>'08_Premissas_Custos'!$B$14*M45*(1+IF(L45="Sim",0.25,0))</f>
        <v/>
      </c>
      <c r="P45" s="91">
        <f>'08_Premissas_Custos'!$B$15*M45*(1+IF(I45="Sim",0.20,0)+IF(K45="Sim",0.15,0))</f>
        <v/>
      </c>
      <c r="Q45" s="91">
        <f>'08_Premissas_Custos'!$B$16*M45*IF(J45="Sim",1.6,0.55)</f>
        <v/>
      </c>
      <c r="R45" s="91">
        <f>'08_Premissas_Custos'!$B$17*M45*IF(I45="Sim",1.8,0.15)</f>
        <v/>
      </c>
      <c r="S45" s="91">
        <f>'08_Premissas_Custos'!$B$18*M45*(1+IF(I45="Sim",0.15)+IF(L45="Sim",0.10))</f>
        <v/>
      </c>
      <c r="T45" s="91">
        <f>'08_Premissas_Custos'!$B$19*M45*(1+IF(J45="Sim",0.15))</f>
        <v/>
      </c>
      <c r="U45" s="91">
        <f>'08_Premissas_Custos'!$B$20*M45*IF(K45="Sim",1.8,0.7)</f>
        <v/>
      </c>
      <c r="V45" s="92">
        <f>SUM(N45:U45)</f>
        <v/>
      </c>
      <c r="W45" s="92">
        <f>V45*(1-H45)*IF(E45="Fase 2",'08_Premissas_Custos'!$F$10,1)</f>
        <v/>
      </c>
      <c r="X45" s="93">
        <f>(N45*'08_Premissas_Custos'!$C$13+O45*'08_Premissas_Custos'!$C$14+P45*'08_Premissas_Custos'!$C$15+Q45*'08_Premissas_Custos'!$C$16+R45*'08_Premissas_Custos'!$C$17+S45*'08_Premissas_Custos'!$C$18+T45*'08_Premissas_Custos'!$C$19+U45*'08_Premissas_Custos'!$C$20)*(1-H45)*IF(E45="Fase 2",'08_Premissas_Custos'!$F$10,1)</f>
        <v/>
      </c>
      <c r="Y45" s="93">
        <f>X45*'08_Premissas_Custos'!$F$7</f>
        <v/>
      </c>
      <c r="Z45" s="93">
        <f>(X45+Y45)*'08_Premissas_Custos'!$F$6</f>
        <v/>
      </c>
      <c r="AA45" s="93">
        <f>SUM(X45:Z45)</f>
        <v/>
      </c>
      <c r="AB45" s="14" t="inlineStr">
        <is>
          <t>Aplicação</t>
        </is>
      </c>
    </row>
    <row r="46">
      <c r="A46" s="14" t="n">
        <v>41</v>
      </c>
      <c r="B46" s="14" t="inlineStr">
        <is>
          <t>CAN</t>
        </is>
      </c>
      <c r="C46" s="14" t="inlineStr">
        <is>
          <t>Candidatos &amp; Carreira</t>
        </is>
      </c>
      <c r="D46" s="14" t="inlineStr">
        <is>
          <t>Match candidato-vaga</t>
        </is>
      </c>
      <c r="E46" s="14" t="inlineStr">
        <is>
          <t>MVP+1</t>
        </is>
      </c>
      <c r="F46" s="14" t="inlineStr">
        <is>
          <t>Muito alta</t>
        </is>
      </c>
      <c r="G46" s="14" t="str"/>
      <c r="H46" s="89" t="n">
        <v>0</v>
      </c>
      <c r="I46" s="44" t="inlineStr">
        <is>
          <t>Sim</t>
        </is>
      </c>
      <c r="J46" s="44" t="inlineStr">
        <is>
          <t>Não</t>
        </is>
      </c>
      <c r="K46" s="44" t="inlineStr">
        <is>
          <t>Não</t>
        </is>
      </c>
      <c r="L46" s="44" t="inlineStr">
        <is>
          <t>Não</t>
        </is>
      </c>
      <c r="M46" s="90">
        <f>IF(F46="Baixa",'08_Premissas_Custos'!$B$6,IF(F46="Média",'08_Premissas_Custos'!$B$7,IF(F46="Alta",'08_Premissas_Custos'!$B$8,'08_Premissas_Custos'!$B$9)))</f>
        <v/>
      </c>
      <c r="N46" s="91">
        <f>'08_Premissas_Custos'!$B$13*M46</f>
        <v/>
      </c>
      <c r="O46" s="91">
        <f>'08_Premissas_Custos'!$B$14*M46*(1+IF(L46="Sim",0.25,0))</f>
        <v/>
      </c>
      <c r="P46" s="91">
        <f>'08_Premissas_Custos'!$B$15*M46*(1+IF(I46="Sim",0.20,0)+IF(K46="Sim",0.15,0))</f>
        <v/>
      </c>
      <c r="Q46" s="91">
        <f>'08_Premissas_Custos'!$B$16*M46*IF(J46="Sim",1.6,0.55)</f>
        <v/>
      </c>
      <c r="R46" s="91">
        <f>'08_Premissas_Custos'!$B$17*M46*IF(I46="Sim",1.8,0.15)</f>
        <v/>
      </c>
      <c r="S46" s="91">
        <f>'08_Premissas_Custos'!$B$18*M46*(1+IF(I46="Sim",0.15)+IF(L46="Sim",0.10))</f>
        <v/>
      </c>
      <c r="T46" s="91">
        <f>'08_Premissas_Custos'!$B$19*M46*(1+IF(J46="Sim",0.15))</f>
        <v/>
      </c>
      <c r="U46" s="91">
        <f>'08_Premissas_Custos'!$B$20*M46*IF(K46="Sim",1.8,0.7)</f>
        <v/>
      </c>
      <c r="V46" s="92">
        <f>SUM(N46:U46)</f>
        <v/>
      </c>
      <c r="W46" s="92">
        <f>V46*(1-H46)*IF(E46="Fase 2",'08_Premissas_Custos'!$F$10,1)</f>
        <v/>
      </c>
      <c r="X46" s="93">
        <f>(N46*'08_Premissas_Custos'!$C$13+O46*'08_Premissas_Custos'!$C$14+P46*'08_Premissas_Custos'!$C$15+Q46*'08_Premissas_Custos'!$C$16+R46*'08_Premissas_Custos'!$C$17+S46*'08_Premissas_Custos'!$C$18+T46*'08_Premissas_Custos'!$C$19+U46*'08_Premissas_Custos'!$C$20)*(1-H46)*IF(E46="Fase 2",'08_Premissas_Custos'!$F$10,1)</f>
        <v/>
      </c>
      <c r="Y46" s="93">
        <f>X46*'08_Premissas_Custos'!$F$7</f>
        <v/>
      </c>
      <c r="Z46" s="93">
        <f>(X46+Y46)*'08_Premissas_Custos'!$F$6</f>
        <v/>
      </c>
      <c r="AA46" s="93">
        <f>SUM(X46:Z46)</f>
        <v/>
      </c>
      <c r="AB46" s="14" t="inlineStr">
        <is>
          <t>Aderência</t>
        </is>
      </c>
    </row>
    <row r="47">
      <c r="A47" s="14" t="n">
        <v>42</v>
      </c>
      <c r="B47" s="14" t="inlineStr">
        <is>
          <t>CAN</t>
        </is>
      </c>
      <c r="C47" s="14" t="inlineStr">
        <is>
          <t>Candidatos &amp; Carreira</t>
        </is>
      </c>
      <c r="D47" s="14" t="inlineStr">
        <is>
          <t>Minha jornada</t>
        </is>
      </c>
      <c r="E47" s="14" t="inlineStr">
        <is>
          <t>MVP+1</t>
        </is>
      </c>
      <c r="F47" s="14" t="inlineStr">
        <is>
          <t>Média</t>
        </is>
      </c>
      <c r="G47" s="14" t="str"/>
      <c r="H47" s="89" t="n">
        <v>0</v>
      </c>
      <c r="I47" s="44" t="inlineStr">
        <is>
          <t>Não</t>
        </is>
      </c>
      <c r="J47" s="44" t="inlineStr">
        <is>
          <t>Não</t>
        </is>
      </c>
      <c r="K47" s="44" t="inlineStr">
        <is>
          <t>Não</t>
        </is>
      </c>
      <c r="L47" s="44" t="inlineStr">
        <is>
          <t>Sim</t>
        </is>
      </c>
      <c r="M47" s="90">
        <f>IF(F47="Baixa",'08_Premissas_Custos'!$B$6,IF(F47="Média",'08_Premissas_Custos'!$B$7,IF(F47="Alta",'08_Premissas_Custos'!$B$8,'08_Premissas_Custos'!$B$9)))</f>
        <v/>
      </c>
      <c r="N47" s="91">
        <f>'08_Premissas_Custos'!$B$13*M47</f>
        <v/>
      </c>
      <c r="O47" s="91">
        <f>'08_Premissas_Custos'!$B$14*M47*(1+IF(L47="Sim",0.25,0))</f>
        <v/>
      </c>
      <c r="P47" s="91">
        <f>'08_Premissas_Custos'!$B$15*M47*(1+IF(I47="Sim",0.20,0)+IF(K47="Sim",0.15,0))</f>
        <v/>
      </c>
      <c r="Q47" s="91">
        <f>'08_Premissas_Custos'!$B$16*M47*IF(J47="Sim",1.6,0.55)</f>
        <v/>
      </c>
      <c r="R47" s="91">
        <f>'08_Premissas_Custos'!$B$17*M47*IF(I47="Sim",1.8,0.15)</f>
        <v/>
      </c>
      <c r="S47" s="91">
        <f>'08_Premissas_Custos'!$B$18*M47*(1+IF(I47="Sim",0.15)+IF(L47="Sim",0.10))</f>
        <v/>
      </c>
      <c r="T47" s="91">
        <f>'08_Premissas_Custos'!$B$19*M47*(1+IF(J47="Sim",0.15))</f>
        <v/>
      </c>
      <c r="U47" s="91">
        <f>'08_Premissas_Custos'!$B$20*M47*IF(K47="Sim",1.8,0.7)</f>
        <v/>
      </c>
      <c r="V47" s="92">
        <f>SUM(N47:U47)</f>
        <v/>
      </c>
      <c r="W47" s="92">
        <f>V47*(1-H47)*IF(E47="Fase 2",'08_Premissas_Custos'!$F$10,1)</f>
        <v/>
      </c>
      <c r="X47" s="93">
        <f>(N47*'08_Premissas_Custos'!$C$13+O47*'08_Premissas_Custos'!$C$14+P47*'08_Premissas_Custos'!$C$15+Q47*'08_Premissas_Custos'!$C$16+R47*'08_Premissas_Custos'!$C$17+S47*'08_Premissas_Custos'!$C$18+T47*'08_Premissas_Custos'!$C$19+U47*'08_Premissas_Custos'!$C$20)*(1-H47)*IF(E47="Fase 2",'08_Premissas_Custos'!$F$10,1)</f>
        <v/>
      </c>
      <c r="Y47" s="93">
        <f>X47*'08_Premissas_Custos'!$F$7</f>
        <v/>
      </c>
      <c r="Z47" s="93">
        <f>(X47+Y47)*'08_Premissas_Custos'!$F$6</f>
        <v/>
      </c>
      <c r="AA47" s="93">
        <f>SUM(X47:Z47)</f>
        <v/>
      </c>
      <c r="AB47" s="14" t="inlineStr">
        <is>
          <t>Progresso</t>
        </is>
      </c>
    </row>
    <row r="48">
      <c r="A48" s="14" t="n">
        <v>43</v>
      </c>
      <c r="B48" s="14" t="inlineStr">
        <is>
          <t>CAN</t>
        </is>
      </c>
      <c r="C48" s="14" t="inlineStr">
        <is>
          <t>Candidatos &amp; Carreira</t>
        </is>
      </c>
      <c r="D48" s="14" t="inlineStr">
        <is>
          <t>Capacitação recomendada</t>
        </is>
      </c>
      <c r="E48" s="14" t="inlineStr">
        <is>
          <t>MVP+1</t>
        </is>
      </c>
      <c r="F48" s="14" t="inlineStr">
        <is>
          <t>Alta</t>
        </is>
      </c>
      <c r="G48" s="14" t="str"/>
      <c r="H48" s="89" t="n">
        <v>0</v>
      </c>
      <c r="I48" s="44" t="inlineStr">
        <is>
          <t>Sim</t>
        </is>
      </c>
      <c r="J48" s="44" t="inlineStr">
        <is>
          <t>Não</t>
        </is>
      </c>
      <c r="K48" s="44" t="inlineStr">
        <is>
          <t>Não</t>
        </is>
      </c>
      <c r="L48" s="44" t="inlineStr">
        <is>
          <t>Sim</t>
        </is>
      </c>
      <c r="M48" s="90">
        <f>IF(F48="Baixa",'08_Premissas_Custos'!$B$6,IF(F48="Média",'08_Premissas_Custos'!$B$7,IF(F48="Alta",'08_Premissas_Custos'!$B$8,'08_Premissas_Custos'!$B$9)))</f>
        <v/>
      </c>
      <c r="N48" s="91">
        <f>'08_Premissas_Custos'!$B$13*M48</f>
        <v/>
      </c>
      <c r="O48" s="91">
        <f>'08_Premissas_Custos'!$B$14*M48*(1+IF(L48="Sim",0.25,0))</f>
        <v/>
      </c>
      <c r="P48" s="91">
        <f>'08_Premissas_Custos'!$B$15*M48*(1+IF(I48="Sim",0.20,0)+IF(K48="Sim",0.15,0))</f>
        <v/>
      </c>
      <c r="Q48" s="91">
        <f>'08_Premissas_Custos'!$B$16*M48*IF(J48="Sim",1.6,0.55)</f>
        <v/>
      </c>
      <c r="R48" s="91">
        <f>'08_Premissas_Custos'!$B$17*M48*IF(I48="Sim",1.8,0.15)</f>
        <v/>
      </c>
      <c r="S48" s="91">
        <f>'08_Premissas_Custos'!$B$18*M48*(1+IF(I48="Sim",0.15)+IF(L48="Sim",0.10))</f>
        <v/>
      </c>
      <c r="T48" s="91">
        <f>'08_Premissas_Custos'!$B$19*M48*(1+IF(J48="Sim",0.15))</f>
        <v/>
      </c>
      <c r="U48" s="91">
        <f>'08_Premissas_Custos'!$B$20*M48*IF(K48="Sim",1.8,0.7)</f>
        <v/>
      </c>
      <c r="V48" s="92">
        <f>SUM(N48:U48)</f>
        <v/>
      </c>
      <c r="W48" s="92">
        <f>V48*(1-H48)*IF(E48="Fase 2",'08_Premissas_Custos'!$F$10,1)</f>
        <v/>
      </c>
      <c r="X48" s="93">
        <f>(N48*'08_Premissas_Custos'!$C$13+O48*'08_Premissas_Custos'!$C$14+P48*'08_Premissas_Custos'!$C$15+Q48*'08_Premissas_Custos'!$C$16+R48*'08_Premissas_Custos'!$C$17+S48*'08_Premissas_Custos'!$C$18+T48*'08_Premissas_Custos'!$C$19+U48*'08_Premissas_Custos'!$C$20)*(1-H48)*IF(E48="Fase 2",'08_Premissas_Custos'!$F$10,1)</f>
        <v/>
      </c>
      <c r="Y48" s="93">
        <f>X48*'08_Premissas_Custos'!$F$7</f>
        <v/>
      </c>
      <c r="Z48" s="93">
        <f>(X48+Y48)*'08_Premissas_Custos'!$F$6</f>
        <v/>
      </c>
      <c r="AA48" s="93">
        <f>SUM(X48:Z48)</f>
        <v/>
      </c>
      <c r="AB48" s="14" t="inlineStr">
        <is>
          <t>Gap-&gt;trilha</t>
        </is>
      </c>
    </row>
    <row r="49">
      <c r="A49" s="14" t="n">
        <v>44</v>
      </c>
      <c r="B49" s="14" t="inlineStr">
        <is>
          <t>CAN</t>
        </is>
      </c>
      <c r="C49" s="14" t="inlineStr">
        <is>
          <t>Candidatos &amp; Carreira</t>
        </is>
      </c>
      <c r="D49" s="14" t="inlineStr">
        <is>
          <t>Mentoria / preparação</t>
        </is>
      </c>
      <c r="E49" s="14" t="inlineStr">
        <is>
          <t>MVP+1</t>
        </is>
      </c>
      <c r="F49" s="14" t="inlineStr">
        <is>
          <t>Média</t>
        </is>
      </c>
      <c r="G49" s="14" t="str"/>
      <c r="H49" s="89" t="n">
        <v>0</v>
      </c>
      <c r="I49" s="44" t="inlineStr">
        <is>
          <t>Não</t>
        </is>
      </c>
      <c r="J49" s="44" t="inlineStr">
        <is>
          <t>Não</t>
        </is>
      </c>
      <c r="K49" s="44" t="inlineStr">
        <is>
          <t>Não</t>
        </is>
      </c>
      <c r="L49" s="44" t="inlineStr">
        <is>
          <t>Sim</t>
        </is>
      </c>
      <c r="M49" s="90">
        <f>IF(F49="Baixa",'08_Premissas_Custos'!$B$6,IF(F49="Média",'08_Premissas_Custos'!$B$7,IF(F49="Alta",'08_Premissas_Custos'!$B$8,'08_Premissas_Custos'!$B$9)))</f>
        <v/>
      </c>
      <c r="N49" s="91">
        <f>'08_Premissas_Custos'!$B$13*M49</f>
        <v/>
      </c>
      <c r="O49" s="91">
        <f>'08_Premissas_Custos'!$B$14*M49*(1+IF(L49="Sim",0.25,0))</f>
        <v/>
      </c>
      <c r="P49" s="91">
        <f>'08_Premissas_Custos'!$B$15*M49*(1+IF(I49="Sim",0.20,0)+IF(K49="Sim",0.15,0))</f>
        <v/>
      </c>
      <c r="Q49" s="91">
        <f>'08_Premissas_Custos'!$B$16*M49*IF(J49="Sim",1.6,0.55)</f>
        <v/>
      </c>
      <c r="R49" s="91">
        <f>'08_Premissas_Custos'!$B$17*M49*IF(I49="Sim",1.8,0.15)</f>
        <v/>
      </c>
      <c r="S49" s="91">
        <f>'08_Premissas_Custos'!$B$18*M49*(1+IF(I49="Sim",0.15)+IF(L49="Sim",0.10))</f>
        <v/>
      </c>
      <c r="T49" s="91">
        <f>'08_Premissas_Custos'!$B$19*M49*(1+IF(J49="Sim",0.15))</f>
        <v/>
      </c>
      <c r="U49" s="91">
        <f>'08_Premissas_Custos'!$B$20*M49*IF(K49="Sim",1.8,0.7)</f>
        <v/>
      </c>
      <c r="V49" s="92">
        <f>SUM(N49:U49)</f>
        <v/>
      </c>
      <c r="W49" s="92">
        <f>V49*(1-H49)*IF(E49="Fase 2",'08_Premissas_Custos'!$F$10,1)</f>
        <v/>
      </c>
      <c r="X49" s="93">
        <f>(N49*'08_Premissas_Custos'!$C$13+O49*'08_Premissas_Custos'!$C$14+P49*'08_Premissas_Custos'!$C$15+Q49*'08_Premissas_Custos'!$C$16+R49*'08_Premissas_Custos'!$C$17+S49*'08_Premissas_Custos'!$C$18+T49*'08_Premissas_Custos'!$C$19+U49*'08_Premissas_Custos'!$C$20)*(1-H49)*IF(E49="Fase 2",'08_Premissas_Custos'!$F$10,1)</f>
        <v/>
      </c>
      <c r="Y49" s="93">
        <f>X49*'08_Premissas_Custos'!$F$7</f>
        <v/>
      </c>
      <c r="Z49" s="93">
        <f>(X49+Y49)*'08_Premissas_Custos'!$F$6</f>
        <v/>
      </c>
      <c r="AA49" s="93">
        <f>SUM(X49:Z49)</f>
        <v/>
      </c>
      <c r="AB49" s="14" t="inlineStr">
        <is>
          <t>Carreira</t>
        </is>
      </c>
    </row>
    <row r="50">
      <c r="A50" s="14" t="n">
        <v>45</v>
      </c>
      <c r="B50" s="14" t="inlineStr">
        <is>
          <t>CAN</t>
        </is>
      </c>
      <c r="C50" s="14" t="inlineStr">
        <is>
          <t>Candidatos &amp; Carreira</t>
        </is>
      </c>
      <c r="D50" s="14" t="inlineStr">
        <is>
          <t>Feedbacks do processo</t>
        </is>
      </c>
      <c r="E50" s="14" t="inlineStr">
        <is>
          <t>MVP+1</t>
        </is>
      </c>
      <c r="F50" s="14" t="inlineStr">
        <is>
          <t>Média</t>
        </is>
      </c>
      <c r="G50" s="14" t="str"/>
      <c r="H50" s="89" t="n">
        <v>0</v>
      </c>
      <c r="I50" s="44" t="inlineStr">
        <is>
          <t>Não</t>
        </is>
      </c>
      <c r="J50" s="44" t="inlineStr">
        <is>
          <t>Não</t>
        </is>
      </c>
      <c r="K50" s="44" t="inlineStr">
        <is>
          <t>Não</t>
        </is>
      </c>
      <c r="L50" s="44" t="inlineStr">
        <is>
          <t>Sim</t>
        </is>
      </c>
      <c r="M50" s="90">
        <f>IF(F50="Baixa",'08_Premissas_Custos'!$B$6,IF(F50="Média",'08_Premissas_Custos'!$B$7,IF(F50="Alta",'08_Premissas_Custos'!$B$8,'08_Premissas_Custos'!$B$9)))</f>
        <v/>
      </c>
      <c r="N50" s="91">
        <f>'08_Premissas_Custos'!$B$13*M50</f>
        <v/>
      </c>
      <c r="O50" s="91">
        <f>'08_Premissas_Custos'!$B$14*M50*(1+IF(L50="Sim",0.25,0))</f>
        <v/>
      </c>
      <c r="P50" s="91">
        <f>'08_Premissas_Custos'!$B$15*M50*(1+IF(I50="Sim",0.20,0)+IF(K50="Sim",0.15,0))</f>
        <v/>
      </c>
      <c r="Q50" s="91">
        <f>'08_Premissas_Custos'!$B$16*M50*IF(J50="Sim",1.6,0.55)</f>
        <v/>
      </c>
      <c r="R50" s="91">
        <f>'08_Premissas_Custos'!$B$17*M50*IF(I50="Sim",1.8,0.15)</f>
        <v/>
      </c>
      <c r="S50" s="91">
        <f>'08_Premissas_Custos'!$B$18*M50*(1+IF(I50="Sim",0.15)+IF(L50="Sim",0.10))</f>
        <v/>
      </c>
      <c r="T50" s="91">
        <f>'08_Premissas_Custos'!$B$19*M50*(1+IF(J50="Sim",0.15))</f>
        <v/>
      </c>
      <c r="U50" s="91">
        <f>'08_Premissas_Custos'!$B$20*M50*IF(K50="Sim",1.8,0.7)</f>
        <v/>
      </c>
      <c r="V50" s="92">
        <f>SUM(N50:U50)</f>
        <v/>
      </c>
      <c r="W50" s="92">
        <f>V50*(1-H50)*IF(E50="Fase 2",'08_Premissas_Custos'!$F$10,1)</f>
        <v/>
      </c>
      <c r="X50" s="93">
        <f>(N50*'08_Premissas_Custos'!$C$13+O50*'08_Premissas_Custos'!$C$14+P50*'08_Premissas_Custos'!$C$15+Q50*'08_Premissas_Custos'!$C$16+R50*'08_Premissas_Custos'!$C$17+S50*'08_Premissas_Custos'!$C$18+T50*'08_Premissas_Custos'!$C$19+U50*'08_Premissas_Custos'!$C$20)*(1-H50)*IF(E50="Fase 2",'08_Premissas_Custos'!$F$10,1)</f>
        <v/>
      </c>
      <c r="Y50" s="93">
        <f>X50*'08_Premissas_Custos'!$F$7</f>
        <v/>
      </c>
      <c r="Z50" s="93">
        <f>(X50+Y50)*'08_Premissas_Custos'!$F$6</f>
        <v/>
      </c>
      <c r="AA50" s="93">
        <f>SUM(X50:Z50)</f>
        <v/>
      </c>
      <c r="AB50" s="14" t="inlineStr">
        <is>
          <t>Retorno</t>
        </is>
      </c>
    </row>
    <row r="51">
      <c r="A51" s="14" t="n">
        <v>46</v>
      </c>
      <c r="B51" s="14" t="inlineStr">
        <is>
          <t>CAN</t>
        </is>
      </c>
      <c r="C51" s="14" t="inlineStr">
        <is>
          <t>Candidatos &amp; Carreira</t>
        </is>
      </c>
      <c r="D51" s="14" t="inlineStr">
        <is>
          <t>Painel empresa - talentos</t>
        </is>
      </c>
      <c r="E51" s="14" t="inlineStr">
        <is>
          <t>MVP+1</t>
        </is>
      </c>
      <c r="F51" s="14" t="inlineStr">
        <is>
          <t>Alta</t>
        </is>
      </c>
      <c r="G51" s="14" t="str"/>
      <c r="H51" s="89" t="n">
        <v>0</v>
      </c>
      <c r="I51" s="44" t="inlineStr">
        <is>
          <t>Não</t>
        </is>
      </c>
      <c r="J51" s="44" t="inlineStr">
        <is>
          <t>Não</t>
        </is>
      </c>
      <c r="K51" s="44" t="inlineStr">
        <is>
          <t>Não</t>
        </is>
      </c>
      <c r="L51" s="44" t="inlineStr">
        <is>
          <t>Não</t>
        </is>
      </c>
      <c r="M51" s="90">
        <f>IF(F51="Baixa",'08_Premissas_Custos'!$B$6,IF(F51="Média",'08_Premissas_Custos'!$B$7,IF(F51="Alta",'08_Premissas_Custos'!$B$8,'08_Premissas_Custos'!$B$9)))</f>
        <v/>
      </c>
      <c r="N51" s="91">
        <f>'08_Premissas_Custos'!$B$13*M51</f>
        <v/>
      </c>
      <c r="O51" s="91">
        <f>'08_Premissas_Custos'!$B$14*M51*(1+IF(L51="Sim",0.25,0))</f>
        <v/>
      </c>
      <c r="P51" s="91">
        <f>'08_Premissas_Custos'!$B$15*M51*(1+IF(I51="Sim",0.20,0)+IF(K51="Sim",0.15,0))</f>
        <v/>
      </c>
      <c r="Q51" s="91">
        <f>'08_Premissas_Custos'!$B$16*M51*IF(J51="Sim",1.6,0.55)</f>
        <v/>
      </c>
      <c r="R51" s="91">
        <f>'08_Premissas_Custos'!$B$17*M51*IF(I51="Sim",1.8,0.15)</f>
        <v/>
      </c>
      <c r="S51" s="91">
        <f>'08_Premissas_Custos'!$B$18*M51*(1+IF(I51="Sim",0.15)+IF(L51="Sim",0.10))</f>
        <v/>
      </c>
      <c r="T51" s="91">
        <f>'08_Premissas_Custos'!$B$19*M51*(1+IF(J51="Sim",0.15))</f>
        <v/>
      </c>
      <c r="U51" s="91">
        <f>'08_Premissas_Custos'!$B$20*M51*IF(K51="Sim",1.8,0.7)</f>
        <v/>
      </c>
      <c r="V51" s="92">
        <f>SUM(N51:U51)</f>
        <v/>
      </c>
      <c r="W51" s="92">
        <f>V51*(1-H51)*IF(E51="Fase 2",'08_Premissas_Custos'!$F$10,1)</f>
        <v/>
      </c>
      <c r="X51" s="93">
        <f>(N51*'08_Premissas_Custos'!$C$13+O51*'08_Premissas_Custos'!$C$14+P51*'08_Premissas_Custos'!$C$15+Q51*'08_Premissas_Custos'!$C$16+R51*'08_Premissas_Custos'!$C$17+S51*'08_Premissas_Custos'!$C$18+T51*'08_Premissas_Custos'!$C$19+U51*'08_Premissas_Custos'!$C$20)*(1-H51)*IF(E51="Fase 2",'08_Premissas_Custos'!$F$10,1)</f>
        <v/>
      </c>
      <c r="Y51" s="93">
        <f>X51*'08_Premissas_Custos'!$F$7</f>
        <v/>
      </c>
      <c r="Z51" s="93">
        <f>(X51+Y51)*'08_Premissas_Custos'!$F$6</f>
        <v/>
      </c>
      <c r="AA51" s="93">
        <f>SUM(X51:Z51)</f>
        <v/>
      </c>
      <c r="AB51" s="14" t="inlineStr">
        <is>
          <t>Shortlist</t>
        </is>
      </c>
    </row>
    <row r="52">
      <c r="A52" s="14" t="n">
        <v>47</v>
      </c>
      <c r="B52" s="14" t="inlineStr">
        <is>
          <t>CAN</t>
        </is>
      </c>
      <c r="C52" s="14" t="inlineStr">
        <is>
          <t>Candidatos &amp; Carreira</t>
        </is>
      </c>
      <c r="D52" s="14" t="inlineStr">
        <is>
          <t>Inteligência de vagas</t>
        </is>
      </c>
      <c r="E52" s="14" t="inlineStr">
        <is>
          <t>Fase 2</t>
        </is>
      </c>
      <c r="F52" s="14" t="inlineStr">
        <is>
          <t>Muito alta</t>
        </is>
      </c>
      <c r="G52" s="14" t="str"/>
      <c r="H52" s="89" t="n">
        <v>0</v>
      </c>
      <c r="I52" s="44" t="inlineStr">
        <is>
          <t>Sim</t>
        </is>
      </c>
      <c r="J52" s="44" t="inlineStr">
        <is>
          <t>Não</t>
        </is>
      </c>
      <c r="K52" s="44" t="inlineStr">
        <is>
          <t>Não</t>
        </is>
      </c>
      <c r="L52" s="44" t="inlineStr">
        <is>
          <t>Não</t>
        </is>
      </c>
      <c r="M52" s="90">
        <f>IF(F52="Baixa",'08_Premissas_Custos'!$B$6,IF(F52="Média",'08_Premissas_Custos'!$B$7,IF(F52="Alta",'08_Premissas_Custos'!$B$8,'08_Premissas_Custos'!$B$9)))</f>
        <v/>
      </c>
      <c r="N52" s="91">
        <f>'08_Premissas_Custos'!$B$13*M52</f>
        <v/>
      </c>
      <c r="O52" s="91">
        <f>'08_Premissas_Custos'!$B$14*M52*(1+IF(L52="Sim",0.25,0))</f>
        <v/>
      </c>
      <c r="P52" s="91">
        <f>'08_Premissas_Custos'!$B$15*M52*(1+IF(I52="Sim",0.20,0)+IF(K52="Sim",0.15,0))</f>
        <v/>
      </c>
      <c r="Q52" s="91">
        <f>'08_Premissas_Custos'!$B$16*M52*IF(J52="Sim",1.6,0.55)</f>
        <v/>
      </c>
      <c r="R52" s="91">
        <f>'08_Premissas_Custos'!$B$17*M52*IF(I52="Sim",1.8,0.15)</f>
        <v/>
      </c>
      <c r="S52" s="91">
        <f>'08_Premissas_Custos'!$B$18*M52*(1+IF(I52="Sim",0.15)+IF(L52="Sim",0.10))</f>
        <v/>
      </c>
      <c r="T52" s="91">
        <f>'08_Premissas_Custos'!$B$19*M52*(1+IF(J52="Sim",0.15))</f>
        <v/>
      </c>
      <c r="U52" s="91">
        <f>'08_Premissas_Custos'!$B$20*M52*IF(K52="Sim",1.8,0.7)</f>
        <v/>
      </c>
      <c r="V52" s="92">
        <f>SUM(N52:U52)</f>
        <v/>
      </c>
      <c r="W52" s="92">
        <f>V52*(1-H52)*IF(E52="Fase 2",'08_Premissas_Custos'!$F$10,1)</f>
        <v/>
      </c>
      <c r="X52" s="93">
        <f>(N52*'08_Premissas_Custos'!$C$13+O52*'08_Premissas_Custos'!$C$14+P52*'08_Premissas_Custos'!$C$15+Q52*'08_Premissas_Custos'!$C$16+R52*'08_Premissas_Custos'!$C$17+S52*'08_Premissas_Custos'!$C$18+T52*'08_Premissas_Custos'!$C$19+U52*'08_Premissas_Custos'!$C$20)*(1-H52)*IF(E52="Fase 2",'08_Premissas_Custos'!$F$10,1)</f>
        <v/>
      </c>
      <c r="Y52" s="93">
        <f>X52*'08_Premissas_Custos'!$F$7</f>
        <v/>
      </c>
      <c r="Z52" s="93">
        <f>(X52+Y52)*'08_Premissas_Custos'!$F$6</f>
        <v/>
      </c>
      <c r="AA52" s="93">
        <f>SUM(X52:Z52)</f>
        <v/>
      </c>
      <c r="AB52" s="14" t="inlineStr">
        <is>
          <t>Requisitos por evidência</t>
        </is>
      </c>
    </row>
    <row r="53">
      <c r="A53" s="14" t="n">
        <v>48</v>
      </c>
      <c r="B53" s="14" t="inlineStr">
        <is>
          <t>FOR</t>
        </is>
      </c>
      <c r="C53" s="14" t="inlineStr">
        <is>
          <t>Fornecedores &amp; Negócios</t>
        </is>
      </c>
      <c r="D53" s="14" t="inlineStr">
        <is>
          <t>Perfil do fornecedor</t>
        </is>
      </c>
      <c r="E53" s="14" t="inlineStr">
        <is>
          <t>MVP+1</t>
        </is>
      </c>
      <c r="F53" s="14" t="inlineStr">
        <is>
          <t>Média</t>
        </is>
      </c>
      <c r="G53" s="14" t="inlineStr">
        <is>
          <t>Perfil do fornecedor</t>
        </is>
      </c>
      <c r="H53" s="89" t="n">
        <v>0.45</v>
      </c>
      <c r="I53" s="44" t="inlineStr">
        <is>
          <t>Não</t>
        </is>
      </c>
      <c r="J53" s="44" t="inlineStr">
        <is>
          <t>Não</t>
        </is>
      </c>
      <c r="K53" s="44" t="inlineStr">
        <is>
          <t>Não</t>
        </is>
      </c>
      <c r="L53" s="44" t="inlineStr">
        <is>
          <t>Não</t>
        </is>
      </c>
      <c r="M53" s="90">
        <f>IF(F53="Baixa",'08_Premissas_Custos'!$B$6,IF(F53="Média",'08_Premissas_Custos'!$B$7,IF(F53="Alta",'08_Premissas_Custos'!$B$8,'08_Premissas_Custos'!$B$9)))</f>
        <v/>
      </c>
      <c r="N53" s="91">
        <f>'08_Premissas_Custos'!$B$13*M53</f>
        <v/>
      </c>
      <c r="O53" s="91">
        <f>'08_Premissas_Custos'!$B$14*M53*(1+IF(L53="Sim",0.25,0))</f>
        <v/>
      </c>
      <c r="P53" s="91">
        <f>'08_Premissas_Custos'!$B$15*M53*(1+IF(I53="Sim",0.20,0)+IF(K53="Sim",0.15,0))</f>
        <v/>
      </c>
      <c r="Q53" s="91">
        <f>'08_Premissas_Custos'!$B$16*M53*IF(J53="Sim",1.6,0.55)</f>
        <v/>
      </c>
      <c r="R53" s="91">
        <f>'08_Premissas_Custos'!$B$17*M53*IF(I53="Sim",1.8,0.15)</f>
        <v/>
      </c>
      <c r="S53" s="91">
        <f>'08_Premissas_Custos'!$B$18*M53*(1+IF(I53="Sim",0.15)+IF(L53="Sim",0.10))</f>
        <v/>
      </c>
      <c r="T53" s="91">
        <f>'08_Premissas_Custos'!$B$19*M53*(1+IF(J53="Sim",0.15))</f>
        <v/>
      </c>
      <c r="U53" s="91">
        <f>'08_Premissas_Custos'!$B$20*M53*IF(K53="Sim",1.8,0.7)</f>
        <v/>
      </c>
      <c r="V53" s="92">
        <f>SUM(N53:U53)</f>
        <v/>
      </c>
      <c r="W53" s="92">
        <f>V53*(1-H53)*IF(E53="Fase 2",'08_Premissas_Custos'!$F$10,1)</f>
        <v/>
      </c>
      <c r="X53" s="93">
        <f>(N53*'08_Premissas_Custos'!$C$13+O53*'08_Premissas_Custos'!$C$14+P53*'08_Premissas_Custos'!$C$15+Q53*'08_Premissas_Custos'!$C$16+R53*'08_Premissas_Custos'!$C$17+S53*'08_Premissas_Custos'!$C$18+T53*'08_Premissas_Custos'!$C$19+U53*'08_Premissas_Custos'!$C$20)*(1-H53)*IF(E53="Fase 2",'08_Premissas_Custos'!$F$10,1)</f>
        <v/>
      </c>
      <c r="Y53" s="93">
        <f>X53*'08_Premissas_Custos'!$F$7</f>
        <v/>
      </c>
      <c r="Z53" s="93">
        <f>(X53+Y53)*'08_Premissas_Custos'!$F$6</f>
        <v/>
      </c>
      <c r="AA53" s="93">
        <f>SUM(X53:Z53)</f>
        <v/>
      </c>
      <c r="AB53" s="14" t="inlineStr">
        <is>
          <t>Capacidades</t>
        </is>
      </c>
    </row>
    <row r="54">
      <c r="A54" s="14" t="n">
        <v>49</v>
      </c>
      <c r="B54" s="14" t="inlineStr">
        <is>
          <t>FOR</t>
        </is>
      </c>
      <c r="C54" s="14" t="inlineStr">
        <is>
          <t>Fornecedores &amp; Negócios</t>
        </is>
      </c>
      <c r="D54" s="14" t="inlineStr">
        <is>
          <t>Documentos e compliance</t>
        </is>
      </c>
      <c r="E54" s="14" t="inlineStr">
        <is>
          <t>MVP+1</t>
        </is>
      </c>
      <c r="F54" s="14" t="inlineStr">
        <is>
          <t>Alta</t>
        </is>
      </c>
      <c r="G54" s="14" t="str"/>
      <c r="H54" s="89" t="n">
        <v>0</v>
      </c>
      <c r="I54" s="44" t="inlineStr">
        <is>
          <t>Não</t>
        </is>
      </c>
      <c r="J54" s="44" t="inlineStr">
        <is>
          <t>Não</t>
        </is>
      </c>
      <c r="K54" s="44" t="inlineStr">
        <is>
          <t>Sim</t>
        </is>
      </c>
      <c r="L54" s="44" t="inlineStr">
        <is>
          <t>Não</t>
        </is>
      </c>
      <c r="M54" s="90">
        <f>IF(F54="Baixa",'08_Premissas_Custos'!$B$6,IF(F54="Média",'08_Premissas_Custos'!$B$7,IF(F54="Alta",'08_Premissas_Custos'!$B$8,'08_Premissas_Custos'!$B$9)))</f>
        <v/>
      </c>
      <c r="N54" s="91">
        <f>'08_Premissas_Custos'!$B$13*M54</f>
        <v/>
      </c>
      <c r="O54" s="91">
        <f>'08_Premissas_Custos'!$B$14*M54*(1+IF(L54="Sim",0.25,0))</f>
        <v/>
      </c>
      <c r="P54" s="91">
        <f>'08_Premissas_Custos'!$B$15*M54*(1+IF(I54="Sim",0.20,0)+IF(K54="Sim",0.15,0))</f>
        <v/>
      </c>
      <c r="Q54" s="91">
        <f>'08_Premissas_Custos'!$B$16*M54*IF(J54="Sim",1.6,0.55)</f>
        <v/>
      </c>
      <c r="R54" s="91">
        <f>'08_Premissas_Custos'!$B$17*M54*IF(I54="Sim",1.8,0.15)</f>
        <v/>
      </c>
      <c r="S54" s="91">
        <f>'08_Premissas_Custos'!$B$18*M54*(1+IF(I54="Sim",0.15)+IF(L54="Sim",0.10))</f>
        <v/>
      </c>
      <c r="T54" s="91">
        <f>'08_Premissas_Custos'!$B$19*M54*(1+IF(J54="Sim",0.15))</f>
        <v/>
      </c>
      <c r="U54" s="91">
        <f>'08_Premissas_Custos'!$B$20*M54*IF(K54="Sim",1.8,0.7)</f>
        <v/>
      </c>
      <c r="V54" s="92">
        <f>SUM(N54:U54)</f>
        <v/>
      </c>
      <c r="W54" s="92">
        <f>V54*(1-H54)*IF(E54="Fase 2",'08_Premissas_Custos'!$F$10,1)</f>
        <v/>
      </c>
      <c r="X54" s="93">
        <f>(N54*'08_Premissas_Custos'!$C$13+O54*'08_Premissas_Custos'!$C$14+P54*'08_Premissas_Custos'!$C$15+Q54*'08_Premissas_Custos'!$C$16+R54*'08_Premissas_Custos'!$C$17+S54*'08_Premissas_Custos'!$C$18+T54*'08_Premissas_Custos'!$C$19+U54*'08_Premissas_Custos'!$C$20)*(1-H54)*IF(E54="Fase 2",'08_Premissas_Custos'!$F$10,1)</f>
        <v/>
      </c>
      <c r="Y54" s="93">
        <f>X54*'08_Premissas_Custos'!$F$7</f>
        <v/>
      </c>
      <c r="Z54" s="93">
        <f>(X54+Y54)*'08_Premissas_Custos'!$F$6</f>
        <v/>
      </c>
      <c r="AA54" s="93">
        <f>SUM(X54:Z54)</f>
        <v/>
      </c>
      <c r="AB54" s="14" t="inlineStr">
        <is>
          <t>Certificações</t>
        </is>
      </c>
    </row>
    <row r="55">
      <c r="A55" s="14" t="n">
        <v>50</v>
      </c>
      <c r="B55" s="14" t="inlineStr">
        <is>
          <t>FOR</t>
        </is>
      </c>
      <c r="C55" s="14" t="inlineStr">
        <is>
          <t>Fornecedores &amp; Negócios</t>
        </is>
      </c>
      <c r="D55" s="14" t="inlineStr">
        <is>
          <t>Maturidade</t>
        </is>
      </c>
      <c r="E55" s="14" t="inlineStr">
        <is>
          <t>MVP+1</t>
        </is>
      </c>
      <c r="F55" s="14" t="inlineStr">
        <is>
          <t>Alta</t>
        </is>
      </c>
      <c r="G55" s="14" t="str"/>
      <c r="H55" s="89" t="n">
        <v>0</v>
      </c>
      <c r="I55" s="44" t="inlineStr">
        <is>
          <t>Não</t>
        </is>
      </c>
      <c r="J55" s="44" t="inlineStr">
        <is>
          <t>Não</t>
        </is>
      </c>
      <c r="K55" s="44" t="inlineStr">
        <is>
          <t>Não</t>
        </is>
      </c>
      <c r="L55" s="44" t="inlineStr">
        <is>
          <t>Não</t>
        </is>
      </c>
      <c r="M55" s="90">
        <f>IF(F55="Baixa",'08_Premissas_Custos'!$B$6,IF(F55="Média",'08_Premissas_Custos'!$B$7,IF(F55="Alta",'08_Premissas_Custos'!$B$8,'08_Premissas_Custos'!$B$9)))</f>
        <v/>
      </c>
      <c r="N55" s="91">
        <f>'08_Premissas_Custos'!$B$13*M55</f>
        <v/>
      </c>
      <c r="O55" s="91">
        <f>'08_Premissas_Custos'!$B$14*M55*(1+IF(L55="Sim",0.25,0))</f>
        <v/>
      </c>
      <c r="P55" s="91">
        <f>'08_Premissas_Custos'!$B$15*M55*(1+IF(I55="Sim",0.20,0)+IF(K55="Sim",0.15,0))</f>
        <v/>
      </c>
      <c r="Q55" s="91">
        <f>'08_Premissas_Custos'!$B$16*M55*IF(J55="Sim",1.6,0.55)</f>
        <v/>
      </c>
      <c r="R55" s="91">
        <f>'08_Premissas_Custos'!$B$17*M55*IF(I55="Sim",1.8,0.15)</f>
        <v/>
      </c>
      <c r="S55" s="91">
        <f>'08_Premissas_Custos'!$B$18*M55*(1+IF(I55="Sim",0.15)+IF(L55="Sim",0.10))</f>
        <v/>
      </c>
      <c r="T55" s="91">
        <f>'08_Premissas_Custos'!$B$19*M55*(1+IF(J55="Sim",0.15))</f>
        <v/>
      </c>
      <c r="U55" s="91">
        <f>'08_Premissas_Custos'!$B$20*M55*IF(K55="Sim",1.8,0.7)</f>
        <v/>
      </c>
      <c r="V55" s="92">
        <f>SUM(N55:U55)</f>
        <v/>
      </c>
      <c r="W55" s="92">
        <f>V55*(1-H55)*IF(E55="Fase 2",'08_Premissas_Custos'!$F$10,1)</f>
        <v/>
      </c>
      <c r="X55" s="93">
        <f>(N55*'08_Premissas_Custos'!$C$13+O55*'08_Premissas_Custos'!$C$14+P55*'08_Premissas_Custos'!$C$15+Q55*'08_Premissas_Custos'!$C$16+R55*'08_Premissas_Custos'!$C$17+S55*'08_Premissas_Custos'!$C$18+T55*'08_Premissas_Custos'!$C$19+U55*'08_Premissas_Custos'!$C$20)*(1-H55)*IF(E55="Fase 2",'08_Premissas_Custos'!$F$10,1)</f>
        <v/>
      </c>
      <c r="Y55" s="93">
        <f>X55*'08_Premissas_Custos'!$F$7</f>
        <v/>
      </c>
      <c r="Z55" s="93">
        <f>(X55+Y55)*'08_Premissas_Custos'!$F$6</f>
        <v/>
      </c>
      <c r="AA55" s="93">
        <f>SUM(X55:Z55)</f>
        <v/>
      </c>
      <c r="AB55" s="14" t="inlineStr">
        <is>
          <t>Diagnóstico</t>
        </is>
      </c>
    </row>
    <row r="56">
      <c r="A56" s="14" t="n">
        <v>51</v>
      </c>
      <c r="B56" s="14" t="inlineStr">
        <is>
          <t>FOR</t>
        </is>
      </c>
      <c r="C56" s="14" t="inlineStr">
        <is>
          <t>Fornecedores &amp; Negócios</t>
        </is>
      </c>
      <c r="D56" s="14" t="inlineStr">
        <is>
          <t>Plano de desenvolvimento</t>
        </is>
      </c>
      <c r="E56" s="14" t="inlineStr">
        <is>
          <t>MVP+1</t>
        </is>
      </c>
      <c r="F56" s="14" t="inlineStr">
        <is>
          <t>Alta</t>
        </is>
      </c>
      <c r="G56" s="14" t="inlineStr">
        <is>
          <t>Plano de desenvolvimento</t>
        </is>
      </c>
      <c r="H56" s="89" t="n">
        <v>0.45</v>
      </c>
      <c r="I56" s="44" t="inlineStr">
        <is>
          <t>Não</t>
        </is>
      </c>
      <c r="J56" s="44" t="inlineStr">
        <is>
          <t>Não</t>
        </is>
      </c>
      <c r="K56" s="44" t="inlineStr">
        <is>
          <t>Não</t>
        </is>
      </c>
      <c r="L56" s="44" t="inlineStr">
        <is>
          <t>Não</t>
        </is>
      </c>
      <c r="M56" s="90">
        <f>IF(F56="Baixa",'08_Premissas_Custos'!$B$6,IF(F56="Média",'08_Premissas_Custos'!$B$7,IF(F56="Alta",'08_Premissas_Custos'!$B$8,'08_Premissas_Custos'!$B$9)))</f>
        <v/>
      </c>
      <c r="N56" s="91">
        <f>'08_Premissas_Custos'!$B$13*M56</f>
        <v/>
      </c>
      <c r="O56" s="91">
        <f>'08_Premissas_Custos'!$B$14*M56*(1+IF(L56="Sim",0.25,0))</f>
        <v/>
      </c>
      <c r="P56" s="91">
        <f>'08_Premissas_Custos'!$B$15*M56*(1+IF(I56="Sim",0.20,0)+IF(K56="Sim",0.15,0))</f>
        <v/>
      </c>
      <c r="Q56" s="91">
        <f>'08_Premissas_Custos'!$B$16*M56*IF(J56="Sim",1.6,0.55)</f>
        <v/>
      </c>
      <c r="R56" s="91">
        <f>'08_Premissas_Custos'!$B$17*M56*IF(I56="Sim",1.8,0.15)</f>
        <v/>
      </c>
      <c r="S56" s="91">
        <f>'08_Premissas_Custos'!$B$18*M56*(1+IF(I56="Sim",0.15)+IF(L56="Sim",0.10))</f>
        <v/>
      </c>
      <c r="T56" s="91">
        <f>'08_Premissas_Custos'!$B$19*M56*(1+IF(J56="Sim",0.15))</f>
        <v/>
      </c>
      <c r="U56" s="91">
        <f>'08_Premissas_Custos'!$B$20*M56*IF(K56="Sim",1.8,0.7)</f>
        <v/>
      </c>
      <c r="V56" s="92">
        <f>SUM(N56:U56)</f>
        <v/>
      </c>
      <c r="W56" s="92">
        <f>V56*(1-H56)*IF(E56="Fase 2",'08_Premissas_Custos'!$F$10,1)</f>
        <v/>
      </c>
      <c r="X56" s="93">
        <f>(N56*'08_Premissas_Custos'!$C$13+O56*'08_Premissas_Custos'!$C$14+P56*'08_Premissas_Custos'!$C$15+Q56*'08_Premissas_Custos'!$C$16+R56*'08_Premissas_Custos'!$C$17+S56*'08_Premissas_Custos'!$C$18+T56*'08_Premissas_Custos'!$C$19+U56*'08_Premissas_Custos'!$C$20)*(1-H56)*IF(E56="Fase 2",'08_Premissas_Custos'!$F$10,1)</f>
        <v/>
      </c>
      <c r="Y56" s="93">
        <f>X56*'08_Premissas_Custos'!$F$7</f>
        <v/>
      </c>
      <c r="Z56" s="93">
        <f>(X56+Y56)*'08_Premissas_Custos'!$F$6</f>
        <v/>
      </c>
      <c r="AA56" s="93">
        <f>SUM(X56:Z56)</f>
        <v/>
      </c>
      <c r="AB56" s="14" t="inlineStr">
        <is>
          <t>Gaps</t>
        </is>
      </c>
    </row>
    <row r="57">
      <c r="A57" s="14" t="n">
        <v>52</v>
      </c>
      <c r="B57" s="14" t="inlineStr">
        <is>
          <t>FOR</t>
        </is>
      </c>
      <c r="C57" s="14" t="inlineStr">
        <is>
          <t>Fornecedores &amp; Negócios</t>
        </is>
      </c>
      <c r="D57" s="14" t="inlineStr">
        <is>
          <t>Trilhas / apoio</t>
        </is>
      </c>
      <c r="E57" s="14" t="inlineStr">
        <is>
          <t>Fase 2</t>
        </is>
      </c>
      <c r="F57" s="14" t="inlineStr">
        <is>
          <t>Média</t>
        </is>
      </c>
      <c r="G57" s="14" t="str"/>
      <c r="H57" s="89" t="n">
        <v>0</v>
      </c>
      <c r="I57" s="44" t="inlineStr">
        <is>
          <t>Não</t>
        </is>
      </c>
      <c r="J57" s="44" t="inlineStr">
        <is>
          <t>Não</t>
        </is>
      </c>
      <c r="K57" s="44" t="inlineStr">
        <is>
          <t>Não</t>
        </is>
      </c>
      <c r="L57" s="44" t="inlineStr">
        <is>
          <t>Não</t>
        </is>
      </c>
      <c r="M57" s="90">
        <f>IF(F57="Baixa",'08_Premissas_Custos'!$B$6,IF(F57="Média",'08_Premissas_Custos'!$B$7,IF(F57="Alta",'08_Premissas_Custos'!$B$8,'08_Premissas_Custos'!$B$9)))</f>
        <v/>
      </c>
      <c r="N57" s="91">
        <f>'08_Premissas_Custos'!$B$13*M57</f>
        <v/>
      </c>
      <c r="O57" s="91">
        <f>'08_Premissas_Custos'!$B$14*M57*(1+IF(L57="Sim",0.25,0))</f>
        <v/>
      </c>
      <c r="P57" s="91">
        <f>'08_Premissas_Custos'!$B$15*M57*(1+IF(I57="Sim",0.20,0)+IF(K57="Sim",0.15,0))</f>
        <v/>
      </c>
      <c r="Q57" s="91">
        <f>'08_Premissas_Custos'!$B$16*M57*IF(J57="Sim",1.6,0.55)</f>
        <v/>
      </c>
      <c r="R57" s="91">
        <f>'08_Premissas_Custos'!$B$17*M57*IF(I57="Sim",1.8,0.15)</f>
        <v/>
      </c>
      <c r="S57" s="91">
        <f>'08_Premissas_Custos'!$B$18*M57*(1+IF(I57="Sim",0.15)+IF(L57="Sim",0.10))</f>
        <v/>
      </c>
      <c r="T57" s="91">
        <f>'08_Premissas_Custos'!$B$19*M57*(1+IF(J57="Sim",0.15))</f>
        <v/>
      </c>
      <c r="U57" s="91">
        <f>'08_Premissas_Custos'!$B$20*M57*IF(K57="Sim",1.8,0.7)</f>
        <v/>
      </c>
      <c r="V57" s="92">
        <f>SUM(N57:U57)</f>
        <v/>
      </c>
      <c r="W57" s="92">
        <f>V57*(1-H57)*IF(E57="Fase 2",'08_Premissas_Custos'!$F$10,1)</f>
        <v/>
      </c>
      <c r="X57" s="93">
        <f>(N57*'08_Premissas_Custos'!$C$13+O57*'08_Premissas_Custos'!$C$14+P57*'08_Premissas_Custos'!$C$15+Q57*'08_Premissas_Custos'!$C$16+R57*'08_Premissas_Custos'!$C$17+S57*'08_Premissas_Custos'!$C$18+T57*'08_Premissas_Custos'!$C$19+U57*'08_Premissas_Custos'!$C$20)*(1-H57)*IF(E57="Fase 2",'08_Premissas_Custos'!$F$10,1)</f>
        <v/>
      </c>
      <c r="Y57" s="93">
        <f>X57*'08_Premissas_Custos'!$F$7</f>
        <v/>
      </c>
      <c r="Z57" s="93">
        <f>(X57+Y57)*'08_Premissas_Custos'!$F$6</f>
        <v/>
      </c>
      <c r="AA57" s="93">
        <f>SUM(X57:Z57)</f>
        <v/>
      </c>
      <c r="AB57" s="14" t="inlineStr">
        <is>
          <t>Cursos/crédito</t>
        </is>
      </c>
    </row>
    <row r="58">
      <c r="A58" s="14" t="n">
        <v>53</v>
      </c>
      <c r="B58" s="14" t="inlineStr">
        <is>
          <t>FOR</t>
        </is>
      </c>
      <c r="C58" s="14" t="inlineStr">
        <is>
          <t>Fornecedores &amp; Negócios</t>
        </is>
      </c>
      <c r="D58" s="14" t="inlineStr">
        <is>
          <t>Oportunidades / demandas</t>
        </is>
      </c>
      <c r="E58" s="14" t="inlineStr">
        <is>
          <t>MVP+1</t>
        </is>
      </c>
      <c r="F58" s="14" t="inlineStr">
        <is>
          <t>Média</t>
        </is>
      </c>
      <c r="G58" s="14" t="str"/>
      <c r="H58" s="89" t="n">
        <v>0</v>
      </c>
      <c r="I58" s="44" t="inlineStr">
        <is>
          <t>Não</t>
        </is>
      </c>
      <c r="J58" s="44" t="inlineStr">
        <is>
          <t>Não</t>
        </is>
      </c>
      <c r="K58" s="44" t="inlineStr">
        <is>
          <t>Não</t>
        </is>
      </c>
      <c r="L58" s="44" t="inlineStr">
        <is>
          <t>Não</t>
        </is>
      </c>
      <c r="M58" s="90">
        <f>IF(F58="Baixa",'08_Premissas_Custos'!$B$6,IF(F58="Média",'08_Premissas_Custos'!$B$7,IF(F58="Alta",'08_Premissas_Custos'!$B$8,'08_Premissas_Custos'!$B$9)))</f>
        <v/>
      </c>
      <c r="N58" s="91">
        <f>'08_Premissas_Custos'!$B$13*M58</f>
        <v/>
      </c>
      <c r="O58" s="91">
        <f>'08_Premissas_Custos'!$B$14*M58*(1+IF(L58="Sim",0.25,0))</f>
        <v/>
      </c>
      <c r="P58" s="91">
        <f>'08_Premissas_Custos'!$B$15*M58*(1+IF(I58="Sim",0.20,0)+IF(K58="Sim",0.15,0))</f>
        <v/>
      </c>
      <c r="Q58" s="91">
        <f>'08_Premissas_Custos'!$B$16*M58*IF(J58="Sim",1.6,0.55)</f>
        <v/>
      </c>
      <c r="R58" s="91">
        <f>'08_Premissas_Custos'!$B$17*M58*IF(I58="Sim",1.8,0.15)</f>
        <v/>
      </c>
      <c r="S58" s="91">
        <f>'08_Premissas_Custos'!$B$18*M58*(1+IF(I58="Sim",0.15)+IF(L58="Sim",0.10))</f>
        <v/>
      </c>
      <c r="T58" s="91">
        <f>'08_Premissas_Custos'!$B$19*M58*(1+IF(J58="Sim",0.15))</f>
        <v/>
      </c>
      <c r="U58" s="91">
        <f>'08_Premissas_Custos'!$B$20*M58*IF(K58="Sim",1.8,0.7)</f>
        <v/>
      </c>
      <c r="V58" s="92">
        <f>SUM(N58:U58)</f>
        <v/>
      </c>
      <c r="W58" s="92">
        <f>V58*(1-H58)*IF(E58="Fase 2",'08_Premissas_Custos'!$F$10,1)</f>
        <v/>
      </c>
      <c r="X58" s="93">
        <f>(N58*'08_Premissas_Custos'!$C$13+O58*'08_Premissas_Custos'!$C$14+P58*'08_Premissas_Custos'!$C$15+Q58*'08_Premissas_Custos'!$C$16+R58*'08_Premissas_Custos'!$C$17+S58*'08_Premissas_Custos'!$C$18+T58*'08_Premissas_Custos'!$C$19+U58*'08_Premissas_Custos'!$C$20)*(1-H58)*IF(E58="Fase 2",'08_Premissas_Custos'!$F$10,1)</f>
        <v/>
      </c>
      <c r="Y58" s="93">
        <f>X58*'08_Premissas_Custos'!$F$7</f>
        <v/>
      </c>
      <c r="Z58" s="93">
        <f>(X58+Y58)*'08_Premissas_Custos'!$F$6</f>
        <v/>
      </c>
      <c r="AA58" s="93">
        <f>SUM(X58:Z58)</f>
        <v/>
      </c>
      <c r="AB58" s="14" t="inlineStr">
        <is>
          <t>Compras</t>
        </is>
      </c>
    </row>
    <row r="59">
      <c r="A59" s="14" t="n">
        <v>54</v>
      </c>
      <c r="B59" s="14" t="inlineStr">
        <is>
          <t>FOR</t>
        </is>
      </c>
      <c r="C59" s="14" t="inlineStr">
        <is>
          <t>Fornecedores &amp; Negócios</t>
        </is>
      </c>
      <c r="D59" s="14" t="inlineStr">
        <is>
          <t>Detalhe da demanda</t>
        </is>
      </c>
      <c r="E59" s="14" t="inlineStr">
        <is>
          <t>MVP+1</t>
        </is>
      </c>
      <c r="F59" s="14" t="inlineStr">
        <is>
          <t>Baixa</t>
        </is>
      </c>
      <c r="G59" s="14" t="str"/>
      <c r="H59" s="89" t="n">
        <v>0</v>
      </c>
      <c r="I59" s="44" t="inlineStr">
        <is>
          <t>Não</t>
        </is>
      </c>
      <c r="J59" s="44" t="inlineStr">
        <is>
          <t>Não</t>
        </is>
      </c>
      <c r="K59" s="44" t="inlineStr">
        <is>
          <t>Não</t>
        </is>
      </c>
      <c r="L59" s="44" t="inlineStr">
        <is>
          <t>Não</t>
        </is>
      </c>
      <c r="M59" s="90">
        <f>IF(F59="Baixa",'08_Premissas_Custos'!$B$6,IF(F59="Média",'08_Premissas_Custos'!$B$7,IF(F59="Alta",'08_Premissas_Custos'!$B$8,'08_Premissas_Custos'!$B$9)))</f>
        <v/>
      </c>
      <c r="N59" s="91">
        <f>'08_Premissas_Custos'!$B$13*M59</f>
        <v/>
      </c>
      <c r="O59" s="91">
        <f>'08_Premissas_Custos'!$B$14*M59*(1+IF(L59="Sim",0.25,0))</f>
        <v/>
      </c>
      <c r="P59" s="91">
        <f>'08_Premissas_Custos'!$B$15*M59*(1+IF(I59="Sim",0.20,0)+IF(K59="Sim",0.15,0))</f>
        <v/>
      </c>
      <c r="Q59" s="91">
        <f>'08_Premissas_Custos'!$B$16*M59*IF(J59="Sim",1.6,0.55)</f>
        <v/>
      </c>
      <c r="R59" s="91">
        <f>'08_Premissas_Custos'!$B$17*M59*IF(I59="Sim",1.8,0.15)</f>
        <v/>
      </c>
      <c r="S59" s="91">
        <f>'08_Premissas_Custos'!$B$18*M59*(1+IF(I59="Sim",0.15)+IF(L59="Sim",0.10))</f>
        <v/>
      </c>
      <c r="T59" s="91">
        <f>'08_Premissas_Custos'!$B$19*M59*(1+IF(J59="Sim",0.15))</f>
        <v/>
      </c>
      <c r="U59" s="91">
        <f>'08_Premissas_Custos'!$B$20*M59*IF(K59="Sim",1.8,0.7)</f>
        <v/>
      </c>
      <c r="V59" s="92">
        <f>SUM(N59:U59)</f>
        <v/>
      </c>
      <c r="W59" s="92">
        <f>V59*(1-H59)*IF(E59="Fase 2",'08_Premissas_Custos'!$F$10,1)</f>
        <v/>
      </c>
      <c r="X59" s="93">
        <f>(N59*'08_Premissas_Custos'!$C$13+O59*'08_Premissas_Custos'!$C$14+P59*'08_Premissas_Custos'!$C$15+Q59*'08_Premissas_Custos'!$C$16+R59*'08_Premissas_Custos'!$C$17+S59*'08_Premissas_Custos'!$C$18+T59*'08_Premissas_Custos'!$C$19+U59*'08_Premissas_Custos'!$C$20)*(1-H59)*IF(E59="Fase 2",'08_Premissas_Custos'!$F$10,1)</f>
        <v/>
      </c>
      <c r="Y59" s="93">
        <f>X59*'08_Premissas_Custos'!$F$7</f>
        <v/>
      </c>
      <c r="Z59" s="93">
        <f>(X59+Y59)*'08_Premissas_Custos'!$F$6</f>
        <v/>
      </c>
      <c r="AA59" s="93">
        <f>SUM(X59:Z59)</f>
        <v/>
      </c>
      <c r="AB59" s="14" t="inlineStr">
        <is>
          <t>Critérios</t>
        </is>
      </c>
    </row>
    <row r="60">
      <c r="A60" s="14" t="n">
        <v>55</v>
      </c>
      <c r="B60" s="14" t="inlineStr">
        <is>
          <t>FOR</t>
        </is>
      </c>
      <c r="C60" s="14" t="inlineStr">
        <is>
          <t>Fornecedores &amp; Negócios</t>
        </is>
      </c>
      <c r="D60" s="14" t="inlineStr">
        <is>
          <t>Match fornecedor-demanda</t>
        </is>
      </c>
      <c r="E60" s="14" t="inlineStr">
        <is>
          <t>MVP+1</t>
        </is>
      </c>
      <c r="F60" s="14" t="inlineStr">
        <is>
          <t>Muito alta</t>
        </is>
      </c>
      <c r="G60" s="14" t="str"/>
      <c r="H60" s="89" t="n">
        <v>0</v>
      </c>
      <c r="I60" s="44" t="inlineStr">
        <is>
          <t>Sim</t>
        </is>
      </c>
      <c r="J60" s="44" t="inlineStr">
        <is>
          <t>Não</t>
        </is>
      </c>
      <c r="K60" s="44" t="inlineStr">
        <is>
          <t>Não</t>
        </is>
      </c>
      <c r="L60" s="44" t="inlineStr">
        <is>
          <t>Não</t>
        </is>
      </c>
      <c r="M60" s="90">
        <f>IF(F60="Baixa",'08_Premissas_Custos'!$B$6,IF(F60="Média",'08_Premissas_Custos'!$B$7,IF(F60="Alta",'08_Premissas_Custos'!$B$8,'08_Premissas_Custos'!$B$9)))</f>
        <v/>
      </c>
      <c r="N60" s="91">
        <f>'08_Premissas_Custos'!$B$13*M60</f>
        <v/>
      </c>
      <c r="O60" s="91">
        <f>'08_Premissas_Custos'!$B$14*M60*(1+IF(L60="Sim",0.25,0))</f>
        <v/>
      </c>
      <c r="P60" s="91">
        <f>'08_Premissas_Custos'!$B$15*M60*(1+IF(I60="Sim",0.20,0)+IF(K60="Sim",0.15,0))</f>
        <v/>
      </c>
      <c r="Q60" s="91">
        <f>'08_Premissas_Custos'!$B$16*M60*IF(J60="Sim",1.6,0.55)</f>
        <v/>
      </c>
      <c r="R60" s="91">
        <f>'08_Premissas_Custos'!$B$17*M60*IF(I60="Sim",1.8,0.15)</f>
        <v/>
      </c>
      <c r="S60" s="91">
        <f>'08_Premissas_Custos'!$B$18*M60*(1+IF(I60="Sim",0.15)+IF(L60="Sim",0.10))</f>
        <v/>
      </c>
      <c r="T60" s="91">
        <f>'08_Premissas_Custos'!$B$19*M60*(1+IF(J60="Sim",0.15))</f>
        <v/>
      </c>
      <c r="U60" s="91">
        <f>'08_Premissas_Custos'!$B$20*M60*IF(K60="Sim",1.8,0.7)</f>
        <v/>
      </c>
      <c r="V60" s="92">
        <f>SUM(N60:U60)</f>
        <v/>
      </c>
      <c r="W60" s="92">
        <f>V60*(1-H60)*IF(E60="Fase 2",'08_Premissas_Custos'!$F$10,1)</f>
        <v/>
      </c>
      <c r="X60" s="93">
        <f>(N60*'08_Premissas_Custos'!$C$13+O60*'08_Premissas_Custos'!$C$14+P60*'08_Premissas_Custos'!$C$15+Q60*'08_Premissas_Custos'!$C$16+R60*'08_Premissas_Custos'!$C$17+S60*'08_Premissas_Custos'!$C$18+T60*'08_Premissas_Custos'!$C$19+U60*'08_Premissas_Custos'!$C$20)*(1-H60)*IF(E60="Fase 2",'08_Premissas_Custos'!$F$10,1)</f>
        <v/>
      </c>
      <c r="Y60" s="93">
        <f>X60*'08_Premissas_Custos'!$F$7</f>
        <v/>
      </c>
      <c r="Z60" s="93">
        <f>(X60+Y60)*'08_Premissas_Custos'!$F$6</f>
        <v/>
      </c>
      <c r="AA60" s="93">
        <f>SUM(X60:Z60)</f>
        <v/>
      </c>
      <c r="AB60" s="14" t="inlineStr">
        <is>
          <t>Aderência</t>
        </is>
      </c>
    </row>
    <row r="61">
      <c r="A61" s="14" t="n">
        <v>56</v>
      </c>
      <c r="B61" s="14" t="inlineStr">
        <is>
          <t>FOR</t>
        </is>
      </c>
      <c r="C61" s="14" t="inlineStr">
        <is>
          <t>Fornecedores &amp; Negócios</t>
        </is>
      </c>
      <c r="D61" s="14" t="inlineStr">
        <is>
          <t>Painel empresa compradora</t>
        </is>
      </c>
      <c r="E61" s="14" t="inlineStr">
        <is>
          <t>MVP+1</t>
        </is>
      </c>
      <c r="F61" s="14" t="inlineStr">
        <is>
          <t>Alta</t>
        </is>
      </c>
      <c r="G61" s="14" t="str"/>
      <c r="H61" s="89" t="n">
        <v>0</v>
      </c>
      <c r="I61" s="44" t="inlineStr">
        <is>
          <t>Não</t>
        </is>
      </c>
      <c r="J61" s="44" t="inlineStr">
        <is>
          <t>Não</t>
        </is>
      </c>
      <c r="K61" s="44" t="inlineStr">
        <is>
          <t>Não</t>
        </is>
      </c>
      <c r="L61" s="44" t="inlineStr">
        <is>
          <t>Não</t>
        </is>
      </c>
      <c r="M61" s="90">
        <f>IF(F61="Baixa",'08_Premissas_Custos'!$B$6,IF(F61="Média",'08_Premissas_Custos'!$B$7,IF(F61="Alta",'08_Premissas_Custos'!$B$8,'08_Premissas_Custos'!$B$9)))</f>
        <v/>
      </c>
      <c r="N61" s="91">
        <f>'08_Premissas_Custos'!$B$13*M61</f>
        <v/>
      </c>
      <c r="O61" s="91">
        <f>'08_Premissas_Custos'!$B$14*M61*(1+IF(L61="Sim",0.25,0))</f>
        <v/>
      </c>
      <c r="P61" s="91">
        <f>'08_Premissas_Custos'!$B$15*M61*(1+IF(I61="Sim",0.20,0)+IF(K61="Sim",0.15,0))</f>
        <v/>
      </c>
      <c r="Q61" s="91">
        <f>'08_Premissas_Custos'!$B$16*M61*IF(J61="Sim",1.6,0.55)</f>
        <v/>
      </c>
      <c r="R61" s="91">
        <f>'08_Premissas_Custos'!$B$17*M61*IF(I61="Sim",1.8,0.15)</f>
        <v/>
      </c>
      <c r="S61" s="91">
        <f>'08_Premissas_Custos'!$B$18*M61*(1+IF(I61="Sim",0.15)+IF(L61="Sim",0.10))</f>
        <v/>
      </c>
      <c r="T61" s="91">
        <f>'08_Premissas_Custos'!$B$19*M61*(1+IF(J61="Sim",0.15))</f>
        <v/>
      </c>
      <c r="U61" s="91">
        <f>'08_Premissas_Custos'!$B$20*M61*IF(K61="Sim",1.8,0.7)</f>
        <v/>
      </c>
      <c r="V61" s="92">
        <f>SUM(N61:U61)</f>
        <v/>
      </c>
      <c r="W61" s="92">
        <f>V61*(1-H61)*IF(E61="Fase 2",'08_Premissas_Custos'!$F$10,1)</f>
        <v/>
      </c>
      <c r="X61" s="93">
        <f>(N61*'08_Premissas_Custos'!$C$13+O61*'08_Premissas_Custos'!$C$14+P61*'08_Premissas_Custos'!$C$15+Q61*'08_Premissas_Custos'!$C$16+R61*'08_Premissas_Custos'!$C$17+S61*'08_Premissas_Custos'!$C$18+T61*'08_Premissas_Custos'!$C$19+U61*'08_Premissas_Custos'!$C$20)*(1-H61)*IF(E61="Fase 2",'08_Premissas_Custos'!$F$10,1)</f>
        <v/>
      </c>
      <c r="Y61" s="93">
        <f>X61*'08_Premissas_Custos'!$F$7</f>
        <v/>
      </c>
      <c r="Z61" s="93">
        <f>(X61+Y61)*'08_Premissas_Custos'!$F$6</f>
        <v/>
      </c>
      <c r="AA61" s="93">
        <f>SUM(X61:Z61)</f>
        <v/>
      </c>
      <c r="AB61" s="14" t="inlineStr">
        <is>
          <t>Criar demanda</t>
        </is>
      </c>
    </row>
    <row r="62">
      <c r="A62" s="14" t="n">
        <v>57</v>
      </c>
      <c r="B62" s="14" t="inlineStr">
        <is>
          <t>FOR</t>
        </is>
      </c>
      <c r="C62" s="14" t="inlineStr">
        <is>
          <t>Fornecedores &amp; Negócios</t>
        </is>
      </c>
      <c r="D62" s="14" t="inlineStr">
        <is>
          <t>Reuniões / conexões</t>
        </is>
      </c>
      <c r="E62" s="14" t="inlineStr">
        <is>
          <t>MVP+1</t>
        </is>
      </c>
      <c r="F62" s="14" t="inlineStr">
        <is>
          <t>Média</t>
        </is>
      </c>
      <c r="G62" s="14" t="str"/>
      <c r="H62" s="89" t="n">
        <v>0</v>
      </c>
      <c r="I62" s="44" t="inlineStr">
        <is>
          <t>Não</t>
        </is>
      </c>
      <c r="J62" s="44" t="inlineStr">
        <is>
          <t>Não</t>
        </is>
      </c>
      <c r="K62" s="44" t="inlineStr">
        <is>
          <t>Não</t>
        </is>
      </c>
      <c r="L62" s="44" t="inlineStr">
        <is>
          <t>Não</t>
        </is>
      </c>
      <c r="M62" s="90">
        <f>IF(F62="Baixa",'08_Premissas_Custos'!$B$6,IF(F62="Média",'08_Premissas_Custos'!$B$7,IF(F62="Alta",'08_Premissas_Custos'!$B$8,'08_Premissas_Custos'!$B$9)))</f>
        <v/>
      </c>
      <c r="N62" s="91">
        <f>'08_Premissas_Custos'!$B$13*M62</f>
        <v/>
      </c>
      <c r="O62" s="91">
        <f>'08_Premissas_Custos'!$B$14*M62*(1+IF(L62="Sim",0.25,0))</f>
        <v/>
      </c>
      <c r="P62" s="91">
        <f>'08_Premissas_Custos'!$B$15*M62*(1+IF(I62="Sim",0.20,0)+IF(K62="Sim",0.15,0))</f>
        <v/>
      </c>
      <c r="Q62" s="91">
        <f>'08_Premissas_Custos'!$B$16*M62*IF(J62="Sim",1.6,0.55)</f>
        <v/>
      </c>
      <c r="R62" s="91">
        <f>'08_Premissas_Custos'!$B$17*M62*IF(I62="Sim",1.8,0.15)</f>
        <v/>
      </c>
      <c r="S62" s="91">
        <f>'08_Premissas_Custos'!$B$18*M62*(1+IF(I62="Sim",0.15)+IF(L62="Sim",0.10))</f>
        <v/>
      </c>
      <c r="T62" s="91">
        <f>'08_Premissas_Custos'!$B$19*M62*(1+IF(J62="Sim",0.15))</f>
        <v/>
      </c>
      <c r="U62" s="91">
        <f>'08_Premissas_Custos'!$B$20*M62*IF(K62="Sim",1.8,0.7)</f>
        <v/>
      </c>
      <c r="V62" s="92">
        <f>SUM(N62:U62)</f>
        <v/>
      </c>
      <c r="W62" s="92">
        <f>V62*(1-H62)*IF(E62="Fase 2",'08_Premissas_Custos'!$F$10,1)</f>
        <v/>
      </c>
      <c r="X62" s="93">
        <f>(N62*'08_Premissas_Custos'!$C$13+O62*'08_Premissas_Custos'!$C$14+P62*'08_Premissas_Custos'!$C$15+Q62*'08_Premissas_Custos'!$C$16+R62*'08_Premissas_Custos'!$C$17+S62*'08_Premissas_Custos'!$C$18+T62*'08_Premissas_Custos'!$C$19+U62*'08_Premissas_Custos'!$C$20)*(1-H62)*IF(E62="Fase 2",'08_Premissas_Custos'!$F$10,1)</f>
        <v/>
      </c>
      <c r="Y62" s="93">
        <f>X62*'08_Premissas_Custos'!$F$7</f>
        <v/>
      </c>
      <c r="Z62" s="93">
        <f>(X62+Y62)*'08_Premissas_Custos'!$F$6</f>
        <v/>
      </c>
      <c r="AA62" s="93">
        <f>SUM(X62:Z62)</f>
        <v/>
      </c>
      <c r="AB62" s="14" t="inlineStr">
        <is>
          <t>Agenda</t>
        </is>
      </c>
    </row>
    <row r="63">
      <c r="A63" s="14" t="n">
        <v>58</v>
      </c>
      <c r="B63" s="14" t="inlineStr">
        <is>
          <t>FOR</t>
        </is>
      </c>
      <c r="C63" s="14" t="inlineStr">
        <is>
          <t>Fornecedores &amp; Negócios</t>
        </is>
      </c>
      <c r="D63" s="14" t="inlineStr">
        <is>
          <t>Propostas</t>
        </is>
      </c>
      <c r="E63" s="14" t="inlineStr">
        <is>
          <t>Fase 2</t>
        </is>
      </c>
      <c r="F63" s="14" t="inlineStr">
        <is>
          <t>Alta</t>
        </is>
      </c>
      <c r="G63" s="14" t="str"/>
      <c r="H63" s="89" t="n">
        <v>0</v>
      </c>
      <c r="I63" s="44" t="inlineStr">
        <is>
          <t>Não</t>
        </is>
      </c>
      <c r="J63" s="44" t="inlineStr">
        <is>
          <t>Não</t>
        </is>
      </c>
      <c r="K63" s="44" t="inlineStr">
        <is>
          <t>Não</t>
        </is>
      </c>
      <c r="L63" s="44" t="inlineStr">
        <is>
          <t>Não</t>
        </is>
      </c>
      <c r="M63" s="90">
        <f>IF(F63="Baixa",'08_Premissas_Custos'!$B$6,IF(F63="Média",'08_Premissas_Custos'!$B$7,IF(F63="Alta",'08_Premissas_Custos'!$B$8,'08_Premissas_Custos'!$B$9)))</f>
        <v/>
      </c>
      <c r="N63" s="91">
        <f>'08_Premissas_Custos'!$B$13*M63</f>
        <v/>
      </c>
      <c r="O63" s="91">
        <f>'08_Premissas_Custos'!$B$14*M63*(1+IF(L63="Sim",0.25,0))</f>
        <v/>
      </c>
      <c r="P63" s="91">
        <f>'08_Premissas_Custos'!$B$15*M63*(1+IF(I63="Sim",0.20,0)+IF(K63="Sim",0.15,0))</f>
        <v/>
      </c>
      <c r="Q63" s="91">
        <f>'08_Premissas_Custos'!$B$16*M63*IF(J63="Sim",1.6,0.55)</f>
        <v/>
      </c>
      <c r="R63" s="91">
        <f>'08_Premissas_Custos'!$B$17*M63*IF(I63="Sim",1.8,0.15)</f>
        <v/>
      </c>
      <c r="S63" s="91">
        <f>'08_Premissas_Custos'!$B$18*M63*(1+IF(I63="Sim",0.15)+IF(L63="Sim",0.10))</f>
        <v/>
      </c>
      <c r="T63" s="91">
        <f>'08_Premissas_Custos'!$B$19*M63*(1+IF(J63="Sim",0.15))</f>
        <v/>
      </c>
      <c r="U63" s="91">
        <f>'08_Premissas_Custos'!$B$20*M63*IF(K63="Sim",1.8,0.7)</f>
        <v/>
      </c>
      <c r="V63" s="92">
        <f>SUM(N63:U63)</f>
        <v/>
      </c>
      <c r="W63" s="92">
        <f>V63*(1-H63)*IF(E63="Fase 2",'08_Premissas_Custos'!$F$10,1)</f>
        <v/>
      </c>
      <c r="X63" s="93">
        <f>(N63*'08_Premissas_Custos'!$C$13+O63*'08_Premissas_Custos'!$C$14+P63*'08_Premissas_Custos'!$C$15+Q63*'08_Premissas_Custos'!$C$16+R63*'08_Premissas_Custos'!$C$17+S63*'08_Premissas_Custos'!$C$18+T63*'08_Premissas_Custos'!$C$19+U63*'08_Premissas_Custos'!$C$20)*(1-H63)*IF(E63="Fase 2",'08_Premissas_Custos'!$F$10,1)</f>
        <v/>
      </c>
      <c r="Y63" s="93">
        <f>X63*'08_Premissas_Custos'!$F$7</f>
        <v/>
      </c>
      <c r="Z63" s="93">
        <f>(X63+Y63)*'08_Premissas_Custos'!$F$6</f>
        <v/>
      </c>
      <c r="AA63" s="93">
        <f>SUM(X63:Z63)</f>
        <v/>
      </c>
      <c r="AB63" s="14" t="inlineStr">
        <is>
          <t>Pipeline</t>
        </is>
      </c>
    </row>
    <row r="64">
      <c r="A64" s="14" t="n">
        <v>59</v>
      </c>
      <c r="B64" s="14" t="inlineStr">
        <is>
          <t>FOR</t>
        </is>
      </c>
      <c r="C64" s="14" t="inlineStr">
        <is>
          <t>Fornecedores &amp; Negócios</t>
        </is>
      </c>
      <c r="D64" s="14" t="inlineStr">
        <is>
          <t>Negociações</t>
        </is>
      </c>
      <c r="E64" s="14" t="inlineStr">
        <is>
          <t>Fase 2</t>
        </is>
      </c>
      <c r="F64" s="14" t="inlineStr">
        <is>
          <t>Alta</t>
        </is>
      </c>
      <c r="G64" s="14" t="str"/>
      <c r="H64" s="89" t="n">
        <v>0</v>
      </c>
      <c r="I64" s="44" t="inlineStr">
        <is>
          <t>Não</t>
        </is>
      </c>
      <c r="J64" s="44" t="inlineStr">
        <is>
          <t>Não</t>
        </is>
      </c>
      <c r="K64" s="44" t="inlineStr">
        <is>
          <t>Não</t>
        </is>
      </c>
      <c r="L64" s="44" t="inlineStr">
        <is>
          <t>Não</t>
        </is>
      </c>
      <c r="M64" s="90">
        <f>IF(F64="Baixa",'08_Premissas_Custos'!$B$6,IF(F64="Média",'08_Premissas_Custos'!$B$7,IF(F64="Alta",'08_Premissas_Custos'!$B$8,'08_Premissas_Custos'!$B$9)))</f>
        <v/>
      </c>
      <c r="N64" s="91">
        <f>'08_Premissas_Custos'!$B$13*M64</f>
        <v/>
      </c>
      <c r="O64" s="91">
        <f>'08_Premissas_Custos'!$B$14*M64*(1+IF(L64="Sim",0.25,0))</f>
        <v/>
      </c>
      <c r="P64" s="91">
        <f>'08_Premissas_Custos'!$B$15*M64*(1+IF(I64="Sim",0.20,0)+IF(K64="Sim",0.15,0))</f>
        <v/>
      </c>
      <c r="Q64" s="91">
        <f>'08_Premissas_Custos'!$B$16*M64*IF(J64="Sim",1.6,0.55)</f>
        <v/>
      </c>
      <c r="R64" s="91">
        <f>'08_Premissas_Custos'!$B$17*M64*IF(I64="Sim",1.8,0.15)</f>
        <v/>
      </c>
      <c r="S64" s="91">
        <f>'08_Premissas_Custos'!$B$18*M64*(1+IF(I64="Sim",0.15)+IF(L64="Sim",0.10))</f>
        <v/>
      </c>
      <c r="T64" s="91">
        <f>'08_Premissas_Custos'!$B$19*M64*(1+IF(J64="Sim",0.15))</f>
        <v/>
      </c>
      <c r="U64" s="91">
        <f>'08_Premissas_Custos'!$B$20*M64*IF(K64="Sim",1.8,0.7)</f>
        <v/>
      </c>
      <c r="V64" s="92">
        <f>SUM(N64:U64)</f>
        <v/>
      </c>
      <c r="W64" s="92">
        <f>V64*(1-H64)*IF(E64="Fase 2",'08_Premissas_Custos'!$F$10,1)</f>
        <v/>
      </c>
      <c r="X64" s="93">
        <f>(N64*'08_Premissas_Custos'!$C$13+O64*'08_Premissas_Custos'!$C$14+P64*'08_Premissas_Custos'!$C$15+Q64*'08_Premissas_Custos'!$C$16+R64*'08_Premissas_Custos'!$C$17+S64*'08_Premissas_Custos'!$C$18+T64*'08_Premissas_Custos'!$C$19+U64*'08_Premissas_Custos'!$C$20)*(1-H64)*IF(E64="Fase 2",'08_Premissas_Custos'!$F$10,1)</f>
        <v/>
      </c>
      <c r="Y64" s="93">
        <f>X64*'08_Premissas_Custos'!$F$7</f>
        <v/>
      </c>
      <c r="Z64" s="93">
        <f>(X64+Y64)*'08_Premissas_Custos'!$F$6</f>
        <v/>
      </c>
      <c r="AA64" s="93">
        <f>SUM(X64:Z64)</f>
        <v/>
      </c>
      <c r="AB64" s="14" t="inlineStr">
        <is>
          <t>Pipeline</t>
        </is>
      </c>
    </row>
    <row r="65">
      <c r="A65" s="14" t="n">
        <v>60</v>
      </c>
      <c r="B65" s="14" t="inlineStr">
        <is>
          <t>FOR</t>
        </is>
      </c>
      <c r="C65" s="14" t="inlineStr">
        <is>
          <t>Fornecedores &amp; Negócios</t>
        </is>
      </c>
      <c r="D65" s="14" t="inlineStr">
        <is>
          <t>Contratos / negócios</t>
        </is>
      </c>
      <c r="E65" s="14" t="inlineStr">
        <is>
          <t>Fase 2</t>
        </is>
      </c>
      <c r="F65" s="14" t="inlineStr">
        <is>
          <t>Alta</t>
        </is>
      </c>
      <c r="G65" s="14" t="str"/>
      <c r="H65" s="89" t="n">
        <v>0</v>
      </c>
      <c r="I65" s="44" t="inlineStr">
        <is>
          <t>Não</t>
        </is>
      </c>
      <c r="J65" s="44" t="inlineStr">
        <is>
          <t>Não</t>
        </is>
      </c>
      <c r="K65" s="44" t="inlineStr">
        <is>
          <t>Não</t>
        </is>
      </c>
      <c r="L65" s="44" t="inlineStr">
        <is>
          <t>Não</t>
        </is>
      </c>
      <c r="M65" s="90">
        <f>IF(F65="Baixa",'08_Premissas_Custos'!$B$6,IF(F65="Média",'08_Premissas_Custos'!$B$7,IF(F65="Alta",'08_Premissas_Custos'!$B$8,'08_Premissas_Custos'!$B$9)))</f>
        <v/>
      </c>
      <c r="N65" s="91">
        <f>'08_Premissas_Custos'!$B$13*M65</f>
        <v/>
      </c>
      <c r="O65" s="91">
        <f>'08_Premissas_Custos'!$B$14*M65*(1+IF(L65="Sim",0.25,0))</f>
        <v/>
      </c>
      <c r="P65" s="91">
        <f>'08_Premissas_Custos'!$B$15*M65*(1+IF(I65="Sim",0.20,0)+IF(K65="Sim",0.15,0))</f>
        <v/>
      </c>
      <c r="Q65" s="91">
        <f>'08_Premissas_Custos'!$B$16*M65*IF(J65="Sim",1.6,0.55)</f>
        <v/>
      </c>
      <c r="R65" s="91">
        <f>'08_Premissas_Custos'!$B$17*M65*IF(I65="Sim",1.8,0.15)</f>
        <v/>
      </c>
      <c r="S65" s="91">
        <f>'08_Premissas_Custos'!$B$18*M65*(1+IF(I65="Sim",0.15)+IF(L65="Sim",0.10))</f>
        <v/>
      </c>
      <c r="T65" s="91">
        <f>'08_Premissas_Custos'!$B$19*M65*(1+IF(J65="Sim",0.15))</f>
        <v/>
      </c>
      <c r="U65" s="91">
        <f>'08_Premissas_Custos'!$B$20*M65*IF(K65="Sim",1.8,0.7)</f>
        <v/>
      </c>
      <c r="V65" s="92">
        <f>SUM(N65:U65)</f>
        <v/>
      </c>
      <c r="W65" s="92">
        <f>V65*(1-H65)*IF(E65="Fase 2",'08_Premissas_Custos'!$F$10,1)</f>
        <v/>
      </c>
      <c r="X65" s="93">
        <f>(N65*'08_Premissas_Custos'!$C$13+O65*'08_Premissas_Custos'!$C$14+P65*'08_Premissas_Custos'!$C$15+Q65*'08_Premissas_Custos'!$C$16+R65*'08_Premissas_Custos'!$C$17+S65*'08_Premissas_Custos'!$C$18+T65*'08_Premissas_Custos'!$C$19+U65*'08_Premissas_Custos'!$C$20)*(1-H65)*IF(E65="Fase 2",'08_Premissas_Custos'!$F$10,1)</f>
        <v/>
      </c>
      <c r="Y65" s="93">
        <f>X65*'08_Premissas_Custos'!$F$7</f>
        <v/>
      </c>
      <c r="Z65" s="93">
        <f>(X65+Y65)*'08_Premissas_Custos'!$F$6</f>
        <v/>
      </c>
      <c r="AA65" s="93">
        <f>SUM(X65:Z65)</f>
        <v/>
      </c>
      <c r="AB65" s="14" t="inlineStr">
        <is>
          <t>Conversão</t>
        </is>
      </c>
    </row>
    <row r="66">
      <c r="A66" s="14" t="n">
        <v>61</v>
      </c>
      <c r="B66" s="14" t="inlineStr">
        <is>
          <t>FOR</t>
        </is>
      </c>
      <c r="C66" s="14" t="inlineStr">
        <is>
          <t>Fornecedores &amp; Negócios</t>
        </is>
      </c>
      <c r="D66" s="14" t="inlineStr">
        <is>
          <t>Indicadores do ecossistema</t>
        </is>
      </c>
      <c r="E66" s="14" t="inlineStr">
        <is>
          <t>MVP+1</t>
        </is>
      </c>
      <c r="F66" s="14" t="inlineStr">
        <is>
          <t>Alta</t>
        </is>
      </c>
      <c r="G66" s="14" t="inlineStr">
        <is>
          <t>Indicadores do ecossistema</t>
        </is>
      </c>
      <c r="H66" s="89" t="n">
        <v>0.45</v>
      </c>
      <c r="I66" s="44" t="inlineStr">
        <is>
          <t>Não</t>
        </is>
      </c>
      <c r="J66" s="44" t="inlineStr">
        <is>
          <t>Sim</t>
        </is>
      </c>
      <c r="K66" s="44" t="inlineStr">
        <is>
          <t>Não</t>
        </is>
      </c>
      <c r="L66" s="44" t="inlineStr">
        <is>
          <t>Não</t>
        </is>
      </c>
      <c r="M66" s="90">
        <f>IF(F66="Baixa",'08_Premissas_Custos'!$B$6,IF(F66="Média",'08_Premissas_Custos'!$B$7,IF(F66="Alta",'08_Premissas_Custos'!$B$8,'08_Premissas_Custos'!$B$9)))</f>
        <v/>
      </c>
      <c r="N66" s="91">
        <f>'08_Premissas_Custos'!$B$13*M66</f>
        <v/>
      </c>
      <c r="O66" s="91">
        <f>'08_Premissas_Custos'!$B$14*M66*(1+IF(L66="Sim",0.25,0))</f>
        <v/>
      </c>
      <c r="P66" s="91">
        <f>'08_Premissas_Custos'!$B$15*M66*(1+IF(I66="Sim",0.20,0)+IF(K66="Sim",0.15,0))</f>
        <v/>
      </c>
      <c r="Q66" s="91">
        <f>'08_Premissas_Custos'!$B$16*M66*IF(J66="Sim",1.6,0.55)</f>
        <v/>
      </c>
      <c r="R66" s="91">
        <f>'08_Premissas_Custos'!$B$17*M66*IF(I66="Sim",1.8,0.15)</f>
        <v/>
      </c>
      <c r="S66" s="91">
        <f>'08_Premissas_Custos'!$B$18*M66*(1+IF(I66="Sim",0.15)+IF(L66="Sim",0.10))</f>
        <v/>
      </c>
      <c r="T66" s="91">
        <f>'08_Premissas_Custos'!$B$19*M66*(1+IF(J66="Sim",0.15))</f>
        <v/>
      </c>
      <c r="U66" s="91">
        <f>'08_Premissas_Custos'!$B$20*M66*IF(K66="Sim",1.8,0.7)</f>
        <v/>
      </c>
      <c r="V66" s="92">
        <f>SUM(N66:U66)</f>
        <v/>
      </c>
      <c r="W66" s="92">
        <f>V66*(1-H66)*IF(E66="Fase 2",'08_Premissas_Custos'!$F$10,1)</f>
        <v/>
      </c>
      <c r="X66" s="93">
        <f>(N66*'08_Premissas_Custos'!$C$13+O66*'08_Premissas_Custos'!$C$14+P66*'08_Premissas_Custos'!$C$15+Q66*'08_Premissas_Custos'!$C$16+R66*'08_Premissas_Custos'!$C$17+S66*'08_Premissas_Custos'!$C$18+T66*'08_Premissas_Custos'!$C$19+U66*'08_Premissas_Custos'!$C$20)*(1-H66)*IF(E66="Fase 2",'08_Premissas_Custos'!$F$10,1)</f>
        <v/>
      </c>
      <c r="Y66" s="93">
        <f>X66*'08_Premissas_Custos'!$F$7</f>
        <v/>
      </c>
      <c r="Z66" s="93">
        <f>(X66+Y66)*'08_Premissas_Custos'!$F$6</f>
        <v/>
      </c>
      <c r="AA66" s="93">
        <f>SUM(X66:Z66)</f>
        <v/>
      </c>
      <c r="AB66" s="14" t="inlineStr">
        <is>
          <t>Impacto</t>
        </is>
      </c>
    </row>
    <row r="67">
      <c r="A67" s="14" t="n">
        <v>62</v>
      </c>
      <c r="B67" s="14" t="inlineStr">
        <is>
          <t>ACA</t>
        </is>
      </c>
      <c r="C67" s="14" t="inlineStr">
        <is>
          <t>Acadêmico / Universidades</t>
        </is>
      </c>
      <c r="D67" s="14" t="inlineStr">
        <is>
          <t>Portal da universidade</t>
        </is>
      </c>
      <c r="E67" s="14" t="inlineStr">
        <is>
          <t>Fase 2</t>
        </is>
      </c>
      <c r="F67" s="14" t="inlineStr">
        <is>
          <t>Média</t>
        </is>
      </c>
      <c r="G67" s="14" t="str"/>
      <c r="H67" s="89" t="n">
        <v>0</v>
      </c>
      <c r="I67" s="44" t="inlineStr">
        <is>
          <t>Não</t>
        </is>
      </c>
      <c r="J67" s="44" t="inlineStr">
        <is>
          <t>Não</t>
        </is>
      </c>
      <c r="K67" s="44" t="inlineStr">
        <is>
          <t>Não</t>
        </is>
      </c>
      <c r="L67" s="44" t="inlineStr">
        <is>
          <t>Não</t>
        </is>
      </c>
      <c r="M67" s="90">
        <f>IF(F67="Baixa",'08_Premissas_Custos'!$B$6,IF(F67="Média",'08_Premissas_Custos'!$B$7,IF(F67="Alta",'08_Premissas_Custos'!$B$8,'08_Premissas_Custos'!$B$9)))</f>
        <v/>
      </c>
      <c r="N67" s="91">
        <f>'08_Premissas_Custos'!$B$13*M67</f>
        <v/>
      </c>
      <c r="O67" s="91">
        <f>'08_Premissas_Custos'!$B$14*M67*(1+IF(L67="Sim",0.25,0))</f>
        <v/>
      </c>
      <c r="P67" s="91">
        <f>'08_Premissas_Custos'!$B$15*M67*(1+IF(I67="Sim",0.20,0)+IF(K67="Sim",0.15,0))</f>
        <v/>
      </c>
      <c r="Q67" s="91">
        <f>'08_Premissas_Custos'!$B$16*M67*IF(J67="Sim",1.6,0.55)</f>
        <v/>
      </c>
      <c r="R67" s="91">
        <f>'08_Premissas_Custos'!$B$17*M67*IF(I67="Sim",1.8,0.15)</f>
        <v/>
      </c>
      <c r="S67" s="91">
        <f>'08_Premissas_Custos'!$B$18*M67*(1+IF(I67="Sim",0.15)+IF(L67="Sim",0.10))</f>
        <v/>
      </c>
      <c r="T67" s="91">
        <f>'08_Premissas_Custos'!$B$19*M67*(1+IF(J67="Sim",0.15))</f>
        <v/>
      </c>
      <c r="U67" s="91">
        <f>'08_Premissas_Custos'!$B$20*M67*IF(K67="Sim",1.8,0.7)</f>
        <v/>
      </c>
      <c r="V67" s="92">
        <f>SUM(N67:U67)</f>
        <v/>
      </c>
      <c r="W67" s="92">
        <f>V67*(1-H67)*IF(E67="Fase 2",'08_Premissas_Custos'!$F$10,1)</f>
        <v/>
      </c>
      <c r="X67" s="93">
        <f>(N67*'08_Premissas_Custos'!$C$13+O67*'08_Premissas_Custos'!$C$14+P67*'08_Premissas_Custos'!$C$15+Q67*'08_Premissas_Custos'!$C$16+R67*'08_Premissas_Custos'!$C$17+S67*'08_Premissas_Custos'!$C$18+T67*'08_Premissas_Custos'!$C$19+U67*'08_Premissas_Custos'!$C$20)*(1-H67)*IF(E67="Fase 2",'08_Premissas_Custos'!$F$10,1)</f>
        <v/>
      </c>
      <c r="Y67" s="93">
        <f>X67*'08_Premissas_Custos'!$F$7</f>
        <v/>
      </c>
      <c r="Z67" s="93">
        <f>(X67+Y67)*'08_Premissas_Custos'!$F$6</f>
        <v/>
      </c>
      <c r="AA67" s="93">
        <f>SUM(X67:Z67)</f>
        <v/>
      </c>
      <c r="AB67" s="14" t="inlineStr">
        <is>
          <t>Institucional</t>
        </is>
      </c>
    </row>
    <row r="68">
      <c r="A68" s="14" t="n">
        <v>63</v>
      </c>
      <c r="B68" s="14" t="inlineStr">
        <is>
          <t>ACA</t>
        </is>
      </c>
      <c r="C68" s="14" t="inlineStr">
        <is>
          <t>Acadêmico / Universidades</t>
        </is>
      </c>
      <c r="D68" s="14" t="inlineStr">
        <is>
          <t>Perfil acadêmico do aluno</t>
        </is>
      </c>
      <c r="E68" s="14" t="inlineStr">
        <is>
          <t>Fase 2</t>
        </is>
      </c>
      <c r="F68" s="14" t="inlineStr">
        <is>
          <t>Média</t>
        </is>
      </c>
      <c r="G68" s="14" t="inlineStr">
        <is>
          <t>Perfil acadêmico do aluno</t>
        </is>
      </c>
      <c r="H68" s="89" t="n">
        <v>0.45</v>
      </c>
      <c r="I68" s="44" t="inlineStr">
        <is>
          <t>Não</t>
        </is>
      </c>
      <c r="J68" s="44" t="inlineStr">
        <is>
          <t>Não</t>
        </is>
      </c>
      <c r="K68" s="44" t="inlineStr">
        <is>
          <t>Não</t>
        </is>
      </c>
      <c r="L68" s="44" t="inlineStr">
        <is>
          <t>Sim</t>
        </is>
      </c>
      <c r="M68" s="90">
        <f>IF(F68="Baixa",'08_Premissas_Custos'!$B$6,IF(F68="Média",'08_Premissas_Custos'!$B$7,IF(F68="Alta",'08_Premissas_Custos'!$B$8,'08_Premissas_Custos'!$B$9)))</f>
        <v/>
      </c>
      <c r="N68" s="91">
        <f>'08_Premissas_Custos'!$B$13*M68</f>
        <v/>
      </c>
      <c r="O68" s="91">
        <f>'08_Premissas_Custos'!$B$14*M68*(1+IF(L68="Sim",0.25,0))</f>
        <v/>
      </c>
      <c r="P68" s="91">
        <f>'08_Premissas_Custos'!$B$15*M68*(1+IF(I68="Sim",0.20,0)+IF(K68="Sim",0.15,0))</f>
        <v/>
      </c>
      <c r="Q68" s="91">
        <f>'08_Premissas_Custos'!$B$16*M68*IF(J68="Sim",1.6,0.55)</f>
        <v/>
      </c>
      <c r="R68" s="91">
        <f>'08_Premissas_Custos'!$B$17*M68*IF(I68="Sim",1.8,0.15)</f>
        <v/>
      </c>
      <c r="S68" s="91">
        <f>'08_Premissas_Custos'!$B$18*M68*(1+IF(I68="Sim",0.15)+IF(L68="Sim",0.10))</f>
        <v/>
      </c>
      <c r="T68" s="91">
        <f>'08_Premissas_Custos'!$B$19*M68*(1+IF(J68="Sim",0.15))</f>
        <v/>
      </c>
      <c r="U68" s="91">
        <f>'08_Premissas_Custos'!$B$20*M68*IF(K68="Sim",1.8,0.7)</f>
        <v/>
      </c>
      <c r="V68" s="92">
        <f>SUM(N68:U68)</f>
        <v/>
      </c>
      <c r="W68" s="92">
        <f>V68*(1-H68)*IF(E68="Fase 2",'08_Premissas_Custos'!$F$10,1)</f>
        <v/>
      </c>
      <c r="X68" s="93">
        <f>(N68*'08_Premissas_Custos'!$C$13+O68*'08_Premissas_Custos'!$C$14+P68*'08_Premissas_Custos'!$C$15+Q68*'08_Premissas_Custos'!$C$16+R68*'08_Premissas_Custos'!$C$17+S68*'08_Premissas_Custos'!$C$18+T68*'08_Premissas_Custos'!$C$19+U68*'08_Premissas_Custos'!$C$20)*(1-H68)*IF(E68="Fase 2",'08_Premissas_Custos'!$F$10,1)</f>
        <v/>
      </c>
      <c r="Y68" s="93">
        <f>X68*'08_Premissas_Custos'!$F$7</f>
        <v/>
      </c>
      <c r="Z68" s="93">
        <f>(X68+Y68)*'08_Premissas_Custos'!$F$6</f>
        <v/>
      </c>
      <c r="AA68" s="93">
        <f>SUM(X68:Z68)</f>
        <v/>
      </c>
      <c r="AB68" s="14" t="inlineStr">
        <is>
          <t>Formação</t>
        </is>
      </c>
    </row>
    <row r="69">
      <c r="A69" s="14" t="n">
        <v>64</v>
      </c>
      <c r="B69" s="14" t="inlineStr">
        <is>
          <t>ACA</t>
        </is>
      </c>
      <c r="C69" s="14" t="inlineStr">
        <is>
          <t>Acadêmico / Universidades</t>
        </is>
      </c>
      <c r="D69" s="14" t="inlineStr">
        <is>
          <t>Perfil pesquisador/docente</t>
        </is>
      </c>
      <c r="E69" s="14" t="inlineStr">
        <is>
          <t>Fase 2</t>
        </is>
      </c>
      <c r="F69" s="14" t="inlineStr">
        <is>
          <t>Média</t>
        </is>
      </c>
      <c r="G69" s="14" t="inlineStr">
        <is>
          <t>Perfil pesquisador/docente</t>
        </is>
      </c>
      <c r="H69" s="89" t="n">
        <v>0.45</v>
      </c>
      <c r="I69" s="44" t="inlineStr">
        <is>
          <t>Não</t>
        </is>
      </c>
      <c r="J69" s="44" t="inlineStr">
        <is>
          <t>Sim</t>
        </is>
      </c>
      <c r="K69" s="44" t="inlineStr">
        <is>
          <t>Não</t>
        </is>
      </c>
      <c r="L69" s="44" t="inlineStr">
        <is>
          <t>Não</t>
        </is>
      </c>
      <c r="M69" s="90">
        <f>IF(F69="Baixa",'08_Premissas_Custos'!$B$6,IF(F69="Média",'08_Premissas_Custos'!$B$7,IF(F69="Alta",'08_Premissas_Custos'!$B$8,'08_Premissas_Custos'!$B$9)))</f>
        <v/>
      </c>
      <c r="N69" s="91">
        <f>'08_Premissas_Custos'!$B$13*M69</f>
        <v/>
      </c>
      <c r="O69" s="91">
        <f>'08_Premissas_Custos'!$B$14*M69*(1+IF(L69="Sim",0.25,0))</f>
        <v/>
      </c>
      <c r="P69" s="91">
        <f>'08_Premissas_Custos'!$B$15*M69*(1+IF(I69="Sim",0.20,0)+IF(K69="Sim",0.15,0))</f>
        <v/>
      </c>
      <c r="Q69" s="91">
        <f>'08_Premissas_Custos'!$B$16*M69*IF(J69="Sim",1.6,0.55)</f>
        <v/>
      </c>
      <c r="R69" s="91">
        <f>'08_Premissas_Custos'!$B$17*M69*IF(I69="Sim",1.8,0.15)</f>
        <v/>
      </c>
      <c r="S69" s="91">
        <f>'08_Premissas_Custos'!$B$18*M69*(1+IF(I69="Sim",0.15)+IF(L69="Sim",0.10))</f>
        <v/>
      </c>
      <c r="T69" s="91">
        <f>'08_Premissas_Custos'!$B$19*M69*(1+IF(J69="Sim",0.15))</f>
        <v/>
      </c>
      <c r="U69" s="91">
        <f>'08_Premissas_Custos'!$B$20*M69*IF(K69="Sim",1.8,0.7)</f>
        <v/>
      </c>
      <c r="V69" s="92">
        <f>SUM(N69:U69)</f>
        <v/>
      </c>
      <c r="W69" s="92">
        <f>V69*(1-H69)*IF(E69="Fase 2",'08_Premissas_Custos'!$F$10,1)</f>
        <v/>
      </c>
      <c r="X69" s="93">
        <f>(N69*'08_Premissas_Custos'!$C$13+O69*'08_Premissas_Custos'!$C$14+P69*'08_Premissas_Custos'!$C$15+Q69*'08_Premissas_Custos'!$C$16+R69*'08_Premissas_Custos'!$C$17+S69*'08_Premissas_Custos'!$C$18+T69*'08_Premissas_Custos'!$C$19+U69*'08_Premissas_Custos'!$C$20)*(1-H69)*IF(E69="Fase 2",'08_Premissas_Custos'!$F$10,1)</f>
        <v/>
      </c>
      <c r="Y69" s="93">
        <f>X69*'08_Premissas_Custos'!$F$7</f>
        <v/>
      </c>
      <c r="Z69" s="93">
        <f>(X69+Y69)*'08_Premissas_Custos'!$F$6</f>
        <v/>
      </c>
      <c r="AA69" s="93">
        <f>SUM(X69:Z69)</f>
        <v/>
      </c>
      <c r="AB69" s="14" t="inlineStr">
        <is>
          <t>Linhas</t>
        </is>
      </c>
    </row>
    <row r="70">
      <c r="A70" s="14" t="n">
        <v>65</v>
      </c>
      <c r="B70" s="14" t="inlineStr">
        <is>
          <t>ACA</t>
        </is>
      </c>
      <c r="C70" s="14" t="inlineStr">
        <is>
          <t>Acadêmico / Universidades</t>
        </is>
      </c>
      <c r="D70" s="14" t="inlineStr">
        <is>
          <t>Oportunidades acadêmicas</t>
        </is>
      </c>
      <c r="E70" s="14" t="inlineStr">
        <is>
          <t>Fase 2</t>
        </is>
      </c>
      <c r="F70" s="14" t="inlineStr">
        <is>
          <t>Média</t>
        </is>
      </c>
      <c r="G70" s="14" t="str"/>
      <c r="H70" s="89" t="n">
        <v>0</v>
      </c>
      <c r="I70" s="44" t="inlineStr">
        <is>
          <t>Não</t>
        </is>
      </c>
      <c r="J70" s="44" t="inlineStr">
        <is>
          <t>Não</t>
        </is>
      </c>
      <c r="K70" s="44" t="inlineStr">
        <is>
          <t>Não</t>
        </is>
      </c>
      <c r="L70" s="44" t="inlineStr">
        <is>
          <t>Sim</t>
        </is>
      </c>
      <c r="M70" s="90">
        <f>IF(F70="Baixa",'08_Premissas_Custos'!$B$6,IF(F70="Média",'08_Premissas_Custos'!$B$7,IF(F70="Alta",'08_Premissas_Custos'!$B$8,'08_Premissas_Custos'!$B$9)))</f>
        <v/>
      </c>
      <c r="N70" s="91">
        <f>'08_Premissas_Custos'!$B$13*M70</f>
        <v/>
      </c>
      <c r="O70" s="91">
        <f>'08_Premissas_Custos'!$B$14*M70*(1+IF(L70="Sim",0.25,0))</f>
        <v/>
      </c>
      <c r="P70" s="91">
        <f>'08_Premissas_Custos'!$B$15*M70*(1+IF(I70="Sim",0.20,0)+IF(K70="Sim",0.15,0))</f>
        <v/>
      </c>
      <c r="Q70" s="91">
        <f>'08_Premissas_Custos'!$B$16*M70*IF(J70="Sim",1.6,0.55)</f>
        <v/>
      </c>
      <c r="R70" s="91">
        <f>'08_Premissas_Custos'!$B$17*M70*IF(I70="Sim",1.8,0.15)</f>
        <v/>
      </c>
      <c r="S70" s="91">
        <f>'08_Premissas_Custos'!$B$18*M70*(1+IF(I70="Sim",0.15)+IF(L70="Sim",0.10))</f>
        <v/>
      </c>
      <c r="T70" s="91">
        <f>'08_Premissas_Custos'!$B$19*M70*(1+IF(J70="Sim",0.15))</f>
        <v/>
      </c>
      <c r="U70" s="91">
        <f>'08_Premissas_Custos'!$B$20*M70*IF(K70="Sim",1.8,0.7)</f>
        <v/>
      </c>
      <c r="V70" s="92">
        <f>SUM(N70:U70)</f>
        <v/>
      </c>
      <c r="W70" s="92">
        <f>V70*(1-H70)*IF(E70="Fase 2",'08_Premissas_Custos'!$F$10,1)</f>
        <v/>
      </c>
      <c r="X70" s="93">
        <f>(N70*'08_Premissas_Custos'!$C$13+O70*'08_Premissas_Custos'!$C$14+P70*'08_Premissas_Custos'!$C$15+Q70*'08_Premissas_Custos'!$C$16+R70*'08_Premissas_Custos'!$C$17+S70*'08_Premissas_Custos'!$C$18+T70*'08_Premissas_Custos'!$C$19+U70*'08_Premissas_Custos'!$C$20)*(1-H70)*IF(E70="Fase 2",'08_Premissas_Custos'!$F$10,1)</f>
        <v/>
      </c>
      <c r="Y70" s="93">
        <f>X70*'08_Premissas_Custos'!$F$7</f>
        <v/>
      </c>
      <c r="Z70" s="93">
        <f>(X70+Y70)*'08_Premissas_Custos'!$F$6</f>
        <v/>
      </c>
      <c r="AA70" s="93">
        <f>SUM(X70:Z70)</f>
        <v/>
      </c>
      <c r="AB70" s="14" t="inlineStr">
        <is>
          <t>Bolsas/projetos</t>
        </is>
      </c>
    </row>
    <row r="71">
      <c r="A71" s="14" t="n">
        <v>66</v>
      </c>
      <c r="B71" s="14" t="inlineStr">
        <is>
          <t>ACA</t>
        </is>
      </c>
      <c r="C71" s="14" t="inlineStr">
        <is>
          <t>Acadêmico / Universidades</t>
        </is>
      </c>
      <c r="D71" s="14" t="inlineStr">
        <is>
          <t>Projetos empresa-universidade</t>
        </is>
      </c>
      <c r="E71" s="14" t="inlineStr">
        <is>
          <t>Fase 2</t>
        </is>
      </c>
      <c r="F71" s="14" t="inlineStr">
        <is>
          <t>Alta</t>
        </is>
      </c>
      <c r="G71" s="14" t="str"/>
      <c r="H71" s="89" t="n">
        <v>0</v>
      </c>
      <c r="I71" s="44" t="inlineStr">
        <is>
          <t>Não</t>
        </is>
      </c>
      <c r="J71" s="44" t="inlineStr">
        <is>
          <t>Não</t>
        </is>
      </c>
      <c r="K71" s="44" t="inlineStr">
        <is>
          <t>Não</t>
        </is>
      </c>
      <c r="L71" s="44" t="inlineStr">
        <is>
          <t>Não</t>
        </is>
      </c>
      <c r="M71" s="90">
        <f>IF(F71="Baixa",'08_Premissas_Custos'!$B$6,IF(F71="Média",'08_Premissas_Custos'!$B$7,IF(F71="Alta",'08_Premissas_Custos'!$B$8,'08_Premissas_Custos'!$B$9)))</f>
        <v/>
      </c>
      <c r="N71" s="91">
        <f>'08_Premissas_Custos'!$B$13*M71</f>
        <v/>
      </c>
      <c r="O71" s="91">
        <f>'08_Premissas_Custos'!$B$14*M71*(1+IF(L71="Sim",0.25,0))</f>
        <v/>
      </c>
      <c r="P71" s="91">
        <f>'08_Premissas_Custos'!$B$15*M71*(1+IF(I71="Sim",0.20,0)+IF(K71="Sim",0.15,0))</f>
        <v/>
      </c>
      <c r="Q71" s="91">
        <f>'08_Premissas_Custos'!$B$16*M71*IF(J71="Sim",1.6,0.55)</f>
        <v/>
      </c>
      <c r="R71" s="91">
        <f>'08_Premissas_Custos'!$B$17*M71*IF(I71="Sim",1.8,0.15)</f>
        <v/>
      </c>
      <c r="S71" s="91">
        <f>'08_Premissas_Custos'!$B$18*M71*(1+IF(I71="Sim",0.15)+IF(L71="Sim",0.10))</f>
        <v/>
      </c>
      <c r="T71" s="91">
        <f>'08_Premissas_Custos'!$B$19*M71*(1+IF(J71="Sim",0.15))</f>
        <v/>
      </c>
      <c r="U71" s="91">
        <f>'08_Premissas_Custos'!$B$20*M71*IF(K71="Sim",1.8,0.7)</f>
        <v/>
      </c>
      <c r="V71" s="92">
        <f>SUM(N71:U71)</f>
        <v/>
      </c>
      <c r="W71" s="92">
        <f>V71*(1-H71)*IF(E71="Fase 2",'08_Premissas_Custos'!$F$10,1)</f>
        <v/>
      </c>
      <c r="X71" s="93">
        <f>(N71*'08_Premissas_Custos'!$C$13+O71*'08_Premissas_Custos'!$C$14+P71*'08_Premissas_Custos'!$C$15+Q71*'08_Premissas_Custos'!$C$16+R71*'08_Premissas_Custos'!$C$17+S71*'08_Premissas_Custos'!$C$18+T71*'08_Premissas_Custos'!$C$19+U71*'08_Premissas_Custos'!$C$20)*(1-H71)*IF(E71="Fase 2",'08_Premissas_Custos'!$F$10,1)</f>
        <v/>
      </c>
      <c r="Y71" s="93">
        <f>X71*'08_Premissas_Custos'!$F$7</f>
        <v/>
      </c>
      <c r="Z71" s="93">
        <f>(X71+Y71)*'08_Premissas_Custos'!$F$6</f>
        <v/>
      </c>
      <c r="AA71" s="93">
        <f>SUM(X71:Z71)</f>
        <v/>
      </c>
      <c r="AB71" s="14" t="inlineStr">
        <is>
          <t>Desafios</t>
        </is>
      </c>
    </row>
    <row r="72">
      <c r="A72" s="14" t="n">
        <v>67</v>
      </c>
      <c r="B72" s="14" t="inlineStr">
        <is>
          <t>ACA</t>
        </is>
      </c>
      <c r="C72" s="14" t="inlineStr">
        <is>
          <t>Acadêmico / Universidades</t>
        </is>
      </c>
      <c r="D72" s="14" t="inlineStr">
        <is>
          <t>Match aluno-projeto</t>
        </is>
      </c>
      <c r="E72" s="14" t="inlineStr">
        <is>
          <t>Fase 2</t>
        </is>
      </c>
      <c r="F72" s="14" t="inlineStr">
        <is>
          <t>Alta</t>
        </is>
      </c>
      <c r="G72" s="14" t="str"/>
      <c r="H72" s="89" t="n">
        <v>0</v>
      </c>
      <c r="I72" s="44" t="inlineStr">
        <is>
          <t>Sim</t>
        </is>
      </c>
      <c r="J72" s="44" t="inlineStr">
        <is>
          <t>Não</t>
        </is>
      </c>
      <c r="K72" s="44" t="inlineStr">
        <is>
          <t>Não</t>
        </is>
      </c>
      <c r="L72" s="44" t="inlineStr">
        <is>
          <t>Não</t>
        </is>
      </c>
      <c r="M72" s="90">
        <f>IF(F72="Baixa",'08_Premissas_Custos'!$B$6,IF(F72="Média",'08_Premissas_Custos'!$B$7,IF(F72="Alta",'08_Premissas_Custos'!$B$8,'08_Premissas_Custos'!$B$9)))</f>
        <v/>
      </c>
      <c r="N72" s="91">
        <f>'08_Premissas_Custos'!$B$13*M72</f>
        <v/>
      </c>
      <c r="O72" s="91">
        <f>'08_Premissas_Custos'!$B$14*M72*(1+IF(L72="Sim",0.25,0))</f>
        <v/>
      </c>
      <c r="P72" s="91">
        <f>'08_Premissas_Custos'!$B$15*M72*(1+IF(I72="Sim",0.20,0)+IF(K72="Sim",0.15,0))</f>
        <v/>
      </c>
      <c r="Q72" s="91">
        <f>'08_Premissas_Custos'!$B$16*M72*IF(J72="Sim",1.6,0.55)</f>
        <v/>
      </c>
      <c r="R72" s="91">
        <f>'08_Premissas_Custos'!$B$17*M72*IF(I72="Sim",1.8,0.15)</f>
        <v/>
      </c>
      <c r="S72" s="91">
        <f>'08_Premissas_Custos'!$B$18*M72*(1+IF(I72="Sim",0.15)+IF(L72="Sim",0.10))</f>
        <v/>
      </c>
      <c r="T72" s="91">
        <f>'08_Premissas_Custos'!$B$19*M72*(1+IF(J72="Sim",0.15))</f>
        <v/>
      </c>
      <c r="U72" s="91">
        <f>'08_Premissas_Custos'!$B$20*M72*IF(K72="Sim",1.8,0.7)</f>
        <v/>
      </c>
      <c r="V72" s="92">
        <f>SUM(N72:U72)</f>
        <v/>
      </c>
      <c r="W72" s="92">
        <f>V72*(1-H72)*IF(E72="Fase 2",'08_Premissas_Custos'!$F$10,1)</f>
        <v/>
      </c>
      <c r="X72" s="93">
        <f>(N72*'08_Premissas_Custos'!$C$13+O72*'08_Premissas_Custos'!$C$14+P72*'08_Premissas_Custos'!$C$15+Q72*'08_Premissas_Custos'!$C$16+R72*'08_Premissas_Custos'!$C$17+S72*'08_Premissas_Custos'!$C$18+T72*'08_Premissas_Custos'!$C$19+U72*'08_Premissas_Custos'!$C$20)*(1-H72)*IF(E72="Fase 2",'08_Premissas_Custos'!$F$10,1)</f>
        <v/>
      </c>
      <c r="Y72" s="93">
        <f>X72*'08_Premissas_Custos'!$F$7</f>
        <v/>
      </c>
      <c r="Z72" s="93">
        <f>(X72+Y72)*'08_Premissas_Custos'!$F$6</f>
        <v/>
      </c>
      <c r="AA72" s="93">
        <f>SUM(X72:Z72)</f>
        <v/>
      </c>
      <c r="AB72" s="14" t="inlineStr">
        <is>
          <t>Aderência</t>
        </is>
      </c>
    </row>
    <row r="73">
      <c r="A73" s="14" t="n">
        <v>68</v>
      </c>
      <c r="B73" s="14" t="inlineStr">
        <is>
          <t>ACA</t>
        </is>
      </c>
      <c r="C73" s="14" t="inlineStr">
        <is>
          <t>Acadêmico / Universidades</t>
        </is>
      </c>
      <c r="D73" s="14" t="inlineStr">
        <is>
          <t>Match pesquisador-empresa</t>
        </is>
      </c>
      <c r="E73" s="14" t="inlineStr">
        <is>
          <t>Fase 2</t>
        </is>
      </c>
      <c r="F73" s="14" t="inlineStr">
        <is>
          <t>Muito alta</t>
        </is>
      </c>
      <c r="G73" s="14" t="str"/>
      <c r="H73" s="89" t="n">
        <v>0</v>
      </c>
      <c r="I73" s="44" t="inlineStr">
        <is>
          <t>Sim</t>
        </is>
      </c>
      <c r="J73" s="44" t="inlineStr">
        <is>
          <t>Sim</t>
        </is>
      </c>
      <c r="K73" s="44" t="inlineStr">
        <is>
          <t>Não</t>
        </is>
      </c>
      <c r="L73" s="44" t="inlineStr">
        <is>
          <t>Não</t>
        </is>
      </c>
      <c r="M73" s="90">
        <f>IF(F73="Baixa",'08_Premissas_Custos'!$B$6,IF(F73="Média",'08_Premissas_Custos'!$B$7,IF(F73="Alta",'08_Premissas_Custos'!$B$8,'08_Premissas_Custos'!$B$9)))</f>
        <v/>
      </c>
      <c r="N73" s="91">
        <f>'08_Premissas_Custos'!$B$13*M73</f>
        <v/>
      </c>
      <c r="O73" s="91">
        <f>'08_Premissas_Custos'!$B$14*M73*(1+IF(L73="Sim",0.25,0))</f>
        <v/>
      </c>
      <c r="P73" s="91">
        <f>'08_Premissas_Custos'!$B$15*M73*(1+IF(I73="Sim",0.20,0)+IF(K73="Sim",0.15,0))</f>
        <v/>
      </c>
      <c r="Q73" s="91">
        <f>'08_Premissas_Custos'!$B$16*M73*IF(J73="Sim",1.6,0.55)</f>
        <v/>
      </c>
      <c r="R73" s="91">
        <f>'08_Premissas_Custos'!$B$17*M73*IF(I73="Sim",1.8,0.15)</f>
        <v/>
      </c>
      <c r="S73" s="91">
        <f>'08_Premissas_Custos'!$B$18*M73*(1+IF(I73="Sim",0.15)+IF(L73="Sim",0.10))</f>
        <v/>
      </c>
      <c r="T73" s="91">
        <f>'08_Premissas_Custos'!$B$19*M73*(1+IF(J73="Sim",0.15))</f>
        <v/>
      </c>
      <c r="U73" s="91">
        <f>'08_Premissas_Custos'!$B$20*M73*IF(K73="Sim",1.8,0.7)</f>
        <v/>
      </c>
      <c r="V73" s="92">
        <f>SUM(N73:U73)</f>
        <v/>
      </c>
      <c r="W73" s="92">
        <f>V73*(1-H73)*IF(E73="Fase 2",'08_Premissas_Custos'!$F$10,1)</f>
        <v/>
      </c>
      <c r="X73" s="93">
        <f>(N73*'08_Premissas_Custos'!$C$13+O73*'08_Premissas_Custos'!$C$14+P73*'08_Premissas_Custos'!$C$15+Q73*'08_Premissas_Custos'!$C$16+R73*'08_Premissas_Custos'!$C$17+S73*'08_Premissas_Custos'!$C$18+T73*'08_Premissas_Custos'!$C$19+U73*'08_Premissas_Custos'!$C$20)*(1-H73)*IF(E73="Fase 2",'08_Premissas_Custos'!$F$10,1)</f>
        <v/>
      </c>
      <c r="Y73" s="93">
        <f>X73*'08_Premissas_Custos'!$F$7</f>
        <v/>
      </c>
      <c r="Z73" s="93">
        <f>(X73+Y73)*'08_Premissas_Custos'!$F$6</f>
        <v/>
      </c>
      <c r="AA73" s="93">
        <f>SUM(X73:Z73)</f>
        <v/>
      </c>
      <c r="AB73" s="14" t="inlineStr">
        <is>
          <t>Pesquisa aplicada</t>
        </is>
      </c>
    </row>
    <row r="74">
      <c r="A74" s="14" t="n">
        <v>69</v>
      </c>
      <c r="B74" s="14" t="inlineStr">
        <is>
          <t>ACA</t>
        </is>
      </c>
      <c r="C74" s="14" t="inlineStr">
        <is>
          <t>Acadêmico / Universidades</t>
        </is>
      </c>
      <c r="D74" s="14" t="inlineStr">
        <is>
          <t>Estágios e carreira</t>
        </is>
      </c>
      <c r="E74" s="14" t="inlineStr">
        <is>
          <t>Fase 2</t>
        </is>
      </c>
      <c r="F74" s="14" t="inlineStr">
        <is>
          <t>Alta</t>
        </is>
      </c>
      <c r="G74" s="14" t="str"/>
      <c r="H74" s="89" t="n">
        <v>0</v>
      </c>
      <c r="I74" s="44" t="inlineStr">
        <is>
          <t>Não</t>
        </is>
      </c>
      <c r="J74" s="44" t="inlineStr">
        <is>
          <t>Não</t>
        </is>
      </c>
      <c r="K74" s="44" t="inlineStr">
        <is>
          <t>Não</t>
        </is>
      </c>
      <c r="L74" s="44" t="inlineStr">
        <is>
          <t>Sim</t>
        </is>
      </c>
      <c r="M74" s="90">
        <f>IF(F74="Baixa",'08_Premissas_Custos'!$B$6,IF(F74="Média",'08_Premissas_Custos'!$B$7,IF(F74="Alta",'08_Premissas_Custos'!$B$8,'08_Premissas_Custos'!$B$9)))</f>
        <v/>
      </c>
      <c r="N74" s="91">
        <f>'08_Premissas_Custos'!$B$13*M74</f>
        <v/>
      </c>
      <c r="O74" s="91">
        <f>'08_Premissas_Custos'!$B$14*M74*(1+IF(L74="Sim",0.25,0))</f>
        <v/>
      </c>
      <c r="P74" s="91">
        <f>'08_Premissas_Custos'!$B$15*M74*(1+IF(I74="Sim",0.20,0)+IF(K74="Sim",0.15,0))</f>
        <v/>
      </c>
      <c r="Q74" s="91">
        <f>'08_Premissas_Custos'!$B$16*M74*IF(J74="Sim",1.6,0.55)</f>
        <v/>
      </c>
      <c r="R74" s="91">
        <f>'08_Premissas_Custos'!$B$17*M74*IF(I74="Sim",1.8,0.15)</f>
        <v/>
      </c>
      <c r="S74" s="91">
        <f>'08_Premissas_Custos'!$B$18*M74*(1+IF(I74="Sim",0.15)+IF(L74="Sim",0.10))</f>
        <v/>
      </c>
      <c r="T74" s="91">
        <f>'08_Premissas_Custos'!$B$19*M74*(1+IF(J74="Sim",0.15))</f>
        <v/>
      </c>
      <c r="U74" s="91">
        <f>'08_Premissas_Custos'!$B$20*M74*IF(K74="Sim",1.8,0.7)</f>
        <v/>
      </c>
      <c r="V74" s="92">
        <f>SUM(N74:U74)</f>
        <v/>
      </c>
      <c r="W74" s="92">
        <f>V74*(1-H74)*IF(E74="Fase 2",'08_Premissas_Custos'!$F$10,1)</f>
        <v/>
      </c>
      <c r="X74" s="93">
        <f>(N74*'08_Premissas_Custos'!$C$13+O74*'08_Premissas_Custos'!$C$14+P74*'08_Premissas_Custos'!$C$15+Q74*'08_Premissas_Custos'!$C$16+R74*'08_Premissas_Custos'!$C$17+S74*'08_Premissas_Custos'!$C$18+T74*'08_Premissas_Custos'!$C$19+U74*'08_Premissas_Custos'!$C$20)*(1-H74)*IF(E74="Fase 2",'08_Premissas_Custos'!$F$10,1)</f>
        <v/>
      </c>
      <c r="Y74" s="93">
        <f>X74*'08_Premissas_Custos'!$F$7</f>
        <v/>
      </c>
      <c r="Z74" s="93">
        <f>(X74+Y74)*'08_Premissas_Custos'!$F$6</f>
        <v/>
      </c>
      <c r="AA74" s="93">
        <f>SUM(X74:Z74)</f>
        <v/>
      </c>
      <c r="AB74" s="14" t="inlineStr">
        <is>
          <t>Integra CAN</t>
        </is>
      </c>
    </row>
    <row r="75">
      <c r="A75" s="14" t="n">
        <v>70</v>
      </c>
      <c r="B75" s="14" t="inlineStr">
        <is>
          <t>ACA</t>
        </is>
      </c>
      <c r="C75" s="14" t="inlineStr">
        <is>
          <t>Acadêmico / Universidades</t>
        </is>
      </c>
      <c r="D75" s="14" t="inlineStr">
        <is>
          <t>Bolsas corporativas</t>
        </is>
      </c>
      <c r="E75" s="14" t="inlineStr">
        <is>
          <t>Fase 2</t>
        </is>
      </c>
      <c r="F75" s="14" t="inlineStr">
        <is>
          <t>Média</t>
        </is>
      </c>
      <c r="G75" s="14" t="str"/>
      <c r="H75" s="89" t="n">
        <v>0</v>
      </c>
      <c r="I75" s="44" t="inlineStr">
        <is>
          <t>Não</t>
        </is>
      </c>
      <c r="J75" s="44" t="inlineStr">
        <is>
          <t>Não</t>
        </is>
      </c>
      <c r="K75" s="44" t="inlineStr">
        <is>
          <t>Não</t>
        </is>
      </c>
      <c r="L75" s="44" t="inlineStr">
        <is>
          <t>Não</t>
        </is>
      </c>
      <c r="M75" s="90">
        <f>IF(F75="Baixa",'08_Premissas_Custos'!$B$6,IF(F75="Média",'08_Premissas_Custos'!$B$7,IF(F75="Alta",'08_Premissas_Custos'!$B$8,'08_Premissas_Custos'!$B$9)))</f>
        <v/>
      </c>
      <c r="N75" s="91">
        <f>'08_Premissas_Custos'!$B$13*M75</f>
        <v/>
      </c>
      <c r="O75" s="91">
        <f>'08_Premissas_Custos'!$B$14*M75*(1+IF(L75="Sim",0.25,0))</f>
        <v/>
      </c>
      <c r="P75" s="91">
        <f>'08_Premissas_Custos'!$B$15*M75*(1+IF(I75="Sim",0.20,0)+IF(K75="Sim",0.15,0))</f>
        <v/>
      </c>
      <c r="Q75" s="91">
        <f>'08_Premissas_Custos'!$B$16*M75*IF(J75="Sim",1.6,0.55)</f>
        <v/>
      </c>
      <c r="R75" s="91">
        <f>'08_Premissas_Custos'!$B$17*M75*IF(I75="Sim",1.8,0.15)</f>
        <v/>
      </c>
      <c r="S75" s="91">
        <f>'08_Premissas_Custos'!$B$18*M75*(1+IF(I75="Sim",0.15)+IF(L75="Sim",0.10))</f>
        <v/>
      </c>
      <c r="T75" s="91">
        <f>'08_Premissas_Custos'!$B$19*M75*(1+IF(J75="Sim",0.15))</f>
        <v/>
      </c>
      <c r="U75" s="91">
        <f>'08_Premissas_Custos'!$B$20*M75*IF(K75="Sim",1.8,0.7)</f>
        <v/>
      </c>
      <c r="V75" s="92">
        <f>SUM(N75:U75)</f>
        <v/>
      </c>
      <c r="W75" s="92">
        <f>V75*(1-H75)*IF(E75="Fase 2",'08_Premissas_Custos'!$F$10,1)</f>
        <v/>
      </c>
      <c r="X75" s="93">
        <f>(N75*'08_Premissas_Custos'!$C$13+O75*'08_Premissas_Custos'!$C$14+P75*'08_Premissas_Custos'!$C$15+Q75*'08_Premissas_Custos'!$C$16+R75*'08_Premissas_Custos'!$C$17+S75*'08_Premissas_Custos'!$C$18+T75*'08_Premissas_Custos'!$C$19+U75*'08_Premissas_Custos'!$C$20)*(1-H75)*IF(E75="Fase 2",'08_Premissas_Custos'!$F$10,1)</f>
        <v/>
      </c>
      <c r="Y75" s="93">
        <f>X75*'08_Premissas_Custos'!$F$7</f>
        <v/>
      </c>
      <c r="Z75" s="93">
        <f>(X75+Y75)*'08_Premissas_Custos'!$F$6</f>
        <v/>
      </c>
      <c r="AA75" s="93">
        <f>SUM(X75:Z75)</f>
        <v/>
      </c>
      <c r="AB75" s="14" t="inlineStr">
        <is>
          <t>Empresa-&gt;aluno</t>
        </is>
      </c>
    </row>
    <row r="76">
      <c r="A76" s="14" t="n">
        <v>71</v>
      </c>
      <c r="B76" s="14" t="inlineStr">
        <is>
          <t>ACA</t>
        </is>
      </c>
      <c r="C76" s="14" t="inlineStr">
        <is>
          <t>Acadêmico / Universidades</t>
        </is>
      </c>
      <c r="D76" s="14" t="inlineStr">
        <is>
          <t>Formação / trilhas</t>
        </is>
      </c>
      <c r="E76" s="14" t="inlineStr">
        <is>
          <t>Fase 2</t>
        </is>
      </c>
      <c r="F76" s="14" t="inlineStr">
        <is>
          <t>Média</t>
        </is>
      </c>
      <c r="G76" s="14" t="str"/>
      <c r="H76" s="89" t="n">
        <v>0</v>
      </c>
      <c r="I76" s="44" t="inlineStr">
        <is>
          <t>Não</t>
        </is>
      </c>
      <c r="J76" s="44" t="inlineStr">
        <is>
          <t>Não</t>
        </is>
      </c>
      <c r="K76" s="44" t="inlineStr">
        <is>
          <t>Não</t>
        </is>
      </c>
      <c r="L76" s="44" t="inlineStr">
        <is>
          <t>Sim</t>
        </is>
      </c>
      <c r="M76" s="90">
        <f>IF(F76="Baixa",'08_Premissas_Custos'!$B$6,IF(F76="Média",'08_Premissas_Custos'!$B$7,IF(F76="Alta",'08_Premissas_Custos'!$B$8,'08_Premissas_Custos'!$B$9)))</f>
        <v/>
      </c>
      <c r="N76" s="91">
        <f>'08_Premissas_Custos'!$B$13*M76</f>
        <v/>
      </c>
      <c r="O76" s="91">
        <f>'08_Premissas_Custos'!$B$14*M76*(1+IF(L76="Sim",0.25,0))</f>
        <v/>
      </c>
      <c r="P76" s="91">
        <f>'08_Premissas_Custos'!$B$15*M76*(1+IF(I76="Sim",0.20,0)+IF(K76="Sim",0.15,0))</f>
        <v/>
      </c>
      <c r="Q76" s="91">
        <f>'08_Premissas_Custos'!$B$16*M76*IF(J76="Sim",1.6,0.55)</f>
        <v/>
      </c>
      <c r="R76" s="91">
        <f>'08_Premissas_Custos'!$B$17*M76*IF(I76="Sim",1.8,0.15)</f>
        <v/>
      </c>
      <c r="S76" s="91">
        <f>'08_Premissas_Custos'!$B$18*M76*(1+IF(I76="Sim",0.15)+IF(L76="Sim",0.10))</f>
        <v/>
      </c>
      <c r="T76" s="91">
        <f>'08_Premissas_Custos'!$B$19*M76*(1+IF(J76="Sim",0.15))</f>
        <v/>
      </c>
      <c r="U76" s="91">
        <f>'08_Premissas_Custos'!$B$20*M76*IF(K76="Sim",1.8,0.7)</f>
        <v/>
      </c>
      <c r="V76" s="92">
        <f>SUM(N76:U76)</f>
        <v/>
      </c>
      <c r="W76" s="92">
        <f>V76*(1-H76)*IF(E76="Fase 2",'08_Premissas_Custos'!$F$10,1)</f>
        <v/>
      </c>
      <c r="X76" s="93">
        <f>(N76*'08_Premissas_Custos'!$C$13+O76*'08_Premissas_Custos'!$C$14+P76*'08_Premissas_Custos'!$C$15+Q76*'08_Premissas_Custos'!$C$16+R76*'08_Premissas_Custos'!$C$17+S76*'08_Premissas_Custos'!$C$18+T76*'08_Premissas_Custos'!$C$19+U76*'08_Premissas_Custos'!$C$20)*(1-H76)*IF(E76="Fase 2",'08_Premissas_Custos'!$F$10,1)</f>
        <v/>
      </c>
      <c r="Y76" s="93">
        <f>X76*'08_Premissas_Custos'!$F$7</f>
        <v/>
      </c>
      <c r="Z76" s="93">
        <f>(X76+Y76)*'08_Premissas_Custos'!$F$6</f>
        <v/>
      </c>
      <c r="AA76" s="93">
        <f>SUM(X76:Z76)</f>
        <v/>
      </c>
      <c r="AB76" s="14" t="inlineStr">
        <is>
          <t>Desenvolvimento</t>
        </is>
      </c>
    </row>
    <row r="77">
      <c r="A77" s="14" t="n">
        <v>72</v>
      </c>
      <c r="B77" s="14" t="inlineStr">
        <is>
          <t>ACA</t>
        </is>
      </c>
      <c r="C77" s="14" t="inlineStr">
        <is>
          <t>Acadêmico / Universidades</t>
        </is>
      </c>
      <c r="D77" s="14" t="inlineStr">
        <is>
          <t>Acompanhamento de projeto</t>
        </is>
      </c>
      <c r="E77" s="14" t="inlineStr">
        <is>
          <t>Fase 2</t>
        </is>
      </c>
      <c r="F77" s="14" t="inlineStr">
        <is>
          <t>Alta</t>
        </is>
      </c>
      <c r="G77" s="14" t="str"/>
      <c r="H77" s="89" t="n">
        <v>0</v>
      </c>
      <c r="I77" s="44" t="inlineStr">
        <is>
          <t>Não</t>
        </is>
      </c>
      <c r="J77" s="44" t="inlineStr">
        <is>
          <t>Não</t>
        </is>
      </c>
      <c r="K77" s="44" t="inlineStr">
        <is>
          <t>Não</t>
        </is>
      </c>
      <c r="L77" s="44" t="inlineStr">
        <is>
          <t>Não</t>
        </is>
      </c>
      <c r="M77" s="90">
        <f>IF(F77="Baixa",'08_Premissas_Custos'!$B$6,IF(F77="Média",'08_Premissas_Custos'!$B$7,IF(F77="Alta",'08_Premissas_Custos'!$B$8,'08_Premissas_Custos'!$B$9)))</f>
        <v/>
      </c>
      <c r="N77" s="91">
        <f>'08_Premissas_Custos'!$B$13*M77</f>
        <v/>
      </c>
      <c r="O77" s="91">
        <f>'08_Premissas_Custos'!$B$14*M77*(1+IF(L77="Sim",0.25,0))</f>
        <v/>
      </c>
      <c r="P77" s="91">
        <f>'08_Premissas_Custos'!$B$15*M77*(1+IF(I77="Sim",0.20,0)+IF(K77="Sim",0.15,0))</f>
        <v/>
      </c>
      <c r="Q77" s="91">
        <f>'08_Premissas_Custos'!$B$16*M77*IF(J77="Sim",1.6,0.55)</f>
        <v/>
      </c>
      <c r="R77" s="91">
        <f>'08_Premissas_Custos'!$B$17*M77*IF(I77="Sim",1.8,0.15)</f>
        <v/>
      </c>
      <c r="S77" s="91">
        <f>'08_Premissas_Custos'!$B$18*M77*(1+IF(I77="Sim",0.15)+IF(L77="Sim",0.10))</f>
        <v/>
      </c>
      <c r="T77" s="91">
        <f>'08_Premissas_Custos'!$B$19*M77*(1+IF(J77="Sim",0.15))</f>
        <v/>
      </c>
      <c r="U77" s="91">
        <f>'08_Premissas_Custos'!$B$20*M77*IF(K77="Sim",1.8,0.7)</f>
        <v/>
      </c>
      <c r="V77" s="92">
        <f>SUM(N77:U77)</f>
        <v/>
      </c>
      <c r="W77" s="92">
        <f>V77*(1-H77)*IF(E77="Fase 2",'08_Premissas_Custos'!$F$10,1)</f>
        <v/>
      </c>
      <c r="X77" s="93">
        <f>(N77*'08_Premissas_Custos'!$C$13+O77*'08_Premissas_Custos'!$C$14+P77*'08_Premissas_Custos'!$C$15+Q77*'08_Premissas_Custos'!$C$16+R77*'08_Premissas_Custos'!$C$17+S77*'08_Premissas_Custos'!$C$18+T77*'08_Premissas_Custos'!$C$19+U77*'08_Premissas_Custos'!$C$20)*(1-H77)*IF(E77="Fase 2",'08_Premissas_Custos'!$F$10,1)</f>
        <v/>
      </c>
      <c r="Y77" s="93">
        <f>X77*'08_Premissas_Custos'!$F$7</f>
        <v/>
      </c>
      <c r="Z77" s="93">
        <f>(X77+Y77)*'08_Premissas_Custos'!$F$6</f>
        <v/>
      </c>
      <c r="AA77" s="93">
        <f>SUM(X77:Z77)</f>
        <v/>
      </c>
      <c r="AB77" s="14" t="inlineStr">
        <is>
          <t>Entregas</t>
        </is>
      </c>
    </row>
    <row r="78">
      <c r="A78" s="14" t="n">
        <v>73</v>
      </c>
      <c r="B78" s="14" t="inlineStr">
        <is>
          <t>ACA</t>
        </is>
      </c>
      <c r="C78" s="14" t="inlineStr">
        <is>
          <t>Acadêmico / Universidades</t>
        </is>
      </c>
      <c r="D78" s="14" t="inlineStr">
        <is>
          <t>Indicadores universidade-mercado</t>
        </is>
      </c>
      <c r="E78" s="14" t="inlineStr">
        <is>
          <t>Fase 2</t>
        </is>
      </c>
      <c r="F78" s="14" t="inlineStr">
        <is>
          <t>Alta</t>
        </is>
      </c>
      <c r="G78" s="14" t="inlineStr">
        <is>
          <t>Indicadores universidade-mercado</t>
        </is>
      </c>
      <c r="H78" s="89" t="n">
        <v>0.45</v>
      </c>
      <c r="I78" s="44" t="inlineStr">
        <is>
          <t>Não</t>
        </is>
      </c>
      <c r="J78" s="44" t="inlineStr">
        <is>
          <t>Sim</t>
        </is>
      </c>
      <c r="K78" s="44" t="inlineStr">
        <is>
          <t>Não</t>
        </is>
      </c>
      <c r="L78" s="44" t="inlineStr">
        <is>
          <t>Não</t>
        </is>
      </c>
      <c r="M78" s="90">
        <f>IF(F78="Baixa",'08_Premissas_Custos'!$B$6,IF(F78="Média",'08_Premissas_Custos'!$B$7,IF(F78="Alta",'08_Premissas_Custos'!$B$8,'08_Premissas_Custos'!$B$9)))</f>
        <v/>
      </c>
      <c r="N78" s="91">
        <f>'08_Premissas_Custos'!$B$13*M78</f>
        <v/>
      </c>
      <c r="O78" s="91">
        <f>'08_Premissas_Custos'!$B$14*M78*(1+IF(L78="Sim",0.25,0))</f>
        <v/>
      </c>
      <c r="P78" s="91">
        <f>'08_Premissas_Custos'!$B$15*M78*(1+IF(I78="Sim",0.20,0)+IF(K78="Sim",0.15,0))</f>
        <v/>
      </c>
      <c r="Q78" s="91">
        <f>'08_Premissas_Custos'!$B$16*M78*IF(J78="Sim",1.6,0.55)</f>
        <v/>
      </c>
      <c r="R78" s="91">
        <f>'08_Premissas_Custos'!$B$17*M78*IF(I78="Sim",1.8,0.15)</f>
        <v/>
      </c>
      <c r="S78" s="91">
        <f>'08_Premissas_Custos'!$B$18*M78*(1+IF(I78="Sim",0.15)+IF(L78="Sim",0.10))</f>
        <v/>
      </c>
      <c r="T78" s="91">
        <f>'08_Premissas_Custos'!$B$19*M78*(1+IF(J78="Sim",0.15))</f>
        <v/>
      </c>
      <c r="U78" s="91">
        <f>'08_Premissas_Custos'!$B$20*M78*IF(K78="Sim",1.8,0.7)</f>
        <v/>
      </c>
      <c r="V78" s="92">
        <f>SUM(N78:U78)</f>
        <v/>
      </c>
      <c r="W78" s="92">
        <f>V78*(1-H78)*IF(E78="Fase 2",'08_Premissas_Custos'!$F$10,1)</f>
        <v/>
      </c>
      <c r="X78" s="93">
        <f>(N78*'08_Premissas_Custos'!$C$13+O78*'08_Premissas_Custos'!$C$14+P78*'08_Premissas_Custos'!$C$15+Q78*'08_Premissas_Custos'!$C$16+R78*'08_Premissas_Custos'!$C$17+S78*'08_Premissas_Custos'!$C$18+T78*'08_Premissas_Custos'!$C$19+U78*'08_Premissas_Custos'!$C$20)*(1-H78)*IF(E78="Fase 2",'08_Premissas_Custos'!$F$10,1)</f>
        <v/>
      </c>
      <c r="Y78" s="93">
        <f>X78*'08_Premissas_Custos'!$F$7</f>
        <v/>
      </c>
      <c r="Z78" s="93">
        <f>(X78+Y78)*'08_Premissas_Custos'!$F$6</f>
        <v/>
      </c>
      <c r="AA78" s="93">
        <f>SUM(X78:Z78)</f>
        <v/>
      </c>
      <c r="AB78" s="14" t="inlineStr">
        <is>
          <t>Impacto</t>
        </is>
      </c>
    </row>
    <row r="79">
      <c r="A79" s="14" t="n">
        <v>74</v>
      </c>
      <c r="B79" s="14" t="inlineStr">
        <is>
          <t>EVT</t>
        </is>
      </c>
      <c r="C79" s="14" t="inlineStr">
        <is>
          <t>Eventos</t>
        </is>
      </c>
      <c r="D79" s="14" t="inlineStr">
        <is>
          <t>Visão geral do evento</t>
        </is>
      </c>
      <c r="E79" s="14" t="inlineStr">
        <is>
          <t>Fase 2</t>
        </is>
      </c>
      <c r="F79" s="14" t="inlineStr">
        <is>
          <t>Alta</t>
        </is>
      </c>
      <c r="G79" s="14" t="str"/>
      <c r="H79" s="89" t="n">
        <v>0</v>
      </c>
      <c r="I79" s="44" t="inlineStr">
        <is>
          <t>Não</t>
        </is>
      </c>
      <c r="J79" s="44" t="inlineStr">
        <is>
          <t>Não</t>
        </is>
      </c>
      <c r="K79" s="44" t="inlineStr">
        <is>
          <t>Não</t>
        </is>
      </c>
      <c r="L79" s="44" t="inlineStr">
        <is>
          <t>Não</t>
        </is>
      </c>
      <c r="M79" s="90">
        <f>IF(F79="Baixa",'08_Premissas_Custos'!$B$6,IF(F79="Média",'08_Premissas_Custos'!$B$7,IF(F79="Alta",'08_Premissas_Custos'!$B$8,'08_Premissas_Custos'!$B$9)))</f>
        <v/>
      </c>
      <c r="N79" s="91">
        <f>'08_Premissas_Custos'!$B$13*M79</f>
        <v/>
      </c>
      <c r="O79" s="91">
        <f>'08_Premissas_Custos'!$B$14*M79*(1+IF(L79="Sim",0.25,0))</f>
        <v/>
      </c>
      <c r="P79" s="91">
        <f>'08_Premissas_Custos'!$B$15*M79*(1+IF(I79="Sim",0.20,0)+IF(K79="Sim",0.15,0))</f>
        <v/>
      </c>
      <c r="Q79" s="91">
        <f>'08_Premissas_Custos'!$B$16*M79*IF(J79="Sim",1.6,0.55)</f>
        <v/>
      </c>
      <c r="R79" s="91">
        <f>'08_Premissas_Custos'!$B$17*M79*IF(I79="Sim",1.8,0.15)</f>
        <v/>
      </c>
      <c r="S79" s="91">
        <f>'08_Premissas_Custos'!$B$18*M79*(1+IF(I79="Sim",0.15)+IF(L79="Sim",0.10))</f>
        <v/>
      </c>
      <c r="T79" s="91">
        <f>'08_Premissas_Custos'!$B$19*M79*(1+IF(J79="Sim",0.15))</f>
        <v/>
      </c>
      <c r="U79" s="91">
        <f>'08_Premissas_Custos'!$B$20*M79*IF(K79="Sim",1.8,0.7)</f>
        <v/>
      </c>
      <c r="V79" s="92">
        <f>SUM(N79:U79)</f>
        <v/>
      </c>
      <c r="W79" s="92">
        <f>V79*(1-H79)*IF(E79="Fase 2",'08_Premissas_Custos'!$F$10,1)</f>
        <v/>
      </c>
      <c r="X79" s="93">
        <f>(N79*'08_Premissas_Custos'!$C$13+O79*'08_Premissas_Custos'!$C$14+P79*'08_Premissas_Custos'!$C$15+Q79*'08_Premissas_Custos'!$C$16+R79*'08_Premissas_Custos'!$C$17+S79*'08_Premissas_Custos'!$C$18+T79*'08_Premissas_Custos'!$C$19+U79*'08_Premissas_Custos'!$C$20)*(1-H79)*IF(E79="Fase 2",'08_Premissas_Custos'!$F$10,1)</f>
        <v/>
      </c>
      <c r="Y79" s="93">
        <f>X79*'08_Premissas_Custos'!$F$7</f>
        <v/>
      </c>
      <c r="Z79" s="93">
        <f>(X79+Y79)*'08_Premissas_Custos'!$F$6</f>
        <v/>
      </c>
      <c r="AA79" s="93">
        <f>SUM(X79:Z79)</f>
        <v/>
      </c>
      <c r="AB79" s="14" t="inlineStr">
        <is>
          <t>Dashboard</t>
        </is>
      </c>
    </row>
    <row r="80">
      <c r="A80" s="14" t="n">
        <v>75</v>
      </c>
      <c r="B80" s="14" t="inlineStr">
        <is>
          <t>EVT</t>
        </is>
      </c>
      <c r="C80" s="14" t="inlineStr">
        <is>
          <t>Eventos</t>
        </is>
      </c>
      <c r="D80" s="14" t="inlineStr">
        <is>
          <t>Planejamento / metas</t>
        </is>
      </c>
      <c r="E80" s="14" t="inlineStr">
        <is>
          <t>Fase 2</t>
        </is>
      </c>
      <c r="F80" s="14" t="inlineStr">
        <is>
          <t>Média</t>
        </is>
      </c>
      <c r="G80" s="14" t="str"/>
      <c r="H80" s="89" t="n">
        <v>0</v>
      </c>
      <c r="I80" s="44" t="inlineStr">
        <is>
          <t>Não</t>
        </is>
      </c>
      <c r="J80" s="44" t="inlineStr">
        <is>
          <t>Não</t>
        </is>
      </c>
      <c r="K80" s="44" t="inlineStr">
        <is>
          <t>Não</t>
        </is>
      </c>
      <c r="L80" s="44" t="inlineStr">
        <is>
          <t>Não</t>
        </is>
      </c>
      <c r="M80" s="90">
        <f>IF(F80="Baixa",'08_Premissas_Custos'!$B$6,IF(F80="Média",'08_Premissas_Custos'!$B$7,IF(F80="Alta",'08_Premissas_Custos'!$B$8,'08_Premissas_Custos'!$B$9)))</f>
        <v/>
      </c>
      <c r="N80" s="91">
        <f>'08_Premissas_Custos'!$B$13*M80</f>
        <v/>
      </c>
      <c r="O80" s="91">
        <f>'08_Premissas_Custos'!$B$14*M80*(1+IF(L80="Sim",0.25,0))</f>
        <v/>
      </c>
      <c r="P80" s="91">
        <f>'08_Premissas_Custos'!$B$15*M80*(1+IF(I80="Sim",0.20,0)+IF(K80="Sim",0.15,0))</f>
        <v/>
      </c>
      <c r="Q80" s="91">
        <f>'08_Premissas_Custos'!$B$16*M80*IF(J80="Sim",1.6,0.55)</f>
        <v/>
      </c>
      <c r="R80" s="91">
        <f>'08_Premissas_Custos'!$B$17*M80*IF(I80="Sim",1.8,0.15)</f>
        <v/>
      </c>
      <c r="S80" s="91">
        <f>'08_Premissas_Custos'!$B$18*M80*(1+IF(I80="Sim",0.15)+IF(L80="Sim",0.10))</f>
        <v/>
      </c>
      <c r="T80" s="91">
        <f>'08_Premissas_Custos'!$B$19*M80*(1+IF(J80="Sim",0.15))</f>
        <v/>
      </c>
      <c r="U80" s="91">
        <f>'08_Premissas_Custos'!$B$20*M80*IF(K80="Sim",1.8,0.7)</f>
        <v/>
      </c>
      <c r="V80" s="92">
        <f>SUM(N80:U80)</f>
        <v/>
      </c>
      <c r="W80" s="92">
        <f>V80*(1-H80)*IF(E80="Fase 2",'08_Premissas_Custos'!$F$10,1)</f>
        <v/>
      </c>
      <c r="X80" s="93">
        <f>(N80*'08_Premissas_Custos'!$C$13+O80*'08_Premissas_Custos'!$C$14+P80*'08_Premissas_Custos'!$C$15+Q80*'08_Premissas_Custos'!$C$16+R80*'08_Premissas_Custos'!$C$17+S80*'08_Premissas_Custos'!$C$18+T80*'08_Premissas_Custos'!$C$19+U80*'08_Premissas_Custos'!$C$20)*(1-H80)*IF(E80="Fase 2",'08_Premissas_Custos'!$F$10,1)</f>
        <v/>
      </c>
      <c r="Y80" s="93">
        <f>X80*'08_Premissas_Custos'!$F$7</f>
        <v/>
      </c>
      <c r="Z80" s="93">
        <f>(X80+Y80)*'08_Premissas_Custos'!$F$6</f>
        <v/>
      </c>
      <c r="AA80" s="93">
        <f>SUM(X80:Z80)</f>
        <v/>
      </c>
      <c r="AB80" s="14" t="inlineStr">
        <is>
          <t>KPIs</t>
        </is>
      </c>
    </row>
    <row r="81">
      <c r="A81" s="14" t="n">
        <v>76</v>
      </c>
      <c r="B81" s="14" t="inlineStr">
        <is>
          <t>EVT</t>
        </is>
      </c>
      <c r="C81" s="14" t="inlineStr">
        <is>
          <t>Eventos</t>
        </is>
      </c>
      <c r="D81" s="14" t="inlineStr">
        <is>
          <t>Talentos / equipes</t>
        </is>
      </c>
      <c r="E81" s="14" t="inlineStr">
        <is>
          <t>Fase 2</t>
        </is>
      </c>
      <c r="F81" s="14" t="inlineStr">
        <is>
          <t>Alta</t>
        </is>
      </c>
      <c r="G81" s="14" t="str"/>
      <c r="H81" s="89" t="n">
        <v>0</v>
      </c>
      <c r="I81" s="44" t="inlineStr">
        <is>
          <t>Não</t>
        </is>
      </c>
      <c r="J81" s="44" t="inlineStr">
        <is>
          <t>Não</t>
        </is>
      </c>
      <c r="K81" s="44" t="inlineStr">
        <is>
          <t>Não</t>
        </is>
      </c>
      <c r="L81" s="44" t="inlineStr">
        <is>
          <t>Não</t>
        </is>
      </c>
      <c r="M81" s="90">
        <f>IF(F81="Baixa",'08_Premissas_Custos'!$B$6,IF(F81="Média",'08_Premissas_Custos'!$B$7,IF(F81="Alta",'08_Premissas_Custos'!$B$8,'08_Premissas_Custos'!$B$9)))</f>
        <v/>
      </c>
      <c r="N81" s="91">
        <f>'08_Premissas_Custos'!$B$13*M81</f>
        <v/>
      </c>
      <c r="O81" s="91">
        <f>'08_Premissas_Custos'!$B$14*M81*(1+IF(L81="Sim",0.25,0))</f>
        <v/>
      </c>
      <c r="P81" s="91">
        <f>'08_Premissas_Custos'!$B$15*M81*(1+IF(I81="Sim",0.20,0)+IF(K81="Sim",0.15,0))</f>
        <v/>
      </c>
      <c r="Q81" s="91">
        <f>'08_Premissas_Custos'!$B$16*M81*IF(J81="Sim",1.6,0.55)</f>
        <v/>
      </c>
      <c r="R81" s="91">
        <f>'08_Premissas_Custos'!$B$17*M81*IF(I81="Sim",1.8,0.15)</f>
        <v/>
      </c>
      <c r="S81" s="91">
        <f>'08_Premissas_Custos'!$B$18*M81*(1+IF(I81="Sim",0.15)+IF(L81="Sim",0.10))</f>
        <v/>
      </c>
      <c r="T81" s="91">
        <f>'08_Premissas_Custos'!$B$19*M81*(1+IF(J81="Sim",0.15))</f>
        <v/>
      </c>
      <c r="U81" s="91">
        <f>'08_Premissas_Custos'!$B$20*M81*IF(K81="Sim",1.8,0.7)</f>
        <v/>
      </c>
      <c r="V81" s="92">
        <f>SUM(N81:U81)</f>
        <v/>
      </c>
      <c r="W81" s="92">
        <f>V81*(1-H81)*IF(E81="Fase 2",'08_Premissas_Custos'!$F$10,1)</f>
        <v/>
      </c>
      <c r="X81" s="93">
        <f>(N81*'08_Premissas_Custos'!$C$13+O81*'08_Premissas_Custos'!$C$14+P81*'08_Premissas_Custos'!$C$15+Q81*'08_Premissas_Custos'!$C$16+R81*'08_Premissas_Custos'!$C$17+S81*'08_Premissas_Custos'!$C$18+T81*'08_Premissas_Custos'!$C$19+U81*'08_Premissas_Custos'!$C$20)*(1-H81)*IF(E81="Fase 2",'08_Premissas_Custos'!$F$10,1)</f>
        <v/>
      </c>
      <c r="Y81" s="93">
        <f>X81*'08_Premissas_Custos'!$F$7</f>
        <v/>
      </c>
      <c r="Z81" s="93">
        <f>(X81+Y81)*'08_Premissas_Custos'!$F$6</f>
        <v/>
      </c>
      <c r="AA81" s="93">
        <f>SUM(X81:Z81)</f>
        <v/>
      </c>
      <c r="AB81" s="14" t="inlineStr">
        <is>
          <t>CAN</t>
        </is>
      </c>
    </row>
    <row r="82">
      <c r="A82" s="14" t="n">
        <v>77</v>
      </c>
      <c r="B82" s="14" t="inlineStr">
        <is>
          <t>EVT</t>
        </is>
      </c>
      <c r="C82" s="14" t="inlineStr">
        <is>
          <t>Eventos</t>
        </is>
      </c>
      <c r="D82" s="14" t="inlineStr">
        <is>
          <t>Fornecedores do evento</t>
        </is>
      </c>
      <c r="E82" s="14" t="inlineStr">
        <is>
          <t>Fase 2</t>
        </is>
      </c>
      <c r="F82" s="14" t="inlineStr">
        <is>
          <t>Alta</t>
        </is>
      </c>
      <c r="G82" s="14" t="str"/>
      <c r="H82" s="89" t="n">
        <v>0</v>
      </c>
      <c r="I82" s="44" t="inlineStr">
        <is>
          <t>Não</t>
        </is>
      </c>
      <c r="J82" s="44" t="inlineStr">
        <is>
          <t>Não</t>
        </is>
      </c>
      <c r="K82" s="44" t="inlineStr">
        <is>
          <t>Não</t>
        </is>
      </c>
      <c r="L82" s="44" t="inlineStr">
        <is>
          <t>Não</t>
        </is>
      </c>
      <c r="M82" s="90">
        <f>IF(F82="Baixa",'08_Premissas_Custos'!$B$6,IF(F82="Média",'08_Premissas_Custos'!$B$7,IF(F82="Alta",'08_Premissas_Custos'!$B$8,'08_Premissas_Custos'!$B$9)))</f>
        <v/>
      </c>
      <c r="N82" s="91">
        <f>'08_Premissas_Custos'!$B$13*M82</f>
        <v/>
      </c>
      <c r="O82" s="91">
        <f>'08_Premissas_Custos'!$B$14*M82*(1+IF(L82="Sim",0.25,0))</f>
        <v/>
      </c>
      <c r="P82" s="91">
        <f>'08_Premissas_Custos'!$B$15*M82*(1+IF(I82="Sim",0.20,0)+IF(K82="Sim",0.15,0))</f>
        <v/>
      </c>
      <c r="Q82" s="91">
        <f>'08_Premissas_Custos'!$B$16*M82*IF(J82="Sim",1.6,0.55)</f>
        <v/>
      </c>
      <c r="R82" s="91">
        <f>'08_Premissas_Custos'!$B$17*M82*IF(I82="Sim",1.8,0.15)</f>
        <v/>
      </c>
      <c r="S82" s="91">
        <f>'08_Premissas_Custos'!$B$18*M82*(1+IF(I82="Sim",0.15)+IF(L82="Sim",0.10))</f>
        <v/>
      </c>
      <c r="T82" s="91">
        <f>'08_Premissas_Custos'!$B$19*M82*(1+IF(J82="Sim",0.15))</f>
        <v/>
      </c>
      <c r="U82" s="91">
        <f>'08_Premissas_Custos'!$B$20*M82*IF(K82="Sim",1.8,0.7)</f>
        <v/>
      </c>
      <c r="V82" s="92">
        <f>SUM(N82:U82)</f>
        <v/>
      </c>
      <c r="W82" s="92">
        <f>V82*(1-H82)*IF(E82="Fase 2",'08_Premissas_Custos'!$F$10,1)</f>
        <v/>
      </c>
      <c r="X82" s="93">
        <f>(N82*'08_Premissas_Custos'!$C$13+O82*'08_Premissas_Custos'!$C$14+P82*'08_Premissas_Custos'!$C$15+Q82*'08_Premissas_Custos'!$C$16+R82*'08_Premissas_Custos'!$C$17+S82*'08_Premissas_Custos'!$C$18+T82*'08_Premissas_Custos'!$C$19+U82*'08_Premissas_Custos'!$C$20)*(1-H82)*IF(E82="Fase 2",'08_Premissas_Custos'!$F$10,1)</f>
        <v/>
      </c>
      <c r="Y82" s="93">
        <f>X82*'08_Premissas_Custos'!$F$7</f>
        <v/>
      </c>
      <c r="Z82" s="93">
        <f>(X82+Y82)*'08_Premissas_Custos'!$F$6</f>
        <v/>
      </c>
      <c r="AA82" s="93">
        <f>SUM(X82:Z82)</f>
        <v/>
      </c>
      <c r="AB82" s="14" t="inlineStr">
        <is>
          <t>FOR</t>
        </is>
      </c>
    </row>
    <row r="83">
      <c r="A83" s="14" t="n">
        <v>78</v>
      </c>
      <c r="B83" s="14" t="inlineStr">
        <is>
          <t>EVT</t>
        </is>
      </c>
      <c r="C83" s="14" t="inlineStr">
        <is>
          <t>Eventos</t>
        </is>
      </c>
      <c r="D83" s="14" t="inlineStr">
        <is>
          <t>Demandas e contratações</t>
        </is>
      </c>
      <c r="E83" s="14" t="inlineStr">
        <is>
          <t>Fase 2</t>
        </is>
      </c>
      <c r="F83" s="14" t="inlineStr">
        <is>
          <t>Alta</t>
        </is>
      </c>
      <c r="G83" s="14" t="str"/>
      <c r="H83" s="89" t="n">
        <v>0</v>
      </c>
      <c r="I83" s="44" t="inlineStr">
        <is>
          <t>Não</t>
        </is>
      </c>
      <c r="J83" s="44" t="inlineStr">
        <is>
          <t>Não</t>
        </is>
      </c>
      <c r="K83" s="44" t="inlineStr">
        <is>
          <t>Não</t>
        </is>
      </c>
      <c r="L83" s="44" t="inlineStr">
        <is>
          <t>Não</t>
        </is>
      </c>
      <c r="M83" s="90">
        <f>IF(F83="Baixa",'08_Premissas_Custos'!$B$6,IF(F83="Média",'08_Premissas_Custos'!$B$7,IF(F83="Alta",'08_Premissas_Custos'!$B$8,'08_Premissas_Custos'!$B$9)))</f>
        <v/>
      </c>
      <c r="N83" s="91">
        <f>'08_Premissas_Custos'!$B$13*M83</f>
        <v/>
      </c>
      <c r="O83" s="91">
        <f>'08_Premissas_Custos'!$B$14*M83*(1+IF(L83="Sim",0.25,0))</f>
        <v/>
      </c>
      <c r="P83" s="91">
        <f>'08_Premissas_Custos'!$B$15*M83*(1+IF(I83="Sim",0.20,0)+IF(K83="Sim",0.15,0))</f>
        <v/>
      </c>
      <c r="Q83" s="91">
        <f>'08_Premissas_Custos'!$B$16*M83*IF(J83="Sim",1.6,0.55)</f>
        <v/>
      </c>
      <c r="R83" s="91">
        <f>'08_Premissas_Custos'!$B$17*M83*IF(I83="Sim",1.8,0.15)</f>
        <v/>
      </c>
      <c r="S83" s="91">
        <f>'08_Premissas_Custos'!$B$18*M83*(1+IF(I83="Sim",0.15)+IF(L83="Sim",0.10))</f>
        <v/>
      </c>
      <c r="T83" s="91">
        <f>'08_Premissas_Custos'!$B$19*M83*(1+IF(J83="Sim",0.15))</f>
        <v/>
      </c>
      <c r="U83" s="91">
        <f>'08_Premissas_Custos'!$B$20*M83*IF(K83="Sim",1.8,0.7)</f>
        <v/>
      </c>
      <c r="V83" s="92">
        <f>SUM(N83:U83)</f>
        <v/>
      </c>
      <c r="W83" s="92">
        <f>V83*(1-H83)*IF(E83="Fase 2",'08_Premissas_Custos'!$F$10,1)</f>
        <v/>
      </c>
      <c r="X83" s="93">
        <f>(N83*'08_Premissas_Custos'!$C$13+O83*'08_Premissas_Custos'!$C$14+P83*'08_Premissas_Custos'!$C$15+Q83*'08_Premissas_Custos'!$C$16+R83*'08_Premissas_Custos'!$C$17+S83*'08_Premissas_Custos'!$C$18+T83*'08_Premissas_Custos'!$C$19+U83*'08_Premissas_Custos'!$C$20)*(1-H83)*IF(E83="Fase 2",'08_Premissas_Custos'!$F$10,1)</f>
        <v/>
      </c>
      <c r="Y83" s="93">
        <f>X83*'08_Premissas_Custos'!$F$7</f>
        <v/>
      </c>
      <c r="Z83" s="93">
        <f>(X83+Y83)*'08_Premissas_Custos'!$F$6</f>
        <v/>
      </c>
      <c r="AA83" s="93">
        <f>SUM(X83:Z83)</f>
        <v/>
      </c>
      <c r="AB83" s="14" t="inlineStr">
        <is>
          <t>Compras</t>
        </is>
      </c>
    </row>
    <row r="84">
      <c r="A84" s="14" t="n">
        <v>79</v>
      </c>
      <c r="B84" s="14" t="inlineStr">
        <is>
          <t>EVT</t>
        </is>
      </c>
      <c r="C84" s="14" t="inlineStr">
        <is>
          <t>Eventos</t>
        </is>
      </c>
      <c r="D84" s="14" t="inlineStr">
        <is>
          <t>Patrocínios / marcas</t>
        </is>
      </c>
      <c r="E84" s="14" t="inlineStr">
        <is>
          <t>Fase 2</t>
        </is>
      </c>
      <c r="F84" s="14" t="inlineStr">
        <is>
          <t>Alta</t>
        </is>
      </c>
      <c r="G84" s="14" t="str"/>
      <c r="H84" s="89" t="n">
        <v>0</v>
      </c>
      <c r="I84" s="44" t="inlineStr">
        <is>
          <t>Não</t>
        </is>
      </c>
      <c r="J84" s="44" t="inlineStr">
        <is>
          <t>Não</t>
        </is>
      </c>
      <c r="K84" s="44" t="inlineStr">
        <is>
          <t>Não</t>
        </is>
      </c>
      <c r="L84" s="44" t="inlineStr">
        <is>
          <t>Não</t>
        </is>
      </c>
      <c r="M84" s="90">
        <f>IF(F84="Baixa",'08_Premissas_Custos'!$B$6,IF(F84="Média",'08_Premissas_Custos'!$B$7,IF(F84="Alta",'08_Premissas_Custos'!$B$8,'08_Premissas_Custos'!$B$9)))</f>
        <v/>
      </c>
      <c r="N84" s="91">
        <f>'08_Premissas_Custos'!$B$13*M84</f>
        <v/>
      </c>
      <c r="O84" s="91">
        <f>'08_Premissas_Custos'!$B$14*M84*(1+IF(L84="Sim",0.25,0))</f>
        <v/>
      </c>
      <c r="P84" s="91">
        <f>'08_Premissas_Custos'!$B$15*M84*(1+IF(I84="Sim",0.20,0)+IF(K84="Sim",0.15,0))</f>
        <v/>
      </c>
      <c r="Q84" s="91">
        <f>'08_Premissas_Custos'!$B$16*M84*IF(J84="Sim",1.6,0.55)</f>
        <v/>
      </c>
      <c r="R84" s="91">
        <f>'08_Premissas_Custos'!$B$17*M84*IF(I84="Sim",1.8,0.15)</f>
        <v/>
      </c>
      <c r="S84" s="91">
        <f>'08_Premissas_Custos'!$B$18*M84*(1+IF(I84="Sim",0.15)+IF(L84="Sim",0.10))</f>
        <v/>
      </c>
      <c r="T84" s="91">
        <f>'08_Premissas_Custos'!$B$19*M84*(1+IF(J84="Sim",0.15))</f>
        <v/>
      </c>
      <c r="U84" s="91">
        <f>'08_Premissas_Custos'!$B$20*M84*IF(K84="Sim",1.8,0.7)</f>
        <v/>
      </c>
      <c r="V84" s="92">
        <f>SUM(N84:U84)</f>
        <v/>
      </c>
      <c r="W84" s="92">
        <f>V84*(1-H84)*IF(E84="Fase 2",'08_Premissas_Custos'!$F$10,1)</f>
        <v/>
      </c>
      <c r="X84" s="93">
        <f>(N84*'08_Premissas_Custos'!$C$13+O84*'08_Premissas_Custos'!$C$14+P84*'08_Premissas_Custos'!$C$15+Q84*'08_Premissas_Custos'!$C$16+R84*'08_Premissas_Custos'!$C$17+S84*'08_Premissas_Custos'!$C$18+T84*'08_Premissas_Custos'!$C$19+U84*'08_Premissas_Custos'!$C$20)*(1-H84)*IF(E84="Fase 2",'08_Premissas_Custos'!$F$10,1)</f>
        <v/>
      </c>
      <c r="Y84" s="93">
        <f>X84*'08_Premissas_Custos'!$F$7</f>
        <v/>
      </c>
      <c r="Z84" s="93">
        <f>(X84+Y84)*'08_Premissas_Custos'!$F$6</f>
        <v/>
      </c>
      <c r="AA84" s="93">
        <f>SUM(X84:Z84)</f>
        <v/>
      </c>
      <c r="AB84" s="14" t="inlineStr">
        <is>
          <t>Retorno</t>
        </is>
      </c>
    </row>
    <row r="85">
      <c r="A85" s="14" t="n">
        <v>80</v>
      </c>
      <c r="B85" s="14" t="inlineStr">
        <is>
          <t>EVT</t>
        </is>
      </c>
      <c r="C85" s="14" t="inlineStr">
        <is>
          <t>Eventos</t>
        </is>
      </c>
      <c r="D85" s="14" t="inlineStr">
        <is>
          <t>Artistas / criadores</t>
        </is>
      </c>
      <c r="E85" s="14" t="inlineStr">
        <is>
          <t>Fase 2</t>
        </is>
      </c>
      <c r="F85" s="14" t="inlineStr">
        <is>
          <t>Média</t>
        </is>
      </c>
      <c r="G85" s="14" t="str"/>
      <c r="H85" s="89" t="n">
        <v>0</v>
      </c>
      <c r="I85" s="44" t="inlineStr">
        <is>
          <t>Não</t>
        </is>
      </c>
      <c r="J85" s="44" t="inlineStr">
        <is>
          <t>Não</t>
        </is>
      </c>
      <c r="K85" s="44" t="inlineStr">
        <is>
          <t>Não</t>
        </is>
      </c>
      <c r="L85" s="44" t="inlineStr">
        <is>
          <t>Não</t>
        </is>
      </c>
      <c r="M85" s="90">
        <f>IF(F85="Baixa",'08_Premissas_Custos'!$B$6,IF(F85="Média",'08_Premissas_Custos'!$B$7,IF(F85="Alta",'08_Premissas_Custos'!$B$8,'08_Premissas_Custos'!$B$9)))</f>
        <v/>
      </c>
      <c r="N85" s="91">
        <f>'08_Premissas_Custos'!$B$13*M85</f>
        <v/>
      </c>
      <c r="O85" s="91">
        <f>'08_Premissas_Custos'!$B$14*M85*(1+IF(L85="Sim",0.25,0))</f>
        <v/>
      </c>
      <c r="P85" s="91">
        <f>'08_Premissas_Custos'!$B$15*M85*(1+IF(I85="Sim",0.20,0)+IF(K85="Sim",0.15,0))</f>
        <v/>
      </c>
      <c r="Q85" s="91">
        <f>'08_Premissas_Custos'!$B$16*M85*IF(J85="Sim",1.6,0.55)</f>
        <v/>
      </c>
      <c r="R85" s="91">
        <f>'08_Premissas_Custos'!$B$17*M85*IF(I85="Sim",1.8,0.15)</f>
        <v/>
      </c>
      <c r="S85" s="91">
        <f>'08_Premissas_Custos'!$B$18*M85*(1+IF(I85="Sim",0.15)+IF(L85="Sim",0.10))</f>
        <v/>
      </c>
      <c r="T85" s="91">
        <f>'08_Premissas_Custos'!$B$19*M85*(1+IF(J85="Sim",0.15))</f>
        <v/>
      </c>
      <c r="U85" s="91">
        <f>'08_Premissas_Custos'!$B$20*M85*IF(K85="Sim",1.8,0.7)</f>
        <v/>
      </c>
      <c r="V85" s="92">
        <f>SUM(N85:U85)</f>
        <v/>
      </c>
      <c r="W85" s="92">
        <f>V85*(1-H85)*IF(E85="Fase 2",'08_Premissas_Custos'!$F$10,1)</f>
        <v/>
      </c>
      <c r="X85" s="93">
        <f>(N85*'08_Premissas_Custos'!$C$13+O85*'08_Premissas_Custos'!$C$14+P85*'08_Premissas_Custos'!$C$15+Q85*'08_Premissas_Custos'!$C$16+R85*'08_Premissas_Custos'!$C$17+S85*'08_Premissas_Custos'!$C$18+T85*'08_Premissas_Custos'!$C$19+U85*'08_Premissas_Custos'!$C$20)*(1-H85)*IF(E85="Fase 2",'08_Premissas_Custos'!$F$10,1)</f>
        <v/>
      </c>
      <c r="Y85" s="93">
        <f>X85*'08_Premissas_Custos'!$F$7</f>
        <v/>
      </c>
      <c r="Z85" s="93">
        <f>(X85+Y85)*'08_Premissas_Custos'!$F$6</f>
        <v/>
      </c>
      <c r="AA85" s="93">
        <f>SUM(X85:Z85)</f>
        <v/>
      </c>
      <c r="AB85" s="14" t="inlineStr">
        <is>
          <t>Conexões</t>
        </is>
      </c>
    </row>
    <row r="86">
      <c r="A86" s="14" t="n">
        <v>81</v>
      </c>
      <c r="B86" s="14" t="inlineStr">
        <is>
          <t>EVT</t>
        </is>
      </c>
      <c r="C86" s="14" t="inlineStr">
        <is>
          <t>Eventos</t>
        </is>
      </c>
      <c r="D86" s="14" t="inlineStr">
        <is>
          <t>Pesquisa de público / mercado</t>
        </is>
      </c>
      <c r="E86" s="14" t="inlineStr">
        <is>
          <t>Fase 2</t>
        </is>
      </c>
      <c r="F86" s="14" t="inlineStr">
        <is>
          <t>Alta</t>
        </is>
      </c>
      <c r="G86" s="14" t="str"/>
      <c r="H86" s="89" t="n">
        <v>0</v>
      </c>
      <c r="I86" s="44" t="inlineStr">
        <is>
          <t>Não</t>
        </is>
      </c>
      <c r="J86" s="44" t="inlineStr">
        <is>
          <t>Sim</t>
        </is>
      </c>
      <c r="K86" s="44" t="inlineStr">
        <is>
          <t>Não</t>
        </is>
      </c>
      <c r="L86" s="44" t="inlineStr">
        <is>
          <t>Sim</t>
        </is>
      </c>
      <c r="M86" s="90">
        <f>IF(F86="Baixa",'08_Premissas_Custos'!$B$6,IF(F86="Média",'08_Premissas_Custos'!$B$7,IF(F86="Alta",'08_Premissas_Custos'!$B$8,'08_Premissas_Custos'!$B$9)))</f>
        <v/>
      </c>
      <c r="N86" s="91">
        <f>'08_Premissas_Custos'!$B$13*M86</f>
        <v/>
      </c>
      <c r="O86" s="91">
        <f>'08_Premissas_Custos'!$B$14*M86*(1+IF(L86="Sim",0.25,0))</f>
        <v/>
      </c>
      <c r="P86" s="91">
        <f>'08_Premissas_Custos'!$B$15*M86*(1+IF(I86="Sim",0.20,0)+IF(K86="Sim",0.15,0))</f>
        <v/>
      </c>
      <c r="Q86" s="91">
        <f>'08_Premissas_Custos'!$B$16*M86*IF(J86="Sim",1.6,0.55)</f>
        <v/>
      </c>
      <c r="R86" s="91">
        <f>'08_Premissas_Custos'!$B$17*M86*IF(I86="Sim",1.8,0.15)</f>
        <v/>
      </c>
      <c r="S86" s="91">
        <f>'08_Premissas_Custos'!$B$18*M86*(1+IF(I86="Sim",0.15)+IF(L86="Sim",0.10))</f>
        <v/>
      </c>
      <c r="T86" s="91">
        <f>'08_Premissas_Custos'!$B$19*M86*(1+IF(J86="Sim",0.15))</f>
        <v/>
      </c>
      <c r="U86" s="91">
        <f>'08_Premissas_Custos'!$B$20*M86*IF(K86="Sim",1.8,0.7)</f>
        <v/>
      </c>
      <c r="V86" s="92">
        <f>SUM(N86:U86)</f>
        <v/>
      </c>
      <c r="W86" s="92">
        <f>V86*(1-H86)*IF(E86="Fase 2",'08_Premissas_Custos'!$F$10,1)</f>
        <v/>
      </c>
      <c r="X86" s="93">
        <f>(N86*'08_Premissas_Custos'!$C$13+O86*'08_Premissas_Custos'!$C$14+P86*'08_Premissas_Custos'!$C$15+Q86*'08_Premissas_Custos'!$C$16+R86*'08_Premissas_Custos'!$C$17+S86*'08_Premissas_Custos'!$C$18+T86*'08_Premissas_Custos'!$C$19+U86*'08_Premissas_Custos'!$C$20)*(1-H86)*IF(E86="Fase 2",'08_Premissas_Custos'!$F$10,1)</f>
        <v/>
      </c>
      <c r="Y86" s="93">
        <f>X86*'08_Premissas_Custos'!$F$7</f>
        <v/>
      </c>
      <c r="Z86" s="93">
        <f>(X86+Y86)*'08_Premissas_Custos'!$F$6</f>
        <v/>
      </c>
      <c r="AA86" s="93">
        <f>SUM(X86:Z86)</f>
        <v/>
      </c>
      <c r="AB86" s="14" t="inlineStr">
        <is>
          <t>Insights</t>
        </is>
      </c>
    </row>
    <row r="87">
      <c r="A87" s="14" t="n">
        <v>82</v>
      </c>
      <c r="B87" s="14" t="inlineStr">
        <is>
          <t>EVT</t>
        </is>
      </c>
      <c r="C87" s="14" t="inlineStr">
        <is>
          <t>Eventos</t>
        </is>
      </c>
      <c r="D87" s="14" t="inlineStr">
        <is>
          <t>Acessibilidade</t>
        </is>
      </c>
      <c r="E87" s="14" t="inlineStr">
        <is>
          <t>Fase 2</t>
        </is>
      </c>
      <c r="F87" s="14" t="inlineStr">
        <is>
          <t>Média</t>
        </is>
      </c>
      <c r="G87" s="14" t="str"/>
      <c r="H87" s="89" t="n">
        <v>0</v>
      </c>
      <c r="I87" s="44" t="inlineStr">
        <is>
          <t>Não</t>
        </is>
      </c>
      <c r="J87" s="44" t="inlineStr">
        <is>
          <t>Não</t>
        </is>
      </c>
      <c r="K87" s="44" t="inlineStr">
        <is>
          <t>Não</t>
        </is>
      </c>
      <c r="L87" s="44" t="inlineStr">
        <is>
          <t>Não</t>
        </is>
      </c>
      <c r="M87" s="90">
        <f>IF(F87="Baixa",'08_Premissas_Custos'!$B$6,IF(F87="Média",'08_Premissas_Custos'!$B$7,IF(F87="Alta",'08_Premissas_Custos'!$B$8,'08_Premissas_Custos'!$B$9)))</f>
        <v/>
      </c>
      <c r="N87" s="91">
        <f>'08_Premissas_Custos'!$B$13*M87</f>
        <v/>
      </c>
      <c r="O87" s="91">
        <f>'08_Premissas_Custos'!$B$14*M87*(1+IF(L87="Sim",0.25,0))</f>
        <v/>
      </c>
      <c r="P87" s="91">
        <f>'08_Premissas_Custos'!$B$15*M87*(1+IF(I87="Sim",0.20,0)+IF(K87="Sim",0.15,0))</f>
        <v/>
      </c>
      <c r="Q87" s="91">
        <f>'08_Premissas_Custos'!$B$16*M87*IF(J87="Sim",1.6,0.55)</f>
        <v/>
      </c>
      <c r="R87" s="91">
        <f>'08_Premissas_Custos'!$B$17*M87*IF(I87="Sim",1.8,0.15)</f>
        <v/>
      </c>
      <c r="S87" s="91">
        <f>'08_Premissas_Custos'!$B$18*M87*(1+IF(I87="Sim",0.15)+IF(L87="Sim",0.10))</f>
        <v/>
      </c>
      <c r="T87" s="91">
        <f>'08_Premissas_Custos'!$B$19*M87*(1+IF(J87="Sim",0.15))</f>
        <v/>
      </c>
      <c r="U87" s="91">
        <f>'08_Premissas_Custos'!$B$20*M87*IF(K87="Sim",1.8,0.7)</f>
        <v/>
      </c>
      <c r="V87" s="92">
        <f>SUM(N87:U87)</f>
        <v/>
      </c>
      <c r="W87" s="92">
        <f>V87*(1-H87)*IF(E87="Fase 2",'08_Premissas_Custos'!$F$10,1)</f>
        <v/>
      </c>
      <c r="X87" s="93">
        <f>(N87*'08_Premissas_Custos'!$C$13+O87*'08_Premissas_Custos'!$C$14+P87*'08_Premissas_Custos'!$C$15+Q87*'08_Premissas_Custos'!$C$16+R87*'08_Premissas_Custos'!$C$17+S87*'08_Premissas_Custos'!$C$18+T87*'08_Premissas_Custos'!$C$19+U87*'08_Premissas_Custos'!$C$20)*(1-H87)*IF(E87="Fase 2",'08_Premissas_Custos'!$F$10,1)</f>
        <v/>
      </c>
      <c r="Y87" s="93">
        <f>X87*'08_Premissas_Custos'!$F$7</f>
        <v/>
      </c>
      <c r="Z87" s="93">
        <f>(X87+Y87)*'08_Premissas_Custos'!$F$6</f>
        <v/>
      </c>
      <c r="AA87" s="93">
        <f>SUM(X87:Z87)</f>
        <v/>
      </c>
      <c r="AB87" s="14" t="inlineStr">
        <is>
          <t>Plano</t>
        </is>
      </c>
    </row>
    <row r="88">
      <c r="A88" s="14" t="n">
        <v>83</v>
      </c>
      <c r="B88" s="14" t="inlineStr">
        <is>
          <t>EVT</t>
        </is>
      </c>
      <c r="C88" s="14" t="inlineStr">
        <is>
          <t>Eventos</t>
        </is>
      </c>
      <c r="D88" s="14" t="inlineStr">
        <is>
          <t>Segurança / combate ao assédio</t>
        </is>
      </c>
      <c r="E88" s="14" t="inlineStr">
        <is>
          <t>Fase 2</t>
        </is>
      </c>
      <c r="F88" s="14" t="inlineStr">
        <is>
          <t>Alta</t>
        </is>
      </c>
      <c r="G88" s="14" t="str"/>
      <c r="H88" s="89" t="n">
        <v>0</v>
      </c>
      <c r="I88" s="44" t="inlineStr">
        <is>
          <t>Não</t>
        </is>
      </c>
      <c r="J88" s="44" t="inlineStr">
        <is>
          <t>Não</t>
        </is>
      </c>
      <c r="K88" s="44" t="inlineStr">
        <is>
          <t>Sim</t>
        </is>
      </c>
      <c r="L88" s="44" t="inlineStr">
        <is>
          <t>Sim</t>
        </is>
      </c>
      <c r="M88" s="90">
        <f>IF(F88="Baixa",'08_Premissas_Custos'!$B$6,IF(F88="Média",'08_Premissas_Custos'!$B$7,IF(F88="Alta",'08_Premissas_Custos'!$B$8,'08_Premissas_Custos'!$B$9)))</f>
        <v/>
      </c>
      <c r="N88" s="91">
        <f>'08_Premissas_Custos'!$B$13*M88</f>
        <v/>
      </c>
      <c r="O88" s="91">
        <f>'08_Premissas_Custos'!$B$14*M88*(1+IF(L88="Sim",0.25,0))</f>
        <v/>
      </c>
      <c r="P88" s="91">
        <f>'08_Premissas_Custos'!$B$15*M88*(1+IF(I88="Sim",0.20,0)+IF(K88="Sim",0.15,0))</f>
        <v/>
      </c>
      <c r="Q88" s="91">
        <f>'08_Premissas_Custos'!$B$16*M88*IF(J88="Sim",1.6,0.55)</f>
        <v/>
      </c>
      <c r="R88" s="91">
        <f>'08_Premissas_Custos'!$B$17*M88*IF(I88="Sim",1.8,0.15)</f>
        <v/>
      </c>
      <c r="S88" s="91">
        <f>'08_Premissas_Custos'!$B$18*M88*(1+IF(I88="Sim",0.15)+IF(L88="Sim",0.10))</f>
        <v/>
      </c>
      <c r="T88" s="91">
        <f>'08_Premissas_Custos'!$B$19*M88*(1+IF(J88="Sim",0.15))</f>
        <v/>
      </c>
      <c r="U88" s="91">
        <f>'08_Premissas_Custos'!$B$20*M88*IF(K88="Sim",1.8,0.7)</f>
        <v/>
      </c>
      <c r="V88" s="92">
        <f>SUM(N88:U88)</f>
        <v/>
      </c>
      <c r="W88" s="92">
        <f>V88*(1-H88)*IF(E88="Fase 2",'08_Premissas_Custos'!$F$10,1)</f>
        <v/>
      </c>
      <c r="X88" s="93">
        <f>(N88*'08_Premissas_Custos'!$C$13+O88*'08_Premissas_Custos'!$C$14+P88*'08_Premissas_Custos'!$C$15+Q88*'08_Premissas_Custos'!$C$16+R88*'08_Premissas_Custos'!$C$17+S88*'08_Premissas_Custos'!$C$18+T88*'08_Premissas_Custos'!$C$19+U88*'08_Premissas_Custos'!$C$20)*(1-H88)*IF(E88="Fase 2",'08_Premissas_Custos'!$F$10,1)</f>
        <v/>
      </c>
      <c r="Y88" s="93">
        <f>X88*'08_Premissas_Custos'!$F$7</f>
        <v/>
      </c>
      <c r="Z88" s="93">
        <f>(X88+Y88)*'08_Premissas_Custos'!$F$6</f>
        <v/>
      </c>
      <c r="AA88" s="93">
        <f>SUM(X88:Z88)</f>
        <v/>
      </c>
      <c r="AB88" s="14" t="inlineStr">
        <is>
          <t>Protocolos</t>
        </is>
      </c>
    </row>
    <row r="89">
      <c r="A89" s="14" t="n">
        <v>84</v>
      </c>
      <c r="B89" s="14" t="inlineStr">
        <is>
          <t>EVT</t>
        </is>
      </c>
      <c r="C89" s="14" t="inlineStr">
        <is>
          <t>Eventos</t>
        </is>
      </c>
      <c r="D89" s="14" t="inlineStr">
        <is>
          <t>Operação / checklists</t>
        </is>
      </c>
      <c r="E89" s="14" t="inlineStr">
        <is>
          <t>Fase 2</t>
        </is>
      </c>
      <c r="F89" s="14" t="inlineStr">
        <is>
          <t>Alta</t>
        </is>
      </c>
      <c r="G89" s="14" t="str"/>
      <c r="H89" s="89" t="n">
        <v>0</v>
      </c>
      <c r="I89" s="44" t="inlineStr">
        <is>
          <t>Não</t>
        </is>
      </c>
      <c r="J89" s="44" t="inlineStr">
        <is>
          <t>Não</t>
        </is>
      </c>
      <c r="K89" s="44" t="inlineStr">
        <is>
          <t>Não</t>
        </is>
      </c>
      <c r="L89" s="44" t="inlineStr">
        <is>
          <t>Sim</t>
        </is>
      </c>
      <c r="M89" s="90">
        <f>IF(F89="Baixa",'08_Premissas_Custos'!$B$6,IF(F89="Média",'08_Premissas_Custos'!$B$7,IF(F89="Alta",'08_Premissas_Custos'!$B$8,'08_Premissas_Custos'!$B$9)))</f>
        <v/>
      </c>
      <c r="N89" s="91">
        <f>'08_Premissas_Custos'!$B$13*M89</f>
        <v/>
      </c>
      <c r="O89" s="91">
        <f>'08_Premissas_Custos'!$B$14*M89*(1+IF(L89="Sim",0.25,0))</f>
        <v/>
      </c>
      <c r="P89" s="91">
        <f>'08_Premissas_Custos'!$B$15*M89*(1+IF(I89="Sim",0.20,0)+IF(K89="Sim",0.15,0))</f>
        <v/>
      </c>
      <c r="Q89" s="91">
        <f>'08_Premissas_Custos'!$B$16*M89*IF(J89="Sim",1.6,0.55)</f>
        <v/>
      </c>
      <c r="R89" s="91">
        <f>'08_Premissas_Custos'!$B$17*M89*IF(I89="Sim",1.8,0.15)</f>
        <v/>
      </c>
      <c r="S89" s="91">
        <f>'08_Premissas_Custos'!$B$18*M89*(1+IF(I89="Sim",0.15)+IF(L89="Sim",0.10))</f>
        <v/>
      </c>
      <c r="T89" s="91">
        <f>'08_Premissas_Custos'!$B$19*M89*(1+IF(J89="Sim",0.15))</f>
        <v/>
      </c>
      <c r="U89" s="91">
        <f>'08_Premissas_Custos'!$B$20*M89*IF(K89="Sim",1.8,0.7)</f>
        <v/>
      </c>
      <c r="V89" s="92">
        <f>SUM(N89:U89)</f>
        <v/>
      </c>
      <c r="W89" s="92">
        <f>V89*(1-H89)*IF(E89="Fase 2",'08_Premissas_Custos'!$F$10,1)</f>
        <v/>
      </c>
      <c r="X89" s="93">
        <f>(N89*'08_Premissas_Custos'!$C$13+O89*'08_Premissas_Custos'!$C$14+P89*'08_Premissas_Custos'!$C$15+Q89*'08_Premissas_Custos'!$C$16+R89*'08_Premissas_Custos'!$C$17+S89*'08_Premissas_Custos'!$C$18+T89*'08_Premissas_Custos'!$C$19+U89*'08_Premissas_Custos'!$C$20)*(1-H89)*IF(E89="Fase 2",'08_Premissas_Custos'!$F$10,1)</f>
        <v/>
      </c>
      <c r="Y89" s="93">
        <f>X89*'08_Premissas_Custos'!$F$7</f>
        <v/>
      </c>
      <c r="Z89" s="93">
        <f>(X89+Y89)*'08_Premissas_Custos'!$F$6</f>
        <v/>
      </c>
      <c r="AA89" s="93">
        <f>SUM(X89:Z89)</f>
        <v/>
      </c>
      <c r="AB89" s="14" t="inlineStr">
        <is>
          <t>Execução</t>
        </is>
      </c>
    </row>
    <row r="90">
      <c r="A90" s="14" t="n">
        <v>85</v>
      </c>
      <c r="B90" s="14" t="inlineStr">
        <is>
          <t>EVT</t>
        </is>
      </c>
      <c r="C90" s="14" t="inlineStr">
        <is>
          <t>Eventos</t>
        </is>
      </c>
      <c r="D90" s="14" t="inlineStr">
        <is>
          <t>Indicadores em tempo real</t>
        </is>
      </c>
      <c r="E90" s="14" t="inlineStr">
        <is>
          <t>Fase 2</t>
        </is>
      </c>
      <c r="F90" s="14" t="inlineStr">
        <is>
          <t>Alta</t>
        </is>
      </c>
      <c r="G90" s="14" t="inlineStr">
        <is>
          <t>Indicadores em tempo real</t>
        </is>
      </c>
      <c r="H90" s="89" t="n">
        <v>0.45</v>
      </c>
      <c r="I90" s="44" t="inlineStr">
        <is>
          <t>Não</t>
        </is>
      </c>
      <c r="J90" s="44" t="inlineStr">
        <is>
          <t>Sim</t>
        </is>
      </c>
      <c r="K90" s="44" t="inlineStr">
        <is>
          <t>Não</t>
        </is>
      </c>
      <c r="L90" s="44" t="inlineStr">
        <is>
          <t>Não</t>
        </is>
      </c>
      <c r="M90" s="90">
        <f>IF(F90="Baixa",'08_Premissas_Custos'!$B$6,IF(F90="Média",'08_Premissas_Custos'!$B$7,IF(F90="Alta",'08_Premissas_Custos'!$B$8,'08_Premissas_Custos'!$B$9)))</f>
        <v/>
      </c>
      <c r="N90" s="91">
        <f>'08_Premissas_Custos'!$B$13*M90</f>
        <v/>
      </c>
      <c r="O90" s="91">
        <f>'08_Premissas_Custos'!$B$14*M90*(1+IF(L90="Sim",0.25,0))</f>
        <v/>
      </c>
      <c r="P90" s="91">
        <f>'08_Premissas_Custos'!$B$15*M90*(1+IF(I90="Sim",0.20,0)+IF(K90="Sim",0.15,0))</f>
        <v/>
      </c>
      <c r="Q90" s="91">
        <f>'08_Premissas_Custos'!$B$16*M90*IF(J90="Sim",1.6,0.55)</f>
        <v/>
      </c>
      <c r="R90" s="91">
        <f>'08_Premissas_Custos'!$B$17*M90*IF(I90="Sim",1.8,0.15)</f>
        <v/>
      </c>
      <c r="S90" s="91">
        <f>'08_Premissas_Custos'!$B$18*M90*(1+IF(I90="Sim",0.15)+IF(L90="Sim",0.10))</f>
        <v/>
      </c>
      <c r="T90" s="91">
        <f>'08_Premissas_Custos'!$B$19*M90*(1+IF(J90="Sim",0.15))</f>
        <v/>
      </c>
      <c r="U90" s="91">
        <f>'08_Premissas_Custos'!$B$20*M90*IF(K90="Sim",1.8,0.7)</f>
        <v/>
      </c>
      <c r="V90" s="92">
        <f>SUM(N90:U90)</f>
        <v/>
      </c>
      <c r="W90" s="92">
        <f>V90*(1-H90)*IF(E90="Fase 2",'08_Premissas_Custos'!$F$10,1)</f>
        <v/>
      </c>
      <c r="X90" s="93">
        <f>(N90*'08_Premissas_Custos'!$C$13+O90*'08_Premissas_Custos'!$C$14+P90*'08_Premissas_Custos'!$C$15+Q90*'08_Premissas_Custos'!$C$16+R90*'08_Premissas_Custos'!$C$17+S90*'08_Premissas_Custos'!$C$18+T90*'08_Premissas_Custos'!$C$19+U90*'08_Premissas_Custos'!$C$20)*(1-H90)*IF(E90="Fase 2",'08_Premissas_Custos'!$F$10,1)</f>
        <v/>
      </c>
      <c r="Y90" s="93">
        <f>X90*'08_Premissas_Custos'!$F$7</f>
        <v/>
      </c>
      <c r="Z90" s="93">
        <f>(X90+Y90)*'08_Premissas_Custos'!$F$6</f>
        <v/>
      </c>
      <c r="AA90" s="93">
        <f>SUM(X90:Z90)</f>
        <v/>
      </c>
      <c r="AB90" s="14" t="inlineStr">
        <is>
          <t>Operação</t>
        </is>
      </c>
    </row>
    <row r="91">
      <c r="A91" s="14" t="n">
        <v>86</v>
      </c>
      <c r="B91" s="14" t="inlineStr">
        <is>
          <t>EVT</t>
        </is>
      </c>
      <c r="C91" s="14" t="inlineStr">
        <is>
          <t>Eventos</t>
        </is>
      </c>
      <c r="D91" s="14" t="inlineStr">
        <is>
          <t>ROI / impacto financeiro</t>
        </is>
      </c>
      <c r="E91" s="14" t="inlineStr">
        <is>
          <t>Fase 2</t>
        </is>
      </c>
      <c r="F91" s="14" t="inlineStr">
        <is>
          <t>Alta</t>
        </is>
      </c>
      <c r="G91" s="14" t="str"/>
      <c r="H91" s="89" t="n">
        <v>0</v>
      </c>
      <c r="I91" s="44" t="inlineStr">
        <is>
          <t>Não</t>
        </is>
      </c>
      <c r="J91" s="44" t="inlineStr">
        <is>
          <t>Sim</t>
        </is>
      </c>
      <c r="K91" s="44" t="inlineStr">
        <is>
          <t>Não</t>
        </is>
      </c>
      <c r="L91" s="44" t="inlineStr">
        <is>
          <t>Não</t>
        </is>
      </c>
      <c r="M91" s="90">
        <f>IF(F91="Baixa",'08_Premissas_Custos'!$B$6,IF(F91="Média",'08_Premissas_Custos'!$B$7,IF(F91="Alta",'08_Premissas_Custos'!$B$8,'08_Premissas_Custos'!$B$9)))</f>
        <v/>
      </c>
      <c r="N91" s="91">
        <f>'08_Premissas_Custos'!$B$13*M91</f>
        <v/>
      </c>
      <c r="O91" s="91">
        <f>'08_Premissas_Custos'!$B$14*M91*(1+IF(L91="Sim",0.25,0))</f>
        <v/>
      </c>
      <c r="P91" s="91">
        <f>'08_Premissas_Custos'!$B$15*M91*(1+IF(I91="Sim",0.20,0)+IF(K91="Sim",0.15,0))</f>
        <v/>
      </c>
      <c r="Q91" s="91">
        <f>'08_Premissas_Custos'!$B$16*M91*IF(J91="Sim",1.6,0.55)</f>
        <v/>
      </c>
      <c r="R91" s="91">
        <f>'08_Premissas_Custos'!$B$17*M91*IF(I91="Sim",1.8,0.15)</f>
        <v/>
      </c>
      <c r="S91" s="91">
        <f>'08_Premissas_Custos'!$B$18*M91*(1+IF(I91="Sim",0.15)+IF(L91="Sim",0.10))</f>
        <v/>
      </c>
      <c r="T91" s="91">
        <f>'08_Premissas_Custos'!$B$19*M91*(1+IF(J91="Sim",0.15))</f>
        <v/>
      </c>
      <c r="U91" s="91">
        <f>'08_Premissas_Custos'!$B$20*M91*IF(K91="Sim",1.8,0.7)</f>
        <v/>
      </c>
      <c r="V91" s="92">
        <f>SUM(N91:U91)</f>
        <v/>
      </c>
      <c r="W91" s="92">
        <f>V91*(1-H91)*IF(E91="Fase 2",'08_Premissas_Custos'!$F$10,1)</f>
        <v/>
      </c>
      <c r="X91" s="93">
        <f>(N91*'08_Premissas_Custos'!$C$13+O91*'08_Premissas_Custos'!$C$14+P91*'08_Premissas_Custos'!$C$15+Q91*'08_Premissas_Custos'!$C$16+R91*'08_Premissas_Custos'!$C$17+S91*'08_Premissas_Custos'!$C$18+T91*'08_Premissas_Custos'!$C$19+U91*'08_Premissas_Custos'!$C$20)*(1-H91)*IF(E91="Fase 2",'08_Premissas_Custos'!$F$10,1)</f>
        <v/>
      </c>
      <c r="Y91" s="93">
        <f>X91*'08_Premissas_Custos'!$F$7</f>
        <v/>
      </c>
      <c r="Z91" s="93">
        <f>(X91+Y91)*'08_Premissas_Custos'!$F$6</f>
        <v/>
      </c>
      <c r="AA91" s="93">
        <f>SUM(X91:Z91)</f>
        <v/>
      </c>
      <c r="AB91" s="14" t="inlineStr">
        <is>
          <t>Retorno</t>
        </is>
      </c>
    </row>
    <row r="92">
      <c r="A92" s="14" t="n">
        <v>87</v>
      </c>
      <c r="B92" s="14" t="inlineStr">
        <is>
          <t>EVT</t>
        </is>
      </c>
      <c r="C92" s="14" t="inlineStr">
        <is>
          <t>Eventos</t>
        </is>
      </c>
      <c r="D92" s="14" t="inlineStr">
        <is>
          <t>Relatório pós-evento</t>
        </is>
      </c>
      <c r="E92" s="14" t="inlineStr">
        <is>
          <t>Fase 2</t>
        </is>
      </c>
      <c r="F92" s="14" t="inlineStr">
        <is>
          <t>Média</t>
        </is>
      </c>
      <c r="G92" s="14" t="str"/>
      <c r="H92" s="89" t="n">
        <v>0</v>
      </c>
      <c r="I92" s="44" t="inlineStr">
        <is>
          <t>Não</t>
        </is>
      </c>
      <c r="J92" s="44" t="inlineStr">
        <is>
          <t>Sim</t>
        </is>
      </c>
      <c r="K92" s="44" t="inlineStr">
        <is>
          <t>Não</t>
        </is>
      </c>
      <c r="L92" s="44" t="inlineStr">
        <is>
          <t>Não</t>
        </is>
      </c>
      <c r="M92" s="90">
        <f>IF(F92="Baixa",'08_Premissas_Custos'!$B$6,IF(F92="Média",'08_Premissas_Custos'!$B$7,IF(F92="Alta",'08_Premissas_Custos'!$B$8,'08_Premissas_Custos'!$B$9)))</f>
        <v/>
      </c>
      <c r="N92" s="91">
        <f>'08_Premissas_Custos'!$B$13*M92</f>
        <v/>
      </c>
      <c r="O92" s="91">
        <f>'08_Premissas_Custos'!$B$14*M92*(1+IF(L92="Sim",0.25,0))</f>
        <v/>
      </c>
      <c r="P92" s="91">
        <f>'08_Premissas_Custos'!$B$15*M92*(1+IF(I92="Sim",0.20,0)+IF(K92="Sim",0.15,0))</f>
        <v/>
      </c>
      <c r="Q92" s="91">
        <f>'08_Premissas_Custos'!$B$16*M92*IF(J92="Sim",1.6,0.55)</f>
        <v/>
      </c>
      <c r="R92" s="91">
        <f>'08_Premissas_Custos'!$B$17*M92*IF(I92="Sim",1.8,0.15)</f>
        <v/>
      </c>
      <c r="S92" s="91">
        <f>'08_Premissas_Custos'!$B$18*M92*(1+IF(I92="Sim",0.15)+IF(L92="Sim",0.10))</f>
        <v/>
      </c>
      <c r="T92" s="91">
        <f>'08_Premissas_Custos'!$B$19*M92*(1+IF(J92="Sim",0.15))</f>
        <v/>
      </c>
      <c r="U92" s="91">
        <f>'08_Premissas_Custos'!$B$20*M92*IF(K92="Sim",1.8,0.7)</f>
        <v/>
      </c>
      <c r="V92" s="92">
        <f>SUM(N92:U92)</f>
        <v/>
      </c>
      <c r="W92" s="92">
        <f>V92*(1-H92)*IF(E92="Fase 2",'08_Premissas_Custos'!$F$10,1)</f>
        <v/>
      </c>
      <c r="X92" s="93">
        <f>(N92*'08_Premissas_Custos'!$C$13+O92*'08_Premissas_Custos'!$C$14+P92*'08_Premissas_Custos'!$C$15+Q92*'08_Premissas_Custos'!$C$16+R92*'08_Premissas_Custos'!$C$17+S92*'08_Premissas_Custos'!$C$18+T92*'08_Premissas_Custos'!$C$19+U92*'08_Premissas_Custos'!$C$20)*(1-H92)*IF(E92="Fase 2",'08_Premissas_Custos'!$F$10,1)</f>
        <v/>
      </c>
      <c r="Y92" s="93">
        <f>X92*'08_Premissas_Custos'!$F$7</f>
        <v/>
      </c>
      <c r="Z92" s="93">
        <f>(X92+Y92)*'08_Premissas_Custos'!$F$6</f>
        <v/>
      </c>
      <c r="AA92" s="93">
        <f>SUM(X92:Z92)</f>
        <v/>
      </c>
      <c r="AB92" s="14" t="inlineStr">
        <is>
          <t>Resultados</t>
        </is>
      </c>
    </row>
    <row r="93">
      <c r="A93" s="14" t="n">
        <v>88</v>
      </c>
      <c r="B93" s="14" t="inlineStr">
        <is>
          <t>COM</t>
        </is>
      </c>
      <c r="C93" s="14" t="inlineStr">
        <is>
          <t>Comunidades / Eu &amp; Eu / Cultura</t>
        </is>
      </c>
      <c r="D93" s="14" t="inlineStr">
        <is>
          <t>Meu perfil</t>
        </is>
      </c>
      <c r="E93" s="14" t="inlineStr">
        <is>
          <t>Fase 2</t>
        </is>
      </c>
      <c r="F93" s="14" t="inlineStr">
        <is>
          <t>Baixa</t>
        </is>
      </c>
      <c r="G93" s="14" t="str"/>
      <c r="H93" s="89" t="n">
        <v>0</v>
      </c>
      <c r="I93" s="44" t="inlineStr">
        <is>
          <t>Não</t>
        </is>
      </c>
      <c r="J93" s="44" t="inlineStr">
        <is>
          <t>Não</t>
        </is>
      </c>
      <c r="K93" s="44" t="inlineStr">
        <is>
          <t>Não</t>
        </is>
      </c>
      <c r="L93" s="44" t="inlineStr">
        <is>
          <t>Sim</t>
        </is>
      </c>
      <c r="M93" s="90">
        <f>IF(F93="Baixa",'08_Premissas_Custos'!$B$6,IF(F93="Média",'08_Premissas_Custos'!$B$7,IF(F93="Alta",'08_Premissas_Custos'!$B$8,'08_Premissas_Custos'!$B$9)))</f>
        <v/>
      </c>
      <c r="N93" s="91">
        <f>'08_Premissas_Custos'!$B$13*M93</f>
        <v/>
      </c>
      <c r="O93" s="91">
        <f>'08_Premissas_Custos'!$B$14*M93*(1+IF(L93="Sim",0.25,0))</f>
        <v/>
      </c>
      <c r="P93" s="91">
        <f>'08_Premissas_Custos'!$B$15*M93*(1+IF(I93="Sim",0.20,0)+IF(K93="Sim",0.15,0))</f>
        <v/>
      </c>
      <c r="Q93" s="91">
        <f>'08_Premissas_Custos'!$B$16*M93*IF(J93="Sim",1.6,0.55)</f>
        <v/>
      </c>
      <c r="R93" s="91">
        <f>'08_Premissas_Custos'!$B$17*M93*IF(I93="Sim",1.8,0.15)</f>
        <v/>
      </c>
      <c r="S93" s="91">
        <f>'08_Premissas_Custos'!$B$18*M93*(1+IF(I93="Sim",0.15)+IF(L93="Sim",0.10))</f>
        <v/>
      </c>
      <c r="T93" s="91">
        <f>'08_Premissas_Custos'!$B$19*M93*(1+IF(J93="Sim",0.15))</f>
        <v/>
      </c>
      <c r="U93" s="91">
        <f>'08_Premissas_Custos'!$B$20*M93*IF(K93="Sim",1.8,0.7)</f>
        <v/>
      </c>
      <c r="V93" s="92">
        <f>SUM(N93:U93)</f>
        <v/>
      </c>
      <c r="W93" s="92">
        <f>V93*(1-H93)*IF(E93="Fase 2",'08_Premissas_Custos'!$F$10,1)</f>
        <v/>
      </c>
      <c r="X93" s="93">
        <f>(N93*'08_Premissas_Custos'!$C$13+O93*'08_Premissas_Custos'!$C$14+P93*'08_Premissas_Custos'!$C$15+Q93*'08_Premissas_Custos'!$C$16+R93*'08_Premissas_Custos'!$C$17+S93*'08_Premissas_Custos'!$C$18+T93*'08_Premissas_Custos'!$C$19+U93*'08_Premissas_Custos'!$C$20)*(1-H93)*IF(E93="Fase 2",'08_Premissas_Custos'!$F$10,1)</f>
        <v/>
      </c>
      <c r="Y93" s="93">
        <f>X93*'08_Premissas_Custos'!$F$7</f>
        <v/>
      </c>
      <c r="Z93" s="93">
        <f>(X93+Y93)*'08_Premissas_Custos'!$F$6</f>
        <v/>
      </c>
      <c r="AA93" s="93">
        <f>SUM(X93:Z93)</f>
        <v/>
      </c>
      <c r="AB93" s="14" t="inlineStr">
        <is>
          <t>Preferências</t>
        </is>
      </c>
    </row>
    <row r="94">
      <c r="A94" s="14" t="n">
        <v>89</v>
      </c>
      <c r="B94" s="14" t="inlineStr">
        <is>
          <t>COM</t>
        </is>
      </c>
      <c r="C94" s="14" t="inlineStr">
        <is>
          <t>Comunidades / Eu &amp; Eu / Cultura</t>
        </is>
      </c>
      <c r="D94" s="14" t="inlineStr">
        <is>
          <t>Objetivos</t>
        </is>
      </c>
      <c r="E94" s="14" t="inlineStr">
        <is>
          <t>Fase 2</t>
        </is>
      </c>
      <c r="F94" s="14" t="inlineStr">
        <is>
          <t>Média</t>
        </is>
      </c>
      <c r="G94" s="14" t="str"/>
      <c r="H94" s="89" t="n">
        <v>0</v>
      </c>
      <c r="I94" s="44" t="inlineStr">
        <is>
          <t>Não</t>
        </is>
      </c>
      <c r="J94" s="44" t="inlineStr">
        <is>
          <t>Não</t>
        </is>
      </c>
      <c r="K94" s="44" t="inlineStr">
        <is>
          <t>Não</t>
        </is>
      </c>
      <c r="L94" s="44" t="inlineStr">
        <is>
          <t>Sim</t>
        </is>
      </c>
      <c r="M94" s="90">
        <f>IF(F94="Baixa",'08_Premissas_Custos'!$B$6,IF(F94="Média",'08_Premissas_Custos'!$B$7,IF(F94="Alta",'08_Premissas_Custos'!$B$8,'08_Premissas_Custos'!$B$9)))</f>
        <v/>
      </c>
      <c r="N94" s="91">
        <f>'08_Premissas_Custos'!$B$13*M94</f>
        <v/>
      </c>
      <c r="O94" s="91">
        <f>'08_Premissas_Custos'!$B$14*M94*(1+IF(L94="Sim",0.25,0))</f>
        <v/>
      </c>
      <c r="P94" s="91">
        <f>'08_Premissas_Custos'!$B$15*M94*(1+IF(I94="Sim",0.20,0)+IF(K94="Sim",0.15,0))</f>
        <v/>
      </c>
      <c r="Q94" s="91">
        <f>'08_Premissas_Custos'!$B$16*M94*IF(J94="Sim",1.6,0.55)</f>
        <v/>
      </c>
      <c r="R94" s="91">
        <f>'08_Premissas_Custos'!$B$17*M94*IF(I94="Sim",1.8,0.15)</f>
        <v/>
      </c>
      <c r="S94" s="91">
        <f>'08_Premissas_Custos'!$B$18*M94*(1+IF(I94="Sim",0.15)+IF(L94="Sim",0.10))</f>
        <v/>
      </c>
      <c r="T94" s="91">
        <f>'08_Premissas_Custos'!$B$19*M94*(1+IF(J94="Sim",0.15))</f>
        <v/>
      </c>
      <c r="U94" s="91">
        <f>'08_Premissas_Custos'!$B$20*M94*IF(K94="Sim",1.8,0.7)</f>
        <v/>
      </c>
      <c r="V94" s="92">
        <f>SUM(N94:U94)</f>
        <v/>
      </c>
      <c r="W94" s="92">
        <f>V94*(1-H94)*IF(E94="Fase 2",'08_Premissas_Custos'!$F$10,1)</f>
        <v/>
      </c>
      <c r="X94" s="93">
        <f>(N94*'08_Premissas_Custos'!$C$13+O94*'08_Premissas_Custos'!$C$14+P94*'08_Premissas_Custos'!$C$15+Q94*'08_Premissas_Custos'!$C$16+R94*'08_Premissas_Custos'!$C$17+S94*'08_Premissas_Custos'!$C$18+T94*'08_Premissas_Custos'!$C$19+U94*'08_Premissas_Custos'!$C$20)*(1-H94)*IF(E94="Fase 2",'08_Premissas_Custos'!$F$10,1)</f>
        <v/>
      </c>
      <c r="Y94" s="93">
        <f>X94*'08_Premissas_Custos'!$F$7</f>
        <v/>
      </c>
      <c r="Z94" s="93">
        <f>(X94+Y94)*'08_Premissas_Custos'!$F$6</f>
        <v/>
      </c>
      <c r="AA94" s="93">
        <f>SUM(X94:Z94)</f>
        <v/>
      </c>
      <c r="AB94" s="14" t="inlineStr">
        <is>
          <t>Metas</t>
        </is>
      </c>
    </row>
    <row r="95">
      <c r="A95" s="14" t="n">
        <v>90</v>
      </c>
      <c r="B95" s="14" t="inlineStr">
        <is>
          <t>COM</t>
        </is>
      </c>
      <c r="C95" s="14" t="inlineStr">
        <is>
          <t>Comunidades / Eu &amp; Eu / Cultura</t>
        </is>
      </c>
      <c r="D95" s="14" t="inlineStr">
        <is>
          <t>Plano de ação</t>
        </is>
      </c>
      <c r="E95" s="14" t="inlineStr">
        <is>
          <t>Fase 2</t>
        </is>
      </c>
      <c r="F95" s="14" t="inlineStr">
        <is>
          <t>Média</t>
        </is>
      </c>
      <c r="G95" s="14" t="str"/>
      <c r="H95" s="89" t="n">
        <v>0</v>
      </c>
      <c r="I95" s="44" t="inlineStr">
        <is>
          <t>Não</t>
        </is>
      </c>
      <c r="J95" s="44" t="inlineStr">
        <is>
          <t>Não</t>
        </is>
      </c>
      <c r="K95" s="44" t="inlineStr">
        <is>
          <t>Não</t>
        </is>
      </c>
      <c r="L95" s="44" t="inlineStr">
        <is>
          <t>Sim</t>
        </is>
      </c>
      <c r="M95" s="90">
        <f>IF(F95="Baixa",'08_Premissas_Custos'!$B$6,IF(F95="Média",'08_Premissas_Custos'!$B$7,IF(F95="Alta",'08_Premissas_Custos'!$B$8,'08_Premissas_Custos'!$B$9)))</f>
        <v/>
      </c>
      <c r="N95" s="91">
        <f>'08_Premissas_Custos'!$B$13*M95</f>
        <v/>
      </c>
      <c r="O95" s="91">
        <f>'08_Premissas_Custos'!$B$14*M95*(1+IF(L95="Sim",0.25,0))</f>
        <v/>
      </c>
      <c r="P95" s="91">
        <f>'08_Premissas_Custos'!$B$15*M95*(1+IF(I95="Sim",0.20,0)+IF(K95="Sim",0.15,0))</f>
        <v/>
      </c>
      <c r="Q95" s="91">
        <f>'08_Premissas_Custos'!$B$16*M95*IF(J95="Sim",1.6,0.55)</f>
        <v/>
      </c>
      <c r="R95" s="91">
        <f>'08_Premissas_Custos'!$B$17*M95*IF(I95="Sim",1.8,0.15)</f>
        <v/>
      </c>
      <c r="S95" s="91">
        <f>'08_Premissas_Custos'!$B$18*M95*(1+IF(I95="Sim",0.15)+IF(L95="Sim",0.10))</f>
        <v/>
      </c>
      <c r="T95" s="91">
        <f>'08_Premissas_Custos'!$B$19*M95*(1+IF(J95="Sim",0.15))</f>
        <v/>
      </c>
      <c r="U95" s="91">
        <f>'08_Premissas_Custos'!$B$20*M95*IF(K95="Sim",1.8,0.7)</f>
        <v/>
      </c>
      <c r="V95" s="92">
        <f>SUM(N95:U95)</f>
        <v/>
      </c>
      <c r="W95" s="92">
        <f>V95*(1-H95)*IF(E95="Fase 2",'08_Premissas_Custos'!$F$10,1)</f>
        <v/>
      </c>
      <c r="X95" s="93">
        <f>(N95*'08_Premissas_Custos'!$C$13+O95*'08_Premissas_Custos'!$C$14+P95*'08_Premissas_Custos'!$C$15+Q95*'08_Premissas_Custos'!$C$16+R95*'08_Premissas_Custos'!$C$17+S95*'08_Premissas_Custos'!$C$18+T95*'08_Premissas_Custos'!$C$19+U95*'08_Premissas_Custos'!$C$20)*(1-H95)*IF(E95="Fase 2",'08_Premissas_Custos'!$F$10,1)</f>
        <v/>
      </c>
      <c r="Y95" s="93">
        <f>X95*'08_Premissas_Custos'!$F$7</f>
        <v/>
      </c>
      <c r="Z95" s="93">
        <f>(X95+Y95)*'08_Premissas_Custos'!$F$6</f>
        <v/>
      </c>
      <c r="AA95" s="93">
        <f>SUM(X95:Z95)</f>
        <v/>
      </c>
      <c r="AB95" s="14" t="inlineStr">
        <is>
          <t>Passos</t>
        </is>
      </c>
    </row>
    <row r="96">
      <c r="A96" s="14" t="n">
        <v>91</v>
      </c>
      <c r="B96" s="14" t="inlineStr">
        <is>
          <t>COM</t>
        </is>
      </c>
      <c r="C96" s="14" t="inlineStr">
        <is>
          <t>Comunidades / Eu &amp; Eu / Cultura</t>
        </is>
      </c>
      <c r="D96" s="14" t="inlineStr">
        <is>
          <t>Preparação / conteúdos</t>
        </is>
      </c>
      <c r="E96" s="14" t="inlineStr">
        <is>
          <t>Fase 2</t>
        </is>
      </c>
      <c r="F96" s="14" t="inlineStr">
        <is>
          <t>Média</t>
        </is>
      </c>
      <c r="G96" s="14" t="str"/>
      <c r="H96" s="89" t="n">
        <v>0</v>
      </c>
      <c r="I96" s="44" t="inlineStr">
        <is>
          <t>Não</t>
        </is>
      </c>
      <c r="J96" s="44" t="inlineStr">
        <is>
          <t>Não</t>
        </is>
      </c>
      <c r="K96" s="44" t="inlineStr">
        <is>
          <t>Não</t>
        </is>
      </c>
      <c r="L96" s="44" t="inlineStr">
        <is>
          <t>Sim</t>
        </is>
      </c>
      <c r="M96" s="90">
        <f>IF(F96="Baixa",'08_Premissas_Custos'!$B$6,IF(F96="Média",'08_Premissas_Custos'!$B$7,IF(F96="Alta",'08_Premissas_Custos'!$B$8,'08_Premissas_Custos'!$B$9)))</f>
        <v/>
      </c>
      <c r="N96" s="91">
        <f>'08_Premissas_Custos'!$B$13*M96</f>
        <v/>
      </c>
      <c r="O96" s="91">
        <f>'08_Premissas_Custos'!$B$14*M96*(1+IF(L96="Sim",0.25,0))</f>
        <v/>
      </c>
      <c r="P96" s="91">
        <f>'08_Premissas_Custos'!$B$15*M96*(1+IF(I96="Sim",0.20,0)+IF(K96="Sim",0.15,0))</f>
        <v/>
      </c>
      <c r="Q96" s="91">
        <f>'08_Premissas_Custos'!$B$16*M96*IF(J96="Sim",1.6,0.55)</f>
        <v/>
      </c>
      <c r="R96" s="91">
        <f>'08_Premissas_Custos'!$B$17*M96*IF(I96="Sim",1.8,0.15)</f>
        <v/>
      </c>
      <c r="S96" s="91">
        <f>'08_Premissas_Custos'!$B$18*M96*(1+IF(I96="Sim",0.15)+IF(L96="Sim",0.10))</f>
        <v/>
      </c>
      <c r="T96" s="91">
        <f>'08_Premissas_Custos'!$B$19*M96*(1+IF(J96="Sim",0.15))</f>
        <v/>
      </c>
      <c r="U96" s="91">
        <f>'08_Premissas_Custos'!$B$20*M96*IF(K96="Sim",1.8,0.7)</f>
        <v/>
      </c>
      <c r="V96" s="92">
        <f>SUM(N96:U96)</f>
        <v/>
      </c>
      <c r="W96" s="92">
        <f>V96*(1-H96)*IF(E96="Fase 2",'08_Premissas_Custos'!$F$10,1)</f>
        <v/>
      </c>
      <c r="X96" s="93">
        <f>(N96*'08_Premissas_Custos'!$C$13+O96*'08_Premissas_Custos'!$C$14+P96*'08_Premissas_Custos'!$C$15+Q96*'08_Premissas_Custos'!$C$16+R96*'08_Premissas_Custos'!$C$17+S96*'08_Premissas_Custos'!$C$18+T96*'08_Premissas_Custos'!$C$19+U96*'08_Premissas_Custos'!$C$20)*(1-H96)*IF(E96="Fase 2",'08_Premissas_Custos'!$F$10,1)</f>
        <v/>
      </c>
      <c r="Y96" s="93">
        <f>X96*'08_Premissas_Custos'!$F$7</f>
        <v/>
      </c>
      <c r="Z96" s="93">
        <f>(X96+Y96)*'08_Premissas_Custos'!$F$6</f>
        <v/>
      </c>
      <c r="AA96" s="93">
        <f>SUM(X96:Z96)</f>
        <v/>
      </c>
      <c r="AB96" s="14" t="inlineStr">
        <is>
          <t>Trilhas</t>
        </is>
      </c>
    </row>
    <row r="97">
      <c r="A97" s="14" t="n">
        <v>92</v>
      </c>
      <c r="B97" s="14" t="inlineStr">
        <is>
          <t>COM</t>
        </is>
      </c>
      <c r="C97" s="14" t="inlineStr">
        <is>
          <t>Comunidades / Eu &amp; Eu / Cultura</t>
        </is>
      </c>
      <c r="D97" s="14" t="inlineStr">
        <is>
          <t>Mentoria</t>
        </is>
      </c>
      <c r="E97" s="14" t="inlineStr">
        <is>
          <t>Fase 2</t>
        </is>
      </c>
      <c r="F97" s="14" t="inlineStr">
        <is>
          <t>Média</t>
        </is>
      </c>
      <c r="G97" s="14" t="str"/>
      <c r="H97" s="89" t="n">
        <v>0</v>
      </c>
      <c r="I97" s="44" t="inlineStr">
        <is>
          <t>Não</t>
        </is>
      </c>
      <c r="J97" s="44" t="inlineStr">
        <is>
          <t>Não</t>
        </is>
      </c>
      <c r="K97" s="44" t="inlineStr">
        <is>
          <t>Não</t>
        </is>
      </c>
      <c r="L97" s="44" t="inlineStr">
        <is>
          <t>Sim</t>
        </is>
      </c>
      <c r="M97" s="90">
        <f>IF(F97="Baixa",'08_Premissas_Custos'!$B$6,IF(F97="Média",'08_Premissas_Custos'!$B$7,IF(F97="Alta",'08_Premissas_Custos'!$B$8,'08_Premissas_Custos'!$B$9)))</f>
        <v/>
      </c>
      <c r="N97" s="91">
        <f>'08_Premissas_Custos'!$B$13*M97</f>
        <v/>
      </c>
      <c r="O97" s="91">
        <f>'08_Premissas_Custos'!$B$14*M97*(1+IF(L97="Sim",0.25,0))</f>
        <v/>
      </c>
      <c r="P97" s="91">
        <f>'08_Premissas_Custos'!$B$15*M97*(1+IF(I97="Sim",0.20,0)+IF(K97="Sim",0.15,0))</f>
        <v/>
      </c>
      <c r="Q97" s="91">
        <f>'08_Premissas_Custos'!$B$16*M97*IF(J97="Sim",1.6,0.55)</f>
        <v/>
      </c>
      <c r="R97" s="91">
        <f>'08_Premissas_Custos'!$B$17*M97*IF(I97="Sim",1.8,0.15)</f>
        <v/>
      </c>
      <c r="S97" s="91">
        <f>'08_Premissas_Custos'!$B$18*M97*(1+IF(I97="Sim",0.15)+IF(L97="Sim",0.10))</f>
        <v/>
      </c>
      <c r="T97" s="91">
        <f>'08_Premissas_Custos'!$B$19*M97*(1+IF(J97="Sim",0.15))</f>
        <v/>
      </c>
      <c r="U97" s="91">
        <f>'08_Premissas_Custos'!$B$20*M97*IF(K97="Sim",1.8,0.7)</f>
        <v/>
      </c>
      <c r="V97" s="92">
        <f>SUM(N97:U97)</f>
        <v/>
      </c>
      <c r="W97" s="92">
        <f>V97*(1-H97)*IF(E97="Fase 2",'08_Premissas_Custos'!$F$10,1)</f>
        <v/>
      </c>
      <c r="X97" s="93">
        <f>(N97*'08_Premissas_Custos'!$C$13+O97*'08_Premissas_Custos'!$C$14+P97*'08_Premissas_Custos'!$C$15+Q97*'08_Premissas_Custos'!$C$16+R97*'08_Premissas_Custos'!$C$17+S97*'08_Premissas_Custos'!$C$18+T97*'08_Premissas_Custos'!$C$19+U97*'08_Premissas_Custos'!$C$20)*(1-H97)*IF(E97="Fase 2",'08_Premissas_Custos'!$F$10,1)</f>
        <v/>
      </c>
      <c r="Y97" s="93">
        <f>X97*'08_Premissas_Custos'!$F$7</f>
        <v/>
      </c>
      <c r="Z97" s="93">
        <f>(X97+Y97)*'08_Premissas_Custos'!$F$6</f>
        <v/>
      </c>
      <c r="AA97" s="93">
        <f>SUM(X97:Z97)</f>
        <v/>
      </c>
      <c r="AB97" s="14" t="inlineStr">
        <is>
          <t>Conexões</t>
        </is>
      </c>
    </row>
    <row r="98">
      <c r="A98" s="14" t="n">
        <v>93</v>
      </c>
      <c r="B98" s="14" t="inlineStr">
        <is>
          <t>COM</t>
        </is>
      </c>
      <c r="C98" s="14" t="inlineStr">
        <is>
          <t>Comunidades / Eu &amp; Eu / Cultura</t>
        </is>
      </c>
      <c r="D98" s="14" t="inlineStr">
        <is>
          <t>Saúde &amp; cuidado</t>
        </is>
      </c>
      <c r="E98" s="14" t="inlineStr">
        <is>
          <t>Fase 2</t>
        </is>
      </c>
      <c r="F98" s="14" t="inlineStr">
        <is>
          <t>Alta</t>
        </is>
      </c>
      <c r="G98" s="14" t="str"/>
      <c r="H98" s="89" t="n">
        <v>0</v>
      </c>
      <c r="I98" s="44" t="inlineStr">
        <is>
          <t>Não</t>
        </is>
      </c>
      <c r="J98" s="44" t="inlineStr">
        <is>
          <t>Sim</t>
        </is>
      </c>
      <c r="K98" s="44" t="inlineStr">
        <is>
          <t>Não</t>
        </is>
      </c>
      <c r="L98" s="44" t="inlineStr">
        <is>
          <t>Sim</t>
        </is>
      </c>
      <c r="M98" s="90">
        <f>IF(F98="Baixa",'08_Premissas_Custos'!$B$6,IF(F98="Média",'08_Premissas_Custos'!$B$7,IF(F98="Alta",'08_Premissas_Custos'!$B$8,'08_Premissas_Custos'!$B$9)))</f>
        <v/>
      </c>
      <c r="N98" s="91">
        <f>'08_Premissas_Custos'!$B$13*M98</f>
        <v/>
      </c>
      <c r="O98" s="91">
        <f>'08_Premissas_Custos'!$B$14*M98*(1+IF(L98="Sim",0.25,0))</f>
        <v/>
      </c>
      <c r="P98" s="91">
        <f>'08_Premissas_Custos'!$B$15*M98*(1+IF(I98="Sim",0.20,0)+IF(K98="Sim",0.15,0))</f>
        <v/>
      </c>
      <c r="Q98" s="91">
        <f>'08_Premissas_Custos'!$B$16*M98*IF(J98="Sim",1.6,0.55)</f>
        <v/>
      </c>
      <c r="R98" s="91">
        <f>'08_Premissas_Custos'!$B$17*M98*IF(I98="Sim",1.8,0.15)</f>
        <v/>
      </c>
      <c r="S98" s="91">
        <f>'08_Premissas_Custos'!$B$18*M98*(1+IF(I98="Sim",0.15)+IF(L98="Sim",0.10))</f>
        <v/>
      </c>
      <c r="T98" s="91">
        <f>'08_Premissas_Custos'!$B$19*M98*(1+IF(J98="Sim",0.15))</f>
        <v/>
      </c>
      <c r="U98" s="91">
        <f>'08_Premissas_Custos'!$B$20*M98*IF(K98="Sim",1.8,0.7)</f>
        <v/>
      </c>
      <c r="V98" s="92">
        <f>SUM(N98:U98)</f>
        <v/>
      </c>
      <c r="W98" s="92">
        <f>V98*(1-H98)*IF(E98="Fase 2",'08_Premissas_Custos'!$F$10,1)</f>
        <v/>
      </c>
      <c r="X98" s="93">
        <f>(N98*'08_Premissas_Custos'!$C$13+O98*'08_Premissas_Custos'!$C$14+P98*'08_Premissas_Custos'!$C$15+Q98*'08_Premissas_Custos'!$C$16+R98*'08_Premissas_Custos'!$C$17+S98*'08_Premissas_Custos'!$C$18+T98*'08_Premissas_Custos'!$C$19+U98*'08_Premissas_Custos'!$C$20)*(1-H98)*IF(E98="Fase 2",'08_Premissas_Custos'!$F$10,1)</f>
        <v/>
      </c>
      <c r="Y98" s="93">
        <f>X98*'08_Premissas_Custos'!$F$7</f>
        <v/>
      </c>
      <c r="Z98" s="93">
        <f>(X98+Y98)*'08_Premissas_Custos'!$F$6</f>
        <v/>
      </c>
      <c r="AA98" s="93">
        <f>SUM(X98:Z98)</f>
        <v/>
      </c>
      <c r="AB98" s="14" t="inlineStr">
        <is>
          <t>Recursos</t>
        </is>
      </c>
    </row>
    <row r="99">
      <c r="A99" s="14" t="n">
        <v>94</v>
      </c>
      <c r="B99" s="14" t="inlineStr">
        <is>
          <t>COM</t>
        </is>
      </c>
      <c r="C99" s="14" t="inlineStr">
        <is>
          <t>Comunidades / Eu &amp; Eu / Cultura</t>
        </is>
      </c>
      <c r="D99" s="14" t="inlineStr">
        <is>
          <t>Eventos da comunidade</t>
        </is>
      </c>
      <c r="E99" s="14" t="inlineStr">
        <is>
          <t>Fase 2</t>
        </is>
      </c>
      <c r="F99" s="14" t="inlineStr">
        <is>
          <t>Média</t>
        </is>
      </c>
      <c r="G99" s="14" t="str"/>
      <c r="H99" s="89" t="n">
        <v>0</v>
      </c>
      <c r="I99" s="44" t="inlineStr">
        <is>
          <t>Não</t>
        </is>
      </c>
      <c r="J99" s="44" t="inlineStr">
        <is>
          <t>Não</t>
        </is>
      </c>
      <c r="K99" s="44" t="inlineStr">
        <is>
          <t>Não</t>
        </is>
      </c>
      <c r="L99" s="44" t="inlineStr">
        <is>
          <t>Sim</t>
        </is>
      </c>
      <c r="M99" s="90">
        <f>IF(F99="Baixa",'08_Premissas_Custos'!$B$6,IF(F99="Média",'08_Premissas_Custos'!$B$7,IF(F99="Alta",'08_Premissas_Custos'!$B$8,'08_Premissas_Custos'!$B$9)))</f>
        <v/>
      </c>
      <c r="N99" s="91">
        <f>'08_Premissas_Custos'!$B$13*M99</f>
        <v/>
      </c>
      <c r="O99" s="91">
        <f>'08_Premissas_Custos'!$B$14*M99*(1+IF(L99="Sim",0.25,0))</f>
        <v/>
      </c>
      <c r="P99" s="91">
        <f>'08_Premissas_Custos'!$B$15*M99*(1+IF(I99="Sim",0.20,0)+IF(K99="Sim",0.15,0))</f>
        <v/>
      </c>
      <c r="Q99" s="91">
        <f>'08_Premissas_Custos'!$B$16*M99*IF(J99="Sim",1.6,0.55)</f>
        <v/>
      </c>
      <c r="R99" s="91">
        <f>'08_Premissas_Custos'!$B$17*M99*IF(I99="Sim",1.8,0.15)</f>
        <v/>
      </c>
      <c r="S99" s="91">
        <f>'08_Premissas_Custos'!$B$18*M99*(1+IF(I99="Sim",0.15)+IF(L99="Sim",0.10))</f>
        <v/>
      </c>
      <c r="T99" s="91">
        <f>'08_Premissas_Custos'!$B$19*M99*(1+IF(J99="Sim",0.15))</f>
        <v/>
      </c>
      <c r="U99" s="91">
        <f>'08_Premissas_Custos'!$B$20*M99*IF(K99="Sim",1.8,0.7)</f>
        <v/>
      </c>
      <c r="V99" s="92">
        <f>SUM(N99:U99)</f>
        <v/>
      </c>
      <c r="W99" s="92">
        <f>V99*(1-H99)*IF(E99="Fase 2",'08_Premissas_Custos'!$F$10,1)</f>
        <v/>
      </c>
      <c r="X99" s="93">
        <f>(N99*'08_Premissas_Custos'!$C$13+O99*'08_Premissas_Custos'!$C$14+P99*'08_Premissas_Custos'!$C$15+Q99*'08_Premissas_Custos'!$C$16+R99*'08_Premissas_Custos'!$C$17+S99*'08_Premissas_Custos'!$C$18+T99*'08_Premissas_Custos'!$C$19+U99*'08_Premissas_Custos'!$C$20)*(1-H99)*IF(E99="Fase 2",'08_Premissas_Custos'!$F$10,1)</f>
        <v/>
      </c>
      <c r="Y99" s="93">
        <f>X99*'08_Premissas_Custos'!$F$7</f>
        <v/>
      </c>
      <c r="Z99" s="93">
        <f>(X99+Y99)*'08_Premissas_Custos'!$F$6</f>
        <v/>
      </c>
      <c r="AA99" s="93">
        <f>SUM(X99:Z99)</f>
        <v/>
      </c>
      <c r="AB99" s="14" t="inlineStr">
        <is>
          <t>Agenda</t>
        </is>
      </c>
    </row>
    <row r="100">
      <c r="A100" s="14" t="n">
        <v>95</v>
      </c>
      <c r="B100" s="14" t="inlineStr">
        <is>
          <t>COM</t>
        </is>
      </c>
      <c r="C100" s="14" t="inlineStr">
        <is>
          <t>Comunidades / Eu &amp; Eu / Cultura</t>
        </is>
      </c>
      <c r="D100" s="14" t="inlineStr">
        <is>
          <t>Conexões com empresas</t>
        </is>
      </c>
      <c r="E100" s="14" t="inlineStr">
        <is>
          <t>Fase 2</t>
        </is>
      </c>
      <c r="F100" s="14" t="inlineStr">
        <is>
          <t>Alta</t>
        </is>
      </c>
      <c r="G100" s="14" t="str"/>
      <c r="H100" s="89" t="n">
        <v>0</v>
      </c>
      <c r="I100" s="44" t="inlineStr">
        <is>
          <t>Não</t>
        </is>
      </c>
      <c r="J100" s="44" t="inlineStr">
        <is>
          <t>Não</t>
        </is>
      </c>
      <c r="K100" s="44" t="inlineStr">
        <is>
          <t>Não</t>
        </is>
      </c>
      <c r="L100" s="44" t="inlineStr">
        <is>
          <t>Sim</t>
        </is>
      </c>
      <c r="M100" s="90">
        <f>IF(F100="Baixa",'08_Premissas_Custos'!$B$6,IF(F100="Média",'08_Premissas_Custos'!$B$7,IF(F100="Alta",'08_Premissas_Custos'!$B$8,'08_Premissas_Custos'!$B$9)))</f>
        <v/>
      </c>
      <c r="N100" s="91">
        <f>'08_Premissas_Custos'!$B$13*M100</f>
        <v/>
      </c>
      <c r="O100" s="91">
        <f>'08_Premissas_Custos'!$B$14*M100*(1+IF(L100="Sim",0.25,0))</f>
        <v/>
      </c>
      <c r="P100" s="91">
        <f>'08_Premissas_Custos'!$B$15*M100*(1+IF(I100="Sim",0.20,0)+IF(K100="Sim",0.15,0))</f>
        <v/>
      </c>
      <c r="Q100" s="91">
        <f>'08_Premissas_Custos'!$B$16*M100*IF(J100="Sim",1.6,0.55)</f>
        <v/>
      </c>
      <c r="R100" s="91">
        <f>'08_Premissas_Custos'!$B$17*M100*IF(I100="Sim",1.8,0.15)</f>
        <v/>
      </c>
      <c r="S100" s="91">
        <f>'08_Premissas_Custos'!$B$18*M100*(1+IF(I100="Sim",0.15)+IF(L100="Sim",0.10))</f>
        <v/>
      </c>
      <c r="T100" s="91">
        <f>'08_Premissas_Custos'!$B$19*M100*(1+IF(J100="Sim",0.15))</f>
        <v/>
      </c>
      <c r="U100" s="91">
        <f>'08_Premissas_Custos'!$B$20*M100*IF(K100="Sim",1.8,0.7)</f>
        <v/>
      </c>
      <c r="V100" s="92">
        <f>SUM(N100:U100)</f>
        <v/>
      </c>
      <c r="W100" s="92">
        <f>V100*(1-H100)*IF(E100="Fase 2",'08_Premissas_Custos'!$F$10,1)</f>
        <v/>
      </c>
      <c r="X100" s="93">
        <f>(N100*'08_Premissas_Custos'!$C$13+O100*'08_Premissas_Custos'!$C$14+P100*'08_Premissas_Custos'!$C$15+Q100*'08_Premissas_Custos'!$C$16+R100*'08_Premissas_Custos'!$C$17+S100*'08_Premissas_Custos'!$C$18+T100*'08_Premissas_Custos'!$C$19+U100*'08_Premissas_Custos'!$C$20)*(1-H100)*IF(E100="Fase 2",'08_Premissas_Custos'!$F$10,1)</f>
        <v/>
      </c>
      <c r="Y100" s="93">
        <f>X100*'08_Premissas_Custos'!$F$7</f>
        <v/>
      </c>
      <c r="Z100" s="93">
        <f>(X100+Y100)*'08_Premissas_Custos'!$F$6</f>
        <v/>
      </c>
      <c r="AA100" s="93">
        <f>SUM(X100:Z100)</f>
        <v/>
      </c>
      <c r="AB100" s="14" t="inlineStr">
        <is>
          <t>Oportunidades</t>
        </is>
      </c>
    </row>
    <row r="101">
      <c r="A101" s="14" t="n">
        <v>96</v>
      </c>
      <c r="B101" s="14" t="inlineStr">
        <is>
          <t>COM</t>
        </is>
      </c>
      <c r="C101" s="14" t="inlineStr">
        <is>
          <t>Comunidades / Eu &amp; Eu / Cultura</t>
        </is>
      </c>
      <c r="D101" s="14" t="inlineStr">
        <is>
          <t>Acadêmico</t>
        </is>
      </c>
      <c r="E101" s="14" t="inlineStr">
        <is>
          <t>Fase 2</t>
        </is>
      </c>
      <c r="F101" s="14" t="inlineStr">
        <is>
          <t>Média</t>
        </is>
      </c>
      <c r="G101" s="14" t="str"/>
      <c r="H101" s="89" t="n">
        <v>0</v>
      </c>
      <c r="I101" s="44" t="inlineStr">
        <is>
          <t>Não</t>
        </is>
      </c>
      <c r="J101" s="44" t="inlineStr">
        <is>
          <t>Não</t>
        </is>
      </c>
      <c r="K101" s="44" t="inlineStr">
        <is>
          <t>Não</t>
        </is>
      </c>
      <c r="L101" s="44" t="inlineStr">
        <is>
          <t>Sim</t>
        </is>
      </c>
      <c r="M101" s="90">
        <f>IF(F101="Baixa",'08_Premissas_Custos'!$B$6,IF(F101="Média",'08_Premissas_Custos'!$B$7,IF(F101="Alta",'08_Premissas_Custos'!$B$8,'08_Premissas_Custos'!$B$9)))</f>
        <v/>
      </c>
      <c r="N101" s="91">
        <f>'08_Premissas_Custos'!$B$13*M101</f>
        <v/>
      </c>
      <c r="O101" s="91">
        <f>'08_Premissas_Custos'!$B$14*M101*(1+IF(L101="Sim",0.25,0))</f>
        <v/>
      </c>
      <c r="P101" s="91">
        <f>'08_Premissas_Custos'!$B$15*M101*(1+IF(I101="Sim",0.20,0)+IF(K101="Sim",0.15,0))</f>
        <v/>
      </c>
      <c r="Q101" s="91">
        <f>'08_Premissas_Custos'!$B$16*M101*IF(J101="Sim",1.6,0.55)</f>
        <v/>
      </c>
      <c r="R101" s="91">
        <f>'08_Premissas_Custos'!$B$17*M101*IF(I101="Sim",1.8,0.15)</f>
        <v/>
      </c>
      <c r="S101" s="91">
        <f>'08_Premissas_Custos'!$B$18*M101*(1+IF(I101="Sim",0.15)+IF(L101="Sim",0.10))</f>
        <v/>
      </c>
      <c r="T101" s="91">
        <f>'08_Premissas_Custos'!$B$19*M101*(1+IF(J101="Sim",0.15))</f>
        <v/>
      </c>
      <c r="U101" s="91">
        <f>'08_Premissas_Custos'!$B$20*M101*IF(K101="Sim",1.8,0.7)</f>
        <v/>
      </c>
      <c r="V101" s="92">
        <f>SUM(N101:U101)</f>
        <v/>
      </c>
      <c r="W101" s="92">
        <f>V101*(1-H101)*IF(E101="Fase 2",'08_Premissas_Custos'!$F$10,1)</f>
        <v/>
      </c>
      <c r="X101" s="93">
        <f>(N101*'08_Premissas_Custos'!$C$13+O101*'08_Premissas_Custos'!$C$14+P101*'08_Premissas_Custos'!$C$15+Q101*'08_Premissas_Custos'!$C$16+R101*'08_Premissas_Custos'!$C$17+S101*'08_Premissas_Custos'!$C$18+T101*'08_Premissas_Custos'!$C$19+U101*'08_Premissas_Custos'!$C$20)*(1-H101)*IF(E101="Fase 2",'08_Premissas_Custos'!$F$10,1)</f>
        <v/>
      </c>
      <c r="Y101" s="93">
        <f>X101*'08_Premissas_Custos'!$F$7</f>
        <v/>
      </c>
      <c r="Z101" s="93">
        <f>(X101+Y101)*'08_Premissas_Custos'!$F$6</f>
        <v/>
      </c>
      <c r="AA101" s="93">
        <f>SUM(X101:Z101)</f>
        <v/>
      </c>
      <c r="AB101" s="14" t="inlineStr">
        <is>
          <t>Formação</t>
        </is>
      </c>
    </row>
    <row r="102">
      <c r="A102" t="n">
        <v>97</v>
      </c>
      <c r="B102" t="inlineStr">
        <is>
          <t>ED</t>
        </is>
      </c>
      <c r="C102" t="inlineStr">
        <is>
          <t>Estratégia &amp; Dados</t>
        </is>
      </c>
      <c r="D102" t="inlineStr">
        <is>
          <t>Catálogo e versionamento de KPIs</t>
        </is>
      </c>
      <c r="E102" t="inlineStr">
        <is>
          <t>MVP</t>
        </is>
      </c>
      <c r="F102" t="inlineStr">
        <is>
          <t>Alta</t>
        </is>
      </c>
      <c r="H102" t="n">
        <v>0</v>
      </c>
      <c r="I102" t="inlineStr">
        <is>
          <t>Não</t>
        </is>
      </c>
      <c r="J102" t="inlineStr">
        <is>
          <t>Sim</t>
        </is>
      </c>
      <c r="K102" t="inlineStr">
        <is>
          <t>Não</t>
        </is>
      </c>
      <c r="L102" t="inlineStr">
        <is>
          <t>Não</t>
        </is>
      </c>
      <c r="M102">
        <f>IF(F102="Baixa",'08_Premissas_Custos'!$B$6,IF(F102="Média",'08_Premissas_Custos'!$B$7,IF(F102="Alta",'08_Premissas_Custos'!$B$8,'08_Premissas_Custos'!$B$9)))</f>
        <v/>
      </c>
      <c r="N102">
        <f>'08_Premissas_Custos'!$B$13*M102</f>
        <v/>
      </c>
      <c r="O102">
        <f>'08_Premissas_Custos'!$B$14*M102*(1+IF(L102="Sim",0.25,0))</f>
        <v/>
      </c>
      <c r="P102">
        <f>'08_Premissas_Custos'!$B$15*M102*(1+IF(I102="Sim",0.20,0)+IF(K102="Sim",0.15,0))</f>
        <v/>
      </c>
      <c r="Q102">
        <f>'08_Premissas_Custos'!$B$16*M102*IF(J102="Sim",1.6,0.55)</f>
        <v/>
      </c>
      <c r="R102">
        <f>'08_Premissas_Custos'!$B$17*M102*IF(I102="Sim",1.8,0.15)</f>
        <v/>
      </c>
      <c r="S102">
        <f>'08_Premissas_Custos'!$B$18*M102*(1+IF(I102="Sim",0.15)+IF(L102="Sim",0.10))</f>
        <v/>
      </c>
      <c r="T102">
        <f>'08_Premissas_Custos'!$B$19*M102*(1+IF(J102="Sim",0.15))</f>
        <v/>
      </c>
      <c r="U102">
        <f>'08_Premissas_Custos'!$B$20*M102*IF(K102="Sim",1.8,0.7)</f>
        <v/>
      </c>
      <c r="V102">
        <f>SUM(N102:U102)</f>
        <v/>
      </c>
      <c r="W102">
        <f>V102*(1-H102)*IF(E102="Fase 2",'08_Premissas_Custos'!$F$10,1)</f>
        <v/>
      </c>
      <c r="X102">
        <f>(N102*'08_Premissas_Custos'!$C$13+O102*'08_Premissas_Custos'!$C$14+P102*'08_Premissas_Custos'!$C$15+Q102*'08_Premissas_Custos'!$C$16+R102*'08_Premissas_Custos'!$C$17+S102*'08_Premissas_Custos'!$C$18+T102*'08_Premissas_Custos'!$C$19+U102*'08_Premissas_Custos'!$C$20)*(1-H102)*IF(E102="Fase 2",'08_Premissas_Custos'!$F$10,1)</f>
        <v/>
      </c>
      <c r="Y102">
        <f>X102*'08_Premissas_Custos'!$F$7</f>
        <v/>
      </c>
      <c r="Z102">
        <f>(X102+Y102)*'08_Premissas_Custos'!$F$6</f>
        <v/>
      </c>
      <c r="AA102">
        <f>SUM(X102:Z102)</f>
        <v/>
      </c>
      <c r="AB102" t="inlineStr">
        <is>
          <t>Fórmula, owner, aprovação</t>
        </is>
      </c>
    </row>
    <row r="103">
      <c r="A103" t="n">
        <v>98</v>
      </c>
      <c r="B103" t="inlineStr">
        <is>
          <t>ED</t>
        </is>
      </c>
      <c r="C103" t="inlineStr">
        <is>
          <t>Estratégia &amp; Dados</t>
        </is>
      </c>
      <c r="D103" t="inlineStr">
        <is>
          <t>Configuração do motor de regras</t>
        </is>
      </c>
      <c r="E103" t="inlineStr">
        <is>
          <t>MVP</t>
        </is>
      </c>
      <c r="F103" t="inlineStr">
        <is>
          <t>Alta</t>
        </is>
      </c>
      <c r="H103" t="n">
        <v>0</v>
      </c>
      <c r="I103" t="inlineStr">
        <is>
          <t>Não</t>
        </is>
      </c>
      <c r="J103" t="inlineStr">
        <is>
          <t>Sim</t>
        </is>
      </c>
      <c r="K103" t="inlineStr">
        <is>
          <t>Não</t>
        </is>
      </c>
      <c r="L103" t="inlineStr">
        <is>
          <t>Não</t>
        </is>
      </c>
      <c r="M103">
        <f>IF(F103="Baixa",'08_Premissas_Custos'!$B$6,IF(F103="Média",'08_Premissas_Custos'!$B$7,IF(F103="Alta",'08_Premissas_Custos'!$B$8,'08_Premissas_Custos'!$B$9)))</f>
        <v/>
      </c>
      <c r="N103">
        <f>'08_Premissas_Custos'!$B$13*M103</f>
        <v/>
      </c>
      <c r="O103">
        <f>'08_Premissas_Custos'!$B$14*M103*(1+IF(L103="Sim",0.25,0))</f>
        <v/>
      </c>
      <c r="P103">
        <f>'08_Premissas_Custos'!$B$15*M103*(1+IF(I103="Sim",0.20,0)+IF(K103="Sim",0.15,0))</f>
        <v/>
      </c>
      <c r="Q103">
        <f>'08_Premissas_Custos'!$B$16*M103*IF(J103="Sim",1.6,0.55)</f>
        <v/>
      </c>
      <c r="R103">
        <f>'08_Premissas_Custos'!$B$17*M103*IF(I103="Sim",1.8,0.15)</f>
        <v/>
      </c>
      <c r="S103">
        <f>'08_Premissas_Custos'!$B$18*M103*(1+IF(I103="Sim",0.15)+IF(L103="Sim",0.10))</f>
        <v/>
      </c>
      <c r="T103">
        <f>'08_Premissas_Custos'!$B$19*M103*(1+IF(J103="Sim",0.15))</f>
        <v/>
      </c>
      <c r="U103">
        <f>'08_Premissas_Custos'!$B$20*M103*IF(K103="Sim",1.8,0.7)</f>
        <v/>
      </c>
      <c r="V103">
        <f>SUM(N103:U103)</f>
        <v/>
      </c>
      <c r="W103">
        <f>V103*(1-H103)*IF(E103="Fase 2",'08_Premissas_Custos'!$F$10,1)</f>
        <v/>
      </c>
      <c r="X103">
        <f>(N103*'08_Premissas_Custos'!$C$13+O103*'08_Premissas_Custos'!$C$14+P103*'08_Premissas_Custos'!$C$15+Q103*'08_Premissas_Custos'!$C$16+R103*'08_Premissas_Custos'!$C$17+S103*'08_Premissas_Custos'!$C$18+T103*'08_Premissas_Custos'!$C$19+U103*'08_Premissas_Custos'!$C$20)*(1-H103)*IF(E103="Fase 2",'08_Premissas_Custos'!$F$10,1)</f>
        <v/>
      </c>
      <c r="Y103">
        <f>X103*'08_Premissas_Custos'!$F$7</f>
        <v/>
      </c>
      <c r="Z103">
        <f>(X103+Y103)*'08_Premissas_Custos'!$F$6</f>
        <v/>
      </c>
      <c r="AA103">
        <f>SUM(X103:Z103)</f>
        <v/>
      </c>
      <c r="AB103" t="inlineStr">
        <is>
          <t>Severidade, supressão, SLA</t>
        </is>
      </c>
    </row>
    <row r="104">
      <c r="A104" t="n">
        <v>99</v>
      </c>
      <c r="B104" t="inlineStr">
        <is>
          <t>ED</t>
        </is>
      </c>
      <c r="C104" t="inlineStr">
        <is>
          <t>Estratégia &amp; Dados</t>
        </is>
      </c>
      <c r="D104" t="inlineStr">
        <is>
          <t>Registro de decisão e ação</t>
        </is>
      </c>
      <c r="E104" t="inlineStr">
        <is>
          <t>MVP</t>
        </is>
      </c>
      <c r="F104" t="inlineStr">
        <is>
          <t>Média</t>
        </is>
      </c>
      <c r="H104" t="n">
        <v>0</v>
      </c>
      <c r="I104" t="inlineStr">
        <is>
          <t>Não</t>
        </is>
      </c>
      <c r="J104" t="inlineStr">
        <is>
          <t>Não</t>
        </is>
      </c>
      <c r="K104" t="inlineStr">
        <is>
          <t>Não</t>
        </is>
      </c>
      <c r="L104" t="inlineStr">
        <is>
          <t>Não</t>
        </is>
      </c>
      <c r="M104">
        <f>IF(F104="Baixa",'08_Premissas_Custos'!$B$6,IF(F104="Média",'08_Premissas_Custos'!$B$7,IF(F104="Alta",'08_Premissas_Custos'!$B$8,'08_Premissas_Custos'!$B$9)))</f>
        <v/>
      </c>
      <c r="N104">
        <f>'08_Premissas_Custos'!$B$13*M104</f>
        <v/>
      </c>
      <c r="O104">
        <f>'08_Premissas_Custos'!$B$14*M104*(1+IF(L104="Sim",0.25,0))</f>
        <v/>
      </c>
      <c r="P104">
        <f>'08_Premissas_Custos'!$B$15*M104*(1+IF(I104="Sim",0.20,0)+IF(K104="Sim",0.15,0))</f>
        <v/>
      </c>
      <c r="Q104">
        <f>'08_Premissas_Custos'!$B$16*M104*IF(J104="Sim",1.6,0.55)</f>
        <v/>
      </c>
      <c r="R104">
        <f>'08_Premissas_Custos'!$B$17*M104*IF(I104="Sim",1.8,0.15)</f>
        <v/>
      </c>
      <c r="S104">
        <f>'08_Premissas_Custos'!$B$18*M104*(1+IF(I104="Sim",0.15)+IF(L104="Sim",0.10))</f>
        <v/>
      </c>
      <c r="T104">
        <f>'08_Premissas_Custos'!$B$19*M104*(1+IF(J104="Sim",0.15))</f>
        <v/>
      </c>
      <c r="U104">
        <f>'08_Premissas_Custos'!$B$20*M104*IF(K104="Sim",1.8,0.7)</f>
        <v/>
      </c>
      <c r="V104">
        <f>SUM(N104:U104)</f>
        <v/>
      </c>
      <c r="W104">
        <f>V104*(1-H104)*IF(E104="Fase 2",'08_Premissas_Custos'!$F$10,1)</f>
        <v/>
      </c>
      <c r="X104">
        <f>(N104*'08_Premissas_Custos'!$C$13+O104*'08_Premissas_Custos'!$C$14+P104*'08_Premissas_Custos'!$C$15+Q104*'08_Premissas_Custos'!$C$16+R104*'08_Premissas_Custos'!$C$17+S104*'08_Premissas_Custos'!$C$18+T104*'08_Premissas_Custos'!$C$19+U104*'08_Premissas_Custos'!$C$20)*(1-H104)*IF(E104="Fase 2",'08_Premissas_Custos'!$F$10,1)</f>
        <v/>
      </c>
      <c r="Y104">
        <f>X104*'08_Premissas_Custos'!$F$7</f>
        <v/>
      </c>
      <c r="Z104">
        <f>(X104+Y104)*'08_Premissas_Custos'!$F$6</f>
        <v/>
      </c>
      <c r="AA104">
        <f>SUM(X104:Z104)</f>
        <v/>
      </c>
      <c r="AB104" t="inlineStr">
        <is>
          <t>Motivo, prazo, evidência</t>
        </is>
      </c>
    </row>
    <row r="105">
      <c r="A105" t="n">
        <v>100</v>
      </c>
      <c r="B105" t="inlineStr">
        <is>
          <t>ED</t>
        </is>
      </c>
      <c r="C105" t="inlineStr">
        <is>
          <t>Estratégia &amp; Dados</t>
        </is>
      </c>
      <c r="D105" t="inlineStr">
        <is>
          <t>Diagnóstico de dados</t>
        </is>
      </c>
      <c r="E105" t="inlineStr">
        <is>
          <t>MVP</t>
        </is>
      </c>
      <c r="F105" t="inlineStr">
        <is>
          <t>Alta</t>
        </is>
      </c>
      <c r="H105" t="n">
        <v>0</v>
      </c>
      <c r="I105" t="inlineStr">
        <is>
          <t>Não</t>
        </is>
      </c>
      <c r="J105" t="inlineStr">
        <is>
          <t>Sim</t>
        </is>
      </c>
      <c r="K105" t="inlineStr">
        <is>
          <t>Não</t>
        </is>
      </c>
      <c r="L105" t="inlineStr">
        <is>
          <t>Não</t>
        </is>
      </c>
      <c r="M105">
        <f>IF(F105="Baixa",'08_Premissas_Custos'!$B$6,IF(F105="Média",'08_Premissas_Custos'!$B$7,IF(F105="Alta",'08_Premissas_Custos'!$B$8,'08_Premissas_Custos'!$B$9)))</f>
        <v/>
      </c>
      <c r="N105">
        <f>'08_Premissas_Custos'!$B$13*M105</f>
        <v/>
      </c>
      <c r="O105">
        <f>'08_Premissas_Custos'!$B$14*M105*(1+IF(L105="Sim",0.25,0))</f>
        <v/>
      </c>
      <c r="P105">
        <f>'08_Premissas_Custos'!$B$15*M105*(1+IF(I105="Sim",0.20,0)+IF(K105="Sim",0.15,0))</f>
        <v/>
      </c>
      <c r="Q105">
        <f>'08_Premissas_Custos'!$B$16*M105*IF(J105="Sim",1.6,0.55)</f>
        <v/>
      </c>
      <c r="R105">
        <f>'08_Premissas_Custos'!$B$17*M105*IF(I105="Sim",1.8,0.15)</f>
        <v/>
      </c>
      <c r="S105">
        <f>'08_Premissas_Custos'!$B$18*M105*(1+IF(I105="Sim",0.15)+IF(L105="Sim",0.10))</f>
        <v/>
      </c>
      <c r="T105">
        <f>'08_Premissas_Custos'!$B$19*M105*(1+IF(J105="Sim",0.15))</f>
        <v/>
      </c>
      <c r="U105">
        <f>'08_Premissas_Custos'!$B$20*M105*IF(K105="Sim",1.8,0.7)</f>
        <v/>
      </c>
      <c r="V105">
        <f>SUM(N105:U105)</f>
        <v/>
      </c>
      <c r="W105">
        <f>V105*(1-H105)*IF(E105="Fase 2",'08_Premissas_Custos'!$F$10,1)</f>
        <v/>
      </c>
      <c r="X105">
        <f>(N105*'08_Premissas_Custos'!$C$13+O105*'08_Premissas_Custos'!$C$14+P105*'08_Premissas_Custos'!$C$15+Q105*'08_Premissas_Custos'!$C$16+R105*'08_Premissas_Custos'!$C$17+S105*'08_Premissas_Custos'!$C$18+T105*'08_Premissas_Custos'!$C$19+U105*'08_Premissas_Custos'!$C$20)*(1-H105)*IF(E105="Fase 2",'08_Premissas_Custos'!$F$10,1)</f>
        <v/>
      </c>
      <c r="Y105">
        <f>X105*'08_Premissas_Custos'!$F$7</f>
        <v/>
      </c>
      <c r="Z105">
        <f>(X105+Y105)*'08_Premissas_Custos'!$F$6</f>
        <v/>
      </c>
      <c r="AA105">
        <f>SUM(X105:Z105)</f>
        <v/>
      </c>
      <c r="AB105" t="inlineStr">
        <is>
          <t>Jobs, freshness, rejeições, lineage</t>
        </is>
      </c>
    </row>
    <row r="106">
      <c r="A106" t="n">
        <v>101</v>
      </c>
      <c r="B106" t="inlineStr">
        <is>
          <t>ED</t>
        </is>
      </c>
      <c r="C106" t="inlineStr">
        <is>
          <t>Estratégia &amp; Dados</t>
        </is>
      </c>
      <c r="D106" t="inlineStr">
        <is>
          <t>Relatório fairness/equidade</t>
        </is>
      </c>
      <c r="E106" t="inlineStr">
        <is>
          <t>MVP</t>
        </is>
      </c>
      <c r="F106" t="inlineStr">
        <is>
          <t>Alta</t>
        </is>
      </c>
      <c r="H106" t="n">
        <v>0</v>
      </c>
      <c r="I106" t="inlineStr">
        <is>
          <t>Não</t>
        </is>
      </c>
      <c r="J106" t="inlineStr">
        <is>
          <t>Sim</t>
        </is>
      </c>
      <c r="K106" t="inlineStr">
        <is>
          <t>Não</t>
        </is>
      </c>
      <c r="L106" t="inlineStr">
        <is>
          <t>Não</t>
        </is>
      </c>
      <c r="M106">
        <f>IF(F106="Baixa",'08_Premissas_Custos'!$B$6,IF(F106="Média",'08_Premissas_Custos'!$B$7,IF(F106="Alta",'08_Premissas_Custos'!$B$8,'08_Premissas_Custos'!$B$9)))</f>
        <v/>
      </c>
      <c r="N106">
        <f>'08_Premissas_Custos'!$B$13*M106</f>
        <v/>
      </c>
      <c r="O106">
        <f>'08_Premissas_Custos'!$B$14*M106*(1+IF(L106="Sim",0.25,0))</f>
        <v/>
      </c>
      <c r="P106">
        <f>'08_Premissas_Custos'!$B$15*M106*(1+IF(I106="Sim",0.20,0)+IF(K106="Sim",0.15,0))</f>
        <v/>
      </c>
      <c r="Q106">
        <f>'08_Premissas_Custos'!$B$16*M106*IF(J106="Sim",1.6,0.55)</f>
        <v/>
      </c>
      <c r="R106">
        <f>'08_Premissas_Custos'!$B$17*M106*IF(I106="Sim",1.8,0.15)</f>
        <v/>
      </c>
      <c r="S106">
        <f>'08_Premissas_Custos'!$B$18*M106*(1+IF(I106="Sim",0.15)+IF(L106="Sim",0.10))</f>
        <v/>
      </c>
      <c r="T106">
        <f>'08_Premissas_Custos'!$B$19*M106*(1+IF(J106="Sim",0.15))</f>
        <v/>
      </c>
      <c r="U106">
        <f>'08_Premissas_Custos'!$B$20*M106*IF(K106="Sim",1.8,0.7)</f>
        <v/>
      </c>
      <c r="V106">
        <f>SUM(N106:U106)</f>
        <v/>
      </c>
      <c r="W106">
        <f>V106*(1-H106)*IF(E106="Fase 2",'08_Premissas_Custos'!$F$10,1)</f>
        <v/>
      </c>
      <c r="X106">
        <f>(N106*'08_Premissas_Custos'!$C$13+O106*'08_Premissas_Custos'!$C$14+P106*'08_Premissas_Custos'!$C$15+Q106*'08_Premissas_Custos'!$C$16+R106*'08_Premissas_Custos'!$C$17+S106*'08_Premissas_Custos'!$C$18+T106*'08_Premissas_Custos'!$C$19+U106*'08_Premissas_Custos'!$C$20)*(1-H106)*IF(E106="Fase 2",'08_Premissas_Custos'!$F$10,1)</f>
        <v/>
      </c>
      <c r="Y106">
        <f>X106*'08_Premissas_Custos'!$F$7</f>
        <v/>
      </c>
      <c r="Z106">
        <f>(X106+Y106)*'08_Premissas_Custos'!$F$6</f>
        <v/>
      </c>
      <c r="AA106">
        <f>SUM(X106:Z106)</f>
        <v/>
      </c>
      <c r="AB106" t="inlineStr">
        <is>
          <t>Disparidade por grupo</t>
        </is>
      </c>
    </row>
    <row r="107">
      <c r="A107" t="n">
        <v>102</v>
      </c>
      <c r="B107" t="inlineStr">
        <is>
          <t>CORE</t>
        </is>
      </c>
      <c r="C107" t="inlineStr">
        <is>
          <t>Core / Plataforma</t>
        </is>
      </c>
      <c r="D107" t="inlineStr">
        <is>
          <t>Contestação de dados e recomendações</t>
        </is>
      </c>
      <c r="E107" t="inlineStr">
        <is>
          <t>MVP</t>
        </is>
      </c>
      <c r="F107" t="inlineStr">
        <is>
          <t>Média</t>
        </is>
      </c>
      <c r="H107" t="n">
        <v>0</v>
      </c>
      <c r="I107" t="inlineStr">
        <is>
          <t>Não</t>
        </is>
      </c>
      <c r="J107" t="inlineStr">
        <is>
          <t>Não</t>
        </is>
      </c>
      <c r="K107" t="inlineStr">
        <is>
          <t>Sim</t>
        </is>
      </c>
      <c r="L107" t="inlineStr">
        <is>
          <t>Não</t>
        </is>
      </c>
      <c r="M107">
        <f>IF(F107="Baixa",'08_Premissas_Custos'!$B$6,IF(F107="Média",'08_Premissas_Custos'!$B$7,IF(F107="Alta",'08_Premissas_Custos'!$B$8,'08_Premissas_Custos'!$B$9)))</f>
        <v/>
      </c>
      <c r="N107">
        <f>'08_Premissas_Custos'!$B$13*M107</f>
        <v/>
      </c>
      <c r="O107">
        <f>'08_Premissas_Custos'!$B$14*M107*(1+IF(L107="Sim",0.25,0))</f>
        <v/>
      </c>
      <c r="P107">
        <f>'08_Premissas_Custos'!$B$15*M107*(1+IF(I107="Sim",0.20,0)+IF(K107="Sim",0.15,0))</f>
        <v/>
      </c>
      <c r="Q107">
        <f>'08_Premissas_Custos'!$B$16*M107*IF(J107="Sim",1.6,0.55)</f>
        <v/>
      </c>
      <c r="R107">
        <f>'08_Premissas_Custos'!$B$17*M107*IF(I107="Sim",1.8,0.15)</f>
        <v/>
      </c>
      <c r="S107">
        <f>'08_Premissas_Custos'!$B$18*M107*(1+IF(I107="Sim",0.15)+IF(L107="Sim",0.10))</f>
        <v/>
      </c>
      <c r="T107">
        <f>'08_Premissas_Custos'!$B$19*M107*(1+IF(J107="Sim",0.15))</f>
        <v/>
      </c>
      <c r="U107">
        <f>'08_Premissas_Custos'!$B$20*M107*IF(K107="Sim",1.8,0.7)</f>
        <v/>
      </c>
      <c r="V107">
        <f>SUM(N107:U107)</f>
        <v/>
      </c>
      <c r="W107">
        <f>V107*(1-H107)*IF(E107="Fase 2",'08_Premissas_Custos'!$F$10,1)</f>
        <v/>
      </c>
      <c r="X107">
        <f>(N107*'08_Premissas_Custos'!$C$13+O107*'08_Premissas_Custos'!$C$14+P107*'08_Premissas_Custos'!$C$15+Q107*'08_Premissas_Custos'!$C$16+R107*'08_Premissas_Custos'!$C$17+S107*'08_Premissas_Custos'!$C$18+T107*'08_Premissas_Custos'!$C$19+U107*'08_Premissas_Custos'!$C$20)*(1-H107)*IF(E107="Fase 2",'08_Premissas_Custos'!$F$10,1)</f>
        <v/>
      </c>
      <c r="Y107">
        <f>X107*'08_Premissas_Custos'!$F$7</f>
        <v/>
      </c>
      <c r="Z107">
        <f>(X107+Y107)*'08_Premissas_Custos'!$F$6</f>
        <v/>
      </c>
      <c r="AA107">
        <f>SUM(X107:Z107)</f>
        <v/>
      </c>
      <c r="AB107" t="inlineStr">
        <is>
          <t>SLA e auditoria</t>
        </is>
      </c>
    </row>
    <row r="108">
      <c r="A108" t="n">
        <v>103</v>
      </c>
      <c r="B108" t="inlineStr">
        <is>
          <t>CORE</t>
        </is>
      </c>
      <c r="C108" t="inlineStr">
        <is>
          <t>Core / Plataforma</t>
        </is>
      </c>
      <c r="D108" t="inlineStr">
        <is>
          <t>Console API de indicadores</t>
        </is>
      </c>
      <c r="E108" t="inlineStr">
        <is>
          <t>MVP</t>
        </is>
      </c>
      <c r="F108" t="inlineStr">
        <is>
          <t>Alta</t>
        </is>
      </c>
      <c r="H108" t="n">
        <v>0</v>
      </c>
      <c r="I108" t="inlineStr">
        <is>
          <t>Não</t>
        </is>
      </c>
      <c r="J108" t="inlineStr">
        <is>
          <t>Sim</t>
        </is>
      </c>
      <c r="K108" t="inlineStr">
        <is>
          <t>Sim</t>
        </is>
      </c>
      <c r="L108" t="inlineStr">
        <is>
          <t>Não</t>
        </is>
      </c>
      <c r="M108">
        <f>IF(F108="Baixa",'08_Premissas_Custos'!$B$6,IF(F108="Média",'08_Premissas_Custos'!$B$7,IF(F108="Alta",'08_Premissas_Custos'!$B$8,'08_Premissas_Custos'!$B$9)))</f>
        <v/>
      </c>
      <c r="N108">
        <f>'08_Premissas_Custos'!$B$13*M108</f>
        <v/>
      </c>
      <c r="O108">
        <f>'08_Premissas_Custos'!$B$14*M108*(1+IF(L108="Sim",0.25,0))</f>
        <v/>
      </c>
      <c r="P108">
        <f>'08_Premissas_Custos'!$B$15*M108*(1+IF(I108="Sim",0.20,0)+IF(K108="Sim",0.15,0))</f>
        <v/>
      </c>
      <c r="Q108">
        <f>'08_Premissas_Custos'!$B$16*M108*IF(J108="Sim",1.6,0.55)</f>
        <v/>
      </c>
      <c r="R108">
        <f>'08_Premissas_Custos'!$B$17*M108*IF(I108="Sim",1.8,0.15)</f>
        <v/>
      </c>
      <c r="S108">
        <f>'08_Premissas_Custos'!$B$18*M108*(1+IF(I108="Sim",0.15)+IF(L108="Sim",0.10))</f>
        <v/>
      </c>
      <c r="T108">
        <f>'08_Premissas_Custos'!$B$19*M108*(1+IF(J108="Sim",0.15))</f>
        <v/>
      </c>
      <c r="U108">
        <f>'08_Premissas_Custos'!$B$20*M108*IF(K108="Sim",1.8,0.7)</f>
        <v/>
      </c>
      <c r="V108">
        <f>SUM(N108:U108)</f>
        <v/>
      </c>
      <c r="W108">
        <f>V108*(1-H108)*IF(E108="Fase 2",'08_Premissas_Custos'!$F$10,1)</f>
        <v/>
      </c>
      <c r="X108">
        <f>(N108*'08_Premissas_Custos'!$C$13+O108*'08_Premissas_Custos'!$C$14+P108*'08_Premissas_Custos'!$C$15+Q108*'08_Premissas_Custos'!$C$16+R108*'08_Premissas_Custos'!$C$17+S108*'08_Premissas_Custos'!$C$18+T108*'08_Premissas_Custos'!$C$19+U108*'08_Premissas_Custos'!$C$20)*(1-H108)*IF(E108="Fase 2",'08_Premissas_Custos'!$F$10,1)</f>
        <v/>
      </c>
      <c r="Y108">
        <f>X108*'08_Premissas_Custos'!$F$7</f>
        <v/>
      </c>
      <c r="Z108">
        <f>(X108+Y108)*'08_Premissas_Custos'!$F$6</f>
        <v/>
      </c>
      <c r="AA108">
        <f>SUM(X108:Z108)</f>
        <v/>
      </c>
      <c r="AB108" t="inlineStr">
        <is>
          <t>Endpoints, versão, limites</t>
        </is>
      </c>
    </row>
    <row r="109">
      <c r="A109" t="n">
        <v>104</v>
      </c>
      <c r="B109" t="inlineStr">
        <is>
          <t>CORE</t>
        </is>
      </c>
      <c r="C109" t="inlineStr">
        <is>
          <t>Core / Plataforma</t>
        </is>
      </c>
      <c r="D109" t="inlineStr">
        <is>
          <t>Administração multiempresa/tenants</t>
        </is>
      </c>
      <c r="E109" t="inlineStr">
        <is>
          <t>MVP</t>
        </is>
      </c>
      <c r="F109" t="inlineStr">
        <is>
          <t>Alta</t>
        </is>
      </c>
      <c r="H109" t="n">
        <v>0</v>
      </c>
      <c r="I109" t="inlineStr">
        <is>
          <t>Não</t>
        </is>
      </c>
      <c r="J109" t="inlineStr">
        <is>
          <t>Não</t>
        </is>
      </c>
      <c r="K109" t="inlineStr">
        <is>
          <t>Sim</t>
        </is>
      </c>
      <c r="L109" t="inlineStr">
        <is>
          <t>Não</t>
        </is>
      </c>
      <c r="M109">
        <f>IF(F109="Baixa",'08_Premissas_Custos'!$B$6,IF(F109="Média",'08_Premissas_Custos'!$B$7,IF(F109="Alta",'08_Premissas_Custos'!$B$8,'08_Premissas_Custos'!$B$9)))</f>
        <v/>
      </c>
      <c r="N109">
        <f>'08_Premissas_Custos'!$B$13*M109</f>
        <v/>
      </c>
      <c r="O109">
        <f>'08_Premissas_Custos'!$B$14*M109*(1+IF(L109="Sim",0.25,0))</f>
        <v/>
      </c>
      <c r="P109">
        <f>'08_Premissas_Custos'!$B$15*M109*(1+IF(I109="Sim",0.20,0)+IF(K109="Sim",0.15,0))</f>
        <v/>
      </c>
      <c r="Q109">
        <f>'08_Premissas_Custos'!$B$16*M109*IF(J109="Sim",1.6,0.55)</f>
        <v/>
      </c>
      <c r="R109">
        <f>'08_Premissas_Custos'!$B$17*M109*IF(I109="Sim",1.8,0.15)</f>
        <v/>
      </c>
      <c r="S109">
        <f>'08_Premissas_Custos'!$B$18*M109*(1+IF(I109="Sim",0.15)+IF(L109="Sim",0.10))</f>
        <v/>
      </c>
      <c r="T109">
        <f>'08_Premissas_Custos'!$B$19*M109*(1+IF(J109="Sim",0.15))</f>
        <v/>
      </c>
      <c r="U109">
        <f>'08_Premissas_Custos'!$B$20*M109*IF(K109="Sim",1.8,0.7)</f>
        <v/>
      </c>
      <c r="V109">
        <f>SUM(N109:U109)</f>
        <v/>
      </c>
      <c r="W109">
        <f>V109*(1-H109)*IF(E109="Fase 2",'08_Premissas_Custos'!$F$10,1)</f>
        <v/>
      </c>
      <c r="X109">
        <f>(N109*'08_Premissas_Custos'!$C$13+O109*'08_Premissas_Custos'!$C$14+P109*'08_Premissas_Custos'!$C$15+Q109*'08_Premissas_Custos'!$C$16+R109*'08_Premissas_Custos'!$C$17+S109*'08_Premissas_Custos'!$C$18+T109*'08_Premissas_Custos'!$C$19+U109*'08_Premissas_Custos'!$C$20)*(1-H109)*IF(E109="Fase 2",'08_Premissas_Custos'!$F$10,1)</f>
        <v/>
      </c>
      <c r="Y109">
        <f>X109*'08_Premissas_Custos'!$F$7</f>
        <v/>
      </c>
      <c r="Z109">
        <f>(X109+Y109)*'08_Premissas_Custos'!$F$6</f>
        <v/>
      </c>
      <c r="AA109">
        <f>SUM(X109:Z109)</f>
        <v/>
      </c>
      <c r="AB109" t="inlineStr">
        <is>
          <t>Isolamento tenant</t>
        </is>
      </c>
    </row>
    <row r="110">
      <c r="A110" t="n">
        <v>105</v>
      </c>
      <c r="B110" t="inlineStr">
        <is>
          <t>CORE</t>
        </is>
      </c>
      <c r="C110" t="inlineStr">
        <is>
          <t>Core / Plataforma</t>
        </is>
      </c>
      <c r="D110" t="inlineStr">
        <is>
          <t>Revogação e propagação de consentimento (N24)</t>
        </is>
      </c>
      <c r="E110" t="inlineStr">
        <is>
          <t>MVP</t>
        </is>
      </c>
      <c r="F110" t="inlineStr">
        <is>
          <t>Alta</t>
        </is>
      </c>
      <c r="H110" t="n">
        <v>0</v>
      </c>
      <c r="I110" t="inlineStr">
        <is>
          <t>Não</t>
        </is>
      </c>
      <c r="J110" t="inlineStr">
        <is>
          <t>Não</t>
        </is>
      </c>
      <c r="K110" t="inlineStr">
        <is>
          <t>Sim</t>
        </is>
      </c>
      <c r="L110" t="inlineStr">
        <is>
          <t>Não</t>
        </is>
      </c>
      <c r="M110">
        <f>IF(F110="Baixa",'08_Premissas_Custos'!$B$6,IF(F110="Média",'08_Premissas_Custos'!$B$7,IF(F110="Alta",'08_Premissas_Custos'!$B$8,'08_Premissas_Custos'!$B$9)))</f>
        <v/>
      </c>
      <c r="N110">
        <f>'08_Premissas_Custos'!$B$13*M110</f>
        <v/>
      </c>
      <c r="O110">
        <f>'08_Premissas_Custos'!$B$14*M110*(1+IF(L110="Sim",0.25,0))</f>
        <v/>
      </c>
      <c r="P110">
        <f>'08_Premissas_Custos'!$B$15*M110*(1+IF(I110="Sim",0.20,0)+IF(K110="Sim",0.15,0))</f>
        <v/>
      </c>
      <c r="Q110">
        <f>'08_Premissas_Custos'!$B$16*M110*IF(J110="Sim",1.6,0.55)</f>
        <v/>
      </c>
      <c r="R110">
        <f>'08_Premissas_Custos'!$B$17*M110*IF(I110="Sim",1.8,0.15)</f>
        <v/>
      </c>
      <c r="S110">
        <f>'08_Premissas_Custos'!$B$18*M110*(1+IF(I110="Sim",0.15)+IF(L110="Sim",0.10))</f>
        <v/>
      </c>
      <c r="T110">
        <f>'08_Premissas_Custos'!$B$19*M110*(1+IF(J110="Sim",0.15))</f>
        <v/>
      </c>
      <c r="U110">
        <f>'08_Premissas_Custos'!$B$20*M110*IF(K110="Sim",1.8,0.7)</f>
        <v/>
      </c>
      <c r="V110">
        <f>SUM(N110:U110)</f>
        <v/>
      </c>
      <c r="W110">
        <f>V110*(1-H110)*IF(E110="Fase 2",'08_Premissas_Custos'!$F$10,1)</f>
        <v/>
      </c>
      <c r="X110">
        <f>(N110*'08_Premissas_Custos'!$C$13+O110*'08_Premissas_Custos'!$C$14+P110*'08_Premissas_Custos'!$C$15+Q110*'08_Premissas_Custos'!$C$16+R110*'08_Premissas_Custos'!$C$17+S110*'08_Premissas_Custos'!$C$18+T110*'08_Premissas_Custos'!$C$19+U110*'08_Premissas_Custos'!$C$20)*(1-H110)*IF(E110="Fase 2",'08_Premissas_Custos'!$F$10,1)</f>
        <v/>
      </c>
      <c r="Y110">
        <f>X110*'08_Premissas_Custos'!$F$7</f>
        <v/>
      </c>
      <c r="Z110">
        <f>(X110+Y110)*'08_Premissas_Custos'!$F$6</f>
        <v/>
      </c>
      <c r="AA110">
        <f>SUM(X110:Z110)</f>
        <v/>
      </c>
      <c r="AB110" t="inlineStr">
        <is>
          <t>Propagação &lt;=5min</t>
        </is>
      </c>
    </row>
    <row r="111">
      <c r="A111" t="n">
        <v>106</v>
      </c>
      <c r="B111" t="inlineStr">
        <is>
          <t>CUST</t>
        </is>
      </c>
      <c r="C111" t="inlineStr">
        <is>
          <t>Clientes &amp; Receita</t>
        </is>
      </c>
      <c r="D111" t="inlineStr">
        <is>
          <t>Conta 360° / carteira</t>
        </is>
      </c>
      <c r="E111" t="inlineStr">
        <is>
          <t>MVP</t>
        </is>
      </c>
      <c r="F111" t="inlineStr">
        <is>
          <t>Média</t>
        </is>
      </c>
      <c r="H111" t="n">
        <v>0</v>
      </c>
      <c r="I111" t="inlineStr">
        <is>
          <t>Não</t>
        </is>
      </c>
      <c r="J111" t="inlineStr">
        <is>
          <t>Sim</t>
        </is>
      </c>
      <c r="K111" t="inlineStr">
        <is>
          <t>Não</t>
        </is>
      </c>
      <c r="L111" t="inlineStr">
        <is>
          <t>Não</t>
        </is>
      </c>
      <c r="M111">
        <f>IF(F111="Baixa",'08_Premissas_Custos'!$B$6,IF(F111="Média",'08_Premissas_Custos'!$B$7,IF(F111="Alta",'08_Premissas_Custos'!$B$8,'08_Premissas_Custos'!$B$9)))</f>
        <v/>
      </c>
      <c r="N111">
        <f>'08_Premissas_Custos'!$B$13*M111</f>
        <v/>
      </c>
      <c r="O111">
        <f>'08_Premissas_Custos'!$B$14*M111*(1+IF(L111="Sim",0.25,0))</f>
        <v/>
      </c>
      <c r="P111">
        <f>'08_Premissas_Custos'!$B$15*M111*(1+IF(I111="Sim",0.20,0)+IF(K111="Sim",0.15,0))</f>
        <v/>
      </c>
      <c r="Q111">
        <f>'08_Premissas_Custos'!$B$16*M111*IF(J111="Sim",1.6,0.55)</f>
        <v/>
      </c>
      <c r="R111">
        <f>'08_Premissas_Custos'!$B$17*M111*IF(I111="Sim",1.8,0.15)</f>
        <v/>
      </c>
      <c r="S111">
        <f>'08_Premissas_Custos'!$B$18*M111*(1+IF(I111="Sim",0.15)+IF(L111="Sim",0.10))</f>
        <v/>
      </c>
      <c r="T111">
        <f>'08_Premissas_Custos'!$B$19*M111*(1+IF(J111="Sim",0.15))</f>
        <v/>
      </c>
      <c r="U111">
        <f>'08_Premissas_Custos'!$B$20*M111*IF(K111="Sim",1.8,0.7)</f>
        <v/>
      </c>
      <c r="V111">
        <f>SUM(N111:U111)</f>
        <v/>
      </c>
      <c r="W111">
        <f>V111*(1-H111)*IF(E111="Fase 2",'08_Premissas_Custos'!$F$10,1)</f>
        <v/>
      </c>
      <c r="X111">
        <f>(N111*'08_Premissas_Custos'!$C$13+O111*'08_Premissas_Custos'!$C$14+P111*'08_Premissas_Custos'!$C$15+Q111*'08_Premissas_Custos'!$C$16+R111*'08_Premissas_Custos'!$C$17+S111*'08_Premissas_Custos'!$C$18+T111*'08_Premissas_Custos'!$C$19+U111*'08_Premissas_Custos'!$C$20)*(1-H111)*IF(E111="Fase 2",'08_Premissas_Custos'!$F$10,1)</f>
        <v/>
      </c>
      <c r="Y111">
        <f>X111*'08_Premissas_Custos'!$F$7</f>
        <v/>
      </c>
      <c r="Z111">
        <f>(X111+Y111)*'08_Premissas_Custos'!$F$6</f>
        <v/>
      </c>
      <c r="AA111">
        <f>SUM(X111:Z111)</f>
        <v/>
      </c>
      <c r="AB111" t="inlineStr">
        <is>
          <t>Conta e owner</t>
        </is>
      </c>
    </row>
    <row r="112">
      <c r="A112" t="n">
        <v>107</v>
      </c>
      <c r="B112" t="inlineStr">
        <is>
          <t>CUST</t>
        </is>
      </c>
      <c r="C112" t="inlineStr">
        <is>
          <t>Clientes &amp; Receita</t>
        </is>
      </c>
      <c r="D112" t="inlineStr">
        <is>
          <t>Contratos e renovações</t>
        </is>
      </c>
      <c r="E112" t="inlineStr">
        <is>
          <t>MVP</t>
        </is>
      </c>
      <c r="F112" t="inlineStr">
        <is>
          <t>Média</t>
        </is>
      </c>
      <c r="H112" t="n">
        <v>0</v>
      </c>
      <c r="I112" t="inlineStr">
        <is>
          <t>Não</t>
        </is>
      </c>
      <c r="J112" t="inlineStr">
        <is>
          <t>Não</t>
        </is>
      </c>
      <c r="K112" t="inlineStr">
        <is>
          <t>Não</t>
        </is>
      </c>
      <c r="L112" t="inlineStr">
        <is>
          <t>Não</t>
        </is>
      </c>
      <c r="M112">
        <f>IF(F112="Baixa",'08_Premissas_Custos'!$B$6,IF(F112="Média",'08_Premissas_Custos'!$B$7,IF(F112="Alta",'08_Premissas_Custos'!$B$8,'08_Premissas_Custos'!$B$9)))</f>
        <v/>
      </c>
      <c r="N112">
        <f>'08_Premissas_Custos'!$B$13*M112</f>
        <v/>
      </c>
      <c r="O112">
        <f>'08_Premissas_Custos'!$B$14*M112*(1+IF(L112="Sim",0.25,0))</f>
        <v/>
      </c>
      <c r="P112">
        <f>'08_Premissas_Custos'!$B$15*M112*(1+IF(I112="Sim",0.20,0)+IF(K112="Sim",0.15,0))</f>
        <v/>
      </c>
      <c r="Q112">
        <f>'08_Premissas_Custos'!$B$16*M112*IF(J112="Sim",1.6,0.55)</f>
        <v/>
      </c>
      <c r="R112">
        <f>'08_Premissas_Custos'!$B$17*M112*IF(I112="Sim",1.8,0.15)</f>
        <v/>
      </c>
      <c r="S112">
        <f>'08_Premissas_Custos'!$B$18*M112*(1+IF(I112="Sim",0.15)+IF(L112="Sim",0.10))</f>
        <v/>
      </c>
      <c r="T112">
        <f>'08_Premissas_Custos'!$B$19*M112*(1+IF(J112="Sim",0.15))</f>
        <v/>
      </c>
      <c r="U112">
        <f>'08_Premissas_Custos'!$B$20*M112*IF(K112="Sim",1.8,0.7)</f>
        <v/>
      </c>
      <c r="V112">
        <f>SUM(N112:U112)</f>
        <v/>
      </c>
      <c r="W112">
        <f>V112*(1-H112)*IF(E112="Fase 2",'08_Premissas_Custos'!$F$10,1)</f>
        <v/>
      </c>
      <c r="X112">
        <f>(N112*'08_Premissas_Custos'!$C$13+O112*'08_Premissas_Custos'!$C$14+P112*'08_Premissas_Custos'!$C$15+Q112*'08_Premissas_Custos'!$C$16+R112*'08_Premissas_Custos'!$C$17+S112*'08_Premissas_Custos'!$C$18+T112*'08_Premissas_Custos'!$C$19+U112*'08_Premissas_Custos'!$C$20)*(1-H112)*IF(E112="Fase 2",'08_Premissas_Custos'!$F$10,1)</f>
        <v/>
      </c>
      <c r="Y112">
        <f>X112*'08_Premissas_Custos'!$F$7</f>
        <v/>
      </c>
      <c r="Z112">
        <f>(X112+Y112)*'08_Premissas_Custos'!$F$6</f>
        <v/>
      </c>
      <c r="AA112">
        <f>SUM(X112:Z112)</f>
        <v/>
      </c>
      <c r="AB112" t="inlineStr">
        <is>
          <t>Vigência e valor</t>
        </is>
      </c>
    </row>
    <row r="113">
      <c r="A113" t="n">
        <v>108</v>
      </c>
      <c r="B113" t="inlineStr">
        <is>
          <t>CUST</t>
        </is>
      </c>
      <c r="C113" t="inlineStr">
        <is>
          <t>Clientes &amp; Receita</t>
        </is>
      </c>
      <c r="D113" t="inlineStr">
        <is>
          <t>NPS e feedback</t>
        </is>
      </c>
      <c r="E113" t="inlineStr">
        <is>
          <t>MVP</t>
        </is>
      </c>
      <c r="F113" t="inlineStr">
        <is>
          <t>Média</t>
        </is>
      </c>
      <c r="H113" t="n">
        <v>0</v>
      </c>
      <c r="I113" t="inlineStr">
        <is>
          <t>Não</t>
        </is>
      </c>
      <c r="J113" t="inlineStr">
        <is>
          <t>Não</t>
        </is>
      </c>
      <c r="K113" t="inlineStr">
        <is>
          <t>Não</t>
        </is>
      </c>
      <c r="L113" t="inlineStr">
        <is>
          <t>Não</t>
        </is>
      </c>
      <c r="M113">
        <f>IF(F113="Baixa",'08_Premissas_Custos'!$B$6,IF(F113="Média",'08_Premissas_Custos'!$B$7,IF(F113="Alta",'08_Premissas_Custos'!$B$8,'08_Premissas_Custos'!$B$9)))</f>
        <v/>
      </c>
      <c r="N113">
        <f>'08_Premissas_Custos'!$B$13*M113</f>
        <v/>
      </c>
      <c r="O113">
        <f>'08_Premissas_Custos'!$B$14*M113*(1+IF(L113="Sim",0.25,0))</f>
        <v/>
      </c>
      <c r="P113">
        <f>'08_Premissas_Custos'!$B$15*M113*(1+IF(I113="Sim",0.20,0)+IF(K113="Sim",0.15,0))</f>
        <v/>
      </c>
      <c r="Q113">
        <f>'08_Premissas_Custos'!$B$16*M113*IF(J113="Sim",1.6,0.55)</f>
        <v/>
      </c>
      <c r="R113">
        <f>'08_Premissas_Custos'!$B$17*M113*IF(I113="Sim",1.8,0.15)</f>
        <v/>
      </c>
      <c r="S113">
        <f>'08_Premissas_Custos'!$B$18*M113*(1+IF(I113="Sim",0.15)+IF(L113="Sim",0.10))</f>
        <v/>
      </c>
      <c r="T113">
        <f>'08_Premissas_Custos'!$B$19*M113*(1+IF(J113="Sim",0.15))</f>
        <v/>
      </c>
      <c r="U113">
        <f>'08_Premissas_Custos'!$B$20*M113*IF(K113="Sim",1.8,0.7)</f>
        <v/>
      </c>
      <c r="V113">
        <f>SUM(N113:U113)</f>
        <v/>
      </c>
      <c r="W113">
        <f>V113*(1-H113)*IF(E113="Fase 2",'08_Premissas_Custos'!$F$10,1)</f>
        <v/>
      </c>
      <c r="X113">
        <f>(N113*'08_Premissas_Custos'!$C$13+O113*'08_Premissas_Custos'!$C$14+P113*'08_Premissas_Custos'!$C$15+Q113*'08_Premissas_Custos'!$C$16+R113*'08_Premissas_Custos'!$C$17+S113*'08_Premissas_Custos'!$C$18+T113*'08_Premissas_Custos'!$C$19+U113*'08_Premissas_Custos'!$C$20)*(1-H113)*IF(E113="Fase 2",'08_Premissas_Custos'!$F$10,1)</f>
        <v/>
      </c>
      <c r="Y113">
        <f>X113*'08_Premissas_Custos'!$F$7</f>
        <v/>
      </c>
      <c r="Z113">
        <f>(X113+Y113)*'08_Premissas_Custos'!$F$6</f>
        <v/>
      </c>
      <c r="AA113">
        <f>SUM(X113:Z113)</f>
        <v/>
      </c>
      <c r="AB113" t="inlineStr">
        <is>
          <t>Satisfação por conta</t>
        </is>
      </c>
    </row>
    <row r="114">
      <c r="A114" t="n">
        <v>109</v>
      </c>
      <c r="B114" t="inlineStr">
        <is>
          <t>CUST</t>
        </is>
      </c>
      <c r="C114" t="inlineStr">
        <is>
          <t>Clientes &amp; Receita</t>
        </is>
      </c>
      <c r="D114" t="inlineStr">
        <is>
          <t>Risco de churn</t>
        </is>
      </c>
      <c r="E114" t="inlineStr">
        <is>
          <t>MVP+1</t>
        </is>
      </c>
      <c r="F114" t="inlineStr">
        <is>
          <t>Alta</t>
        </is>
      </c>
      <c r="H114" t="n">
        <v>0</v>
      </c>
      <c r="I114" t="inlineStr">
        <is>
          <t>Sim</t>
        </is>
      </c>
      <c r="J114" t="inlineStr">
        <is>
          <t>Sim</t>
        </is>
      </c>
      <c r="K114" t="inlineStr">
        <is>
          <t>Não</t>
        </is>
      </c>
      <c r="L114" t="inlineStr">
        <is>
          <t>Não</t>
        </is>
      </c>
      <c r="M114">
        <f>IF(F114="Baixa",'08_Premissas_Custos'!$B$6,IF(F114="Média",'08_Premissas_Custos'!$B$7,IF(F114="Alta",'08_Premissas_Custos'!$B$8,'08_Premissas_Custos'!$B$9)))</f>
        <v/>
      </c>
      <c r="N114">
        <f>'08_Premissas_Custos'!$B$13*M114</f>
        <v/>
      </c>
      <c r="O114">
        <f>'08_Premissas_Custos'!$B$14*M114*(1+IF(L114="Sim",0.25,0))</f>
        <v/>
      </c>
      <c r="P114">
        <f>'08_Premissas_Custos'!$B$15*M114*(1+IF(I114="Sim",0.20,0)+IF(K114="Sim",0.15,0))</f>
        <v/>
      </c>
      <c r="Q114">
        <f>'08_Premissas_Custos'!$B$16*M114*IF(J114="Sim",1.6,0.55)</f>
        <v/>
      </c>
      <c r="R114">
        <f>'08_Premissas_Custos'!$B$17*M114*IF(I114="Sim",1.8,0.15)</f>
        <v/>
      </c>
      <c r="S114">
        <f>'08_Premissas_Custos'!$B$18*M114*(1+IF(I114="Sim",0.15)+IF(L114="Sim",0.10))</f>
        <v/>
      </c>
      <c r="T114">
        <f>'08_Premissas_Custos'!$B$19*M114*(1+IF(J114="Sim",0.15))</f>
        <v/>
      </c>
      <c r="U114">
        <f>'08_Premissas_Custos'!$B$20*M114*IF(K114="Sim",1.8,0.7)</f>
        <v/>
      </c>
      <c r="V114">
        <f>SUM(N114:U114)</f>
        <v/>
      </c>
      <c r="W114">
        <f>V114*(1-H114)*IF(E114="Fase 2",'08_Premissas_Custos'!$F$10,1)</f>
        <v/>
      </c>
      <c r="X114">
        <f>(N114*'08_Premissas_Custos'!$C$13+O114*'08_Premissas_Custos'!$C$14+P114*'08_Premissas_Custos'!$C$15+Q114*'08_Premissas_Custos'!$C$16+R114*'08_Premissas_Custos'!$C$17+S114*'08_Premissas_Custos'!$C$18+T114*'08_Premissas_Custos'!$C$19+U114*'08_Premissas_Custos'!$C$20)*(1-H114)*IF(E114="Fase 2",'08_Premissas_Custos'!$F$10,1)</f>
        <v/>
      </c>
      <c r="Y114">
        <f>X114*'08_Premissas_Custos'!$F$7</f>
        <v/>
      </c>
      <c r="Z114">
        <f>(X114+Y114)*'08_Premissas_Custos'!$F$6</f>
        <v/>
      </c>
      <c r="AA114">
        <f>SUM(X114:Z114)</f>
        <v/>
      </c>
      <c r="AB114" t="inlineStr">
        <is>
          <t>Modelo + revisão humana</t>
        </is>
      </c>
    </row>
    <row r="115">
      <c r="A115" t="n">
        <v>110</v>
      </c>
      <c r="B115" t="inlineStr">
        <is>
          <t>CUST</t>
        </is>
      </c>
      <c r="C115" t="inlineStr">
        <is>
          <t>Clientes &amp; Receita</t>
        </is>
      </c>
      <c r="D115" t="inlineStr">
        <is>
          <t>Receita e margem por cliente</t>
        </is>
      </c>
      <c r="E115" t="inlineStr">
        <is>
          <t>MVP</t>
        </is>
      </c>
      <c r="F115" t="inlineStr">
        <is>
          <t>Alta</t>
        </is>
      </c>
      <c r="H115" t="n">
        <v>0</v>
      </c>
      <c r="I115" t="inlineStr">
        <is>
          <t>Não</t>
        </is>
      </c>
      <c r="J115" t="inlineStr">
        <is>
          <t>Sim</t>
        </is>
      </c>
      <c r="K115" t="inlineStr">
        <is>
          <t>Não</t>
        </is>
      </c>
      <c r="L115" t="inlineStr">
        <is>
          <t>Não</t>
        </is>
      </c>
      <c r="M115">
        <f>IF(F115="Baixa",'08_Premissas_Custos'!$B$6,IF(F115="Média",'08_Premissas_Custos'!$B$7,IF(F115="Alta",'08_Premissas_Custos'!$B$8,'08_Premissas_Custos'!$B$9)))</f>
        <v/>
      </c>
      <c r="N115">
        <f>'08_Premissas_Custos'!$B$13*M115</f>
        <v/>
      </c>
      <c r="O115">
        <f>'08_Premissas_Custos'!$B$14*M115*(1+IF(L115="Sim",0.25,0))</f>
        <v/>
      </c>
      <c r="P115">
        <f>'08_Premissas_Custos'!$B$15*M115*(1+IF(I115="Sim",0.20,0)+IF(K115="Sim",0.15,0))</f>
        <v/>
      </c>
      <c r="Q115">
        <f>'08_Premissas_Custos'!$B$16*M115*IF(J115="Sim",1.6,0.55)</f>
        <v/>
      </c>
      <c r="R115">
        <f>'08_Premissas_Custos'!$B$17*M115*IF(I115="Sim",1.8,0.15)</f>
        <v/>
      </c>
      <c r="S115">
        <f>'08_Premissas_Custos'!$B$18*M115*(1+IF(I115="Sim",0.15)+IF(L115="Sim",0.10))</f>
        <v/>
      </c>
      <c r="T115">
        <f>'08_Premissas_Custos'!$B$19*M115*(1+IF(J115="Sim",0.15))</f>
        <v/>
      </c>
      <c r="U115">
        <f>'08_Premissas_Custos'!$B$20*M115*IF(K115="Sim",1.8,0.7)</f>
        <v/>
      </c>
      <c r="V115">
        <f>SUM(N115:U115)</f>
        <v/>
      </c>
      <c r="W115">
        <f>V115*(1-H115)*IF(E115="Fase 2",'08_Premissas_Custos'!$F$10,1)</f>
        <v/>
      </c>
      <c r="X115">
        <f>(N115*'08_Premissas_Custos'!$C$13+O115*'08_Premissas_Custos'!$C$14+P115*'08_Premissas_Custos'!$C$15+Q115*'08_Premissas_Custos'!$C$16+R115*'08_Premissas_Custos'!$C$17+S115*'08_Premissas_Custos'!$C$18+T115*'08_Premissas_Custos'!$C$19+U115*'08_Premissas_Custos'!$C$20)*(1-H115)*IF(E115="Fase 2",'08_Premissas_Custos'!$F$10,1)</f>
        <v/>
      </c>
      <c r="Y115">
        <f>X115*'08_Premissas_Custos'!$F$7</f>
        <v/>
      </c>
      <c r="Z115">
        <f>(X115+Y115)*'08_Premissas_Custos'!$F$6</f>
        <v/>
      </c>
      <c r="AA115">
        <f>SUM(X115:Z115)</f>
        <v/>
      </c>
      <c r="AB115" t="inlineStr">
        <is>
          <t>Conciliado ao fechamento</t>
        </is>
      </c>
    </row>
    <row r="116">
      <c r="A116" t="n">
        <v>111</v>
      </c>
      <c r="B116" t="inlineStr">
        <is>
          <t>CUST</t>
        </is>
      </c>
      <c r="C116" t="inlineStr">
        <is>
          <t>Clientes &amp; Receita</t>
        </is>
      </c>
      <c r="D116" t="inlineStr">
        <is>
          <t>Expansão e rentabilidade</t>
        </is>
      </c>
      <c r="E116" t="inlineStr">
        <is>
          <t>MVP</t>
        </is>
      </c>
      <c r="F116" t="inlineStr">
        <is>
          <t>Alta</t>
        </is>
      </c>
      <c r="H116" t="n">
        <v>0</v>
      </c>
      <c r="I116" t="inlineStr">
        <is>
          <t>Não</t>
        </is>
      </c>
      <c r="J116" t="inlineStr">
        <is>
          <t>Sim</t>
        </is>
      </c>
      <c r="K116" t="inlineStr">
        <is>
          <t>Não</t>
        </is>
      </c>
      <c r="L116" t="inlineStr">
        <is>
          <t>Não</t>
        </is>
      </c>
      <c r="M116">
        <f>IF(F116="Baixa",'08_Premissas_Custos'!$B$6,IF(F116="Média",'08_Premissas_Custos'!$B$7,IF(F116="Alta",'08_Premissas_Custos'!$B$8,'08_Premissas_Custos'!$B$9)))</f>
        <v/>
      </c>
      <c r="N116">
        <f>'08_Premissas_Custos'!$B$13*M116</f>
        <v/>
      </c>
      <c r="O116">
        <f>'08_Premissas_Custos'!$B$14*M116*(1+IF(L116="Sim",0.25,0))</f>
        <v/>
      </c>
      <c r="P116">
        <f>'08_Premissas_Custos'!$B$15*M116*(1+IF(I116="Sim",0.20,0)+IF(K116="Sim",0.15,0))</f>
        <v/>
      </c>
      <c r="Q116">
        <f>'08_Premissas_Custos'!$B$16*M116*IF(J116="Sim",1.6,0.55)</f>
        <v/>
      </c>
      <c r="R116">
        <f>'08_Premissas_Custos'!$B$17*M116*IF(I116="Sim",1.8,0.15)</f>
        <v/>
      </c>
      <c r="S116">
        <f>'08_Premissas_Custos'!$B$18*M116*(1+IF(I116="Sim",0.15)+IF(L116="Sim",0.10))</f>
        <v/>
      </c>
      <c r="T116">
        <f>'08_Premissas_Custos'!$B$19*M116*(1+IF(J116="Sim",0.15))</f>
        <v/>
      </c>
      <c r="U116">
        <f>'08_Premissas_Custos'!$B$20*M116*IF(K116="Sim",1.8,0.7)</f>
        <v/>
      </c>
      <c r="V116">
        <f>SUM(N116:U116)</f>
        <v/>
      </c>
      <c r="W116">
        <f>V116*(1-H116)*IF(E116="Fase 2",'08_Premissas_Custos'!$F$10,1)</f>
        <v/>
      </c>
      <c r="X116">
        <f>(N116*'08_Premissas_Custos'!$C$13+O116*'08_Premissas_Custos'!$C$14+P116*'08_Premissas_Custos'!$C$15+Q116*'08_Premissas_Custos'!$C$16+R116*'08_Premissas_Custos'!$C$17+S116*'08_Premissas_Custos'!$C$18+T116*'08_Premissas_Custos'!$C$19+U116*'08_Premissas_Custos'!$C$20)*(1-H116)*IF(E116="Fase 2",'08_Premissas_Custos'!$F$10,1)</f>
        <v/>
      </c>
      <c r="Y116">
        <f>X116*'08_Premissas_Custos'!$F$7</f>
        <v/>
      </c>
      <c r="Z116">
        <f>(X116+Y116)*'08_Premissas_Custos'!$F$6</f>
        <v/>
      </c>
      <c r="AA116">
        <f>SUM(X116:Z116)</f>
        <v/>
      </c>
      <c r="AB116" t="inlineStr">
        <is>
          <t>Upsell e mix</t>
        </is>
      </c>
    </row>
  </sheetData>
  <mergeCells count="2">
    <mergeCell ref="A3:AB3"/>
    <mergeCell ref="A1:AB2"/>
  </mergeCells>
  <dataValidations count="4">
    <dataValidation sqref="I6:I200" showDropDown="0" showInputMessage="0" showErrorMessage="0" allowBlank="1" type="list">
      <formula1>"Sim,Não"</formula1>
    </dataValidation>
    <dataValidation sqref="J6:J200" showDropDown="0" showInputMessage="0" showErrorMessage="0" allowBlank="1" type="list">
      <formula1>"Sim,Não"</formula1>
    </dataValidation>
    <dataValidation sqref="K6:K200" showDropDown="0" showInputMessage="0" showErrorMessage="0" allowBlank="1" type="list">
      <formula1>"Sim,Não"</formula1>
    </dataValidation>
    <dataValidation sqref="L6:L200" showDropDown="0" showInputMessage="0" showErrorMessage="0" allowBlank="1" type="list">
      <formula1>"Sim,Não"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9" customWidth="1" style="26" min="1" max="1"/>
    <col width="28" customWidth="1" style="26" min="2" max="2"/>
    <col width="10" customWidth="1" style="26" min="3" max="3"/>
    <col width="10" customWidth="1" style="26" min="4" max="4"/>
    <col width="10" customWidth="1" style="26" min="5" max="5"/>
    <col width="15" customWidth="1" style="26" min="6" max="6"/>
    <col width="18" customWidth="1" style="26" min="7" max="7"/>
    <col width="18" customWidth="1" style="26" min="8" max="8"/>
    <col width="18" customWidth="1" style="26" min="9" max="9"/>
    <col width="18" customWidth="1" style="26" min="10" max="10"/>
    <col width="20" customWidth="1" style="26" min="11" max="11"/>
    <col width="13" customWidth="1" style="26" min="12" max="12"/>
    <col width="12" customWidth="1" style="26" min="13" max="13"/>
    <col width="55" customWidth="1" style="26" min="14" max="14"/>
  </cols>
  <sheetData>
    <row r="1">
      <c r="A1" s="88" t="inlineStr">
        <is>
          <t>CAPEX E CUSTO INCREMENTAL POR MÓDULO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94" t="inlineStr">
        <is>
          <t>O custo incremental exclui o Core compartilhado. Isso permite precificar cada vertical sem cobrar novamente a infraestrutura-base já construída.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33" t="inlineStr">
        <is>
          <t>Código</t>
        </is>
      </c>
      <c r="B5" s="33" t="inlineStr">
        <is>
          <t>Módulo</t>
        </is>
      </c>
      <c r="C5" s="33" t="inlineStr">
        <is>
          <t>Telas</t>
        </is>
      </c>
      <c r="D5" s="33" t="inlineStr">
        <is>
          <t>MVP</t>
        </is>
      </c>
      <c r="E5" s="33" t="inlineStr">
        <is>
          <t>Fase 2</t>
        </is>
      </c>
      <c r="F5" s="33" t="inlineStr">
        <is>
          <t>Horas líquidas</t>
        </is>
      </c>
      <c r="G5" s="33" t="inlineStr">
        <is>
          <t>CAPEX total</t>
        </is>
      </c>
      <c r="H5" s="33" t="inlineStr">
        <is>
          <t>CAPEX MVP</t>
        </is>
      </c>
      <c r="I5" s="33" t="inlineStr">
        <is>
          <t>CAPEX Fase 2</t>
        </is>
      </c>
      <c r="J5" s="33" t="inlineStr">
        <is>
          <t>Core alocado</t>
        </is>
      </c>
      <c r="K5" s="33" t="inlineStr">
        <is>
          <t>Custo incremental</t>
        </is>
      </c>
      <c r="L5" s="33" t="inlineStr">
        <is>
          <t>% do CAPEX</t>
        </is>
      </c>
      <c r="M5" s="33" t="inlineStr">
        <is>
          <t>Complexas</t>
        </is>
      </c>
      <c r="N5" s="33" t="inlineStr">
        <is>
          <t>Leitura comercial</t>
        </is>
      </c>
      <c r="O5" t="inlineStr">
        <is>
          <t>MVP+1</t>
        </is>
      </c>
      <c r="P5" t="inlineStr">
        <is>
          <t>CAPEX MVP+1</t>
        </is>
      </c>
    </row>
    <row r="6">
      <c r="A6" s="63" t="inlineStr">
        <is>
          <t>CORE</t>
        </is>
      </c>
      <c r="B6" s="63" t="inlineStr">
        <is>
          <t>Core / Plataforma</t>
        </is>
      </c>
      <c r="C6" s="64">
        <f>COUNTIF('09_Estimativa_96_Telas'!$B$6:$B$200,A6)</f>
        <v/>
      </c>
      <c r="D6" s="64">
        <f>COUNTIFS('09_Estimativa_96_Telas'!$B$6:$B$200,A6,'09_Estimativa_96_Telas'!$E$6:$E$200,"MVP")</f>
        <v/>
      </c>
      <c r="E6" s="64">
        <f>COUNTIFS('09_Estimativa_96_Telas'!$B$6:$B$200,A6,'09_Estimativa_96_Telas'!$E$6:$E$200,"Fase 2")</f>
        <v/>
      </c>
      <c r="F6" s="92">
        <f>SUMIF('09_Estimativa_96_Telas'!$B$6:$B$200,A6,'09_Estimativa_96_Telas'!$W$6:$W$200)</f>
        <v/>
      </c>
      <c r="G6" s="93">
        <f>SUMIF('09_Estimativa_96_Telas'!$B$6:$B$200,A6,'09_Estimativa_96_Telas'!$AA$6:$AA$200)</f>
        <v/>
      </c>
      <c r="H6" s="93">
        <f>SUMIFS('09_Estimativa_96_Telas'!$AA$6:$AA$200,'09_Estimativa_96_Telas'!$B$6:$B$200,A6,'09_Estimativa_96_Telas'!$E$6:$E$200,"MVP")</f>
        <v/>
      </c>
      <c r="I6" s="93">
        <f>SUMIFS('09_Estimativa_96_Telas'!$AA$6:$AA$200,'09_Estimativa_96_Telas'!$B$6:$B$200,A6,'09_Estimativa_96_Telas'!$E$6:$E$200,"Fase 2")</f>
        <v/>
      </c>
      <c r="J6" s="93">
        <f>IF(A6="CORE",G6,$G$6/8)</f>
        <v/>
      </c>
      <c r="K6" s="93">
        <f>IF(A6="CORE",G6,G6)</f>
        <v/>
      </c>
      <c r="L6" s="95">
        <f>G6/SUM($G$6:$G$14)</f>
        <v/>
      </c>
      <c r="M6" s="64">
        <f>COUNTIFS('02_Inventario_Paginas'!$B$6:$B$200,A6,'02_Inventario_Paginas'!$G$6:$G$200,"Alta")+COUNTIFS('02_Inventario_Paginas'!$B$6:$B$200,A6,'02_Inventario_Paginas'!$G$6:$G$200,"Muito alta")</f>
        <v/>
      </c>
      <c r="N6" s="14" t="inlineStr">
        <is>
          <t>Base compartilhada</t>
        </is>
      </c>
      <c r="O6">
        <f>COUNTIFS('09_Estimativa_96_Telas'!$B$6:$B$200,A6,'09_Estimativa_96_Telas'!$E$6:$E$200,"MVP+1")</f>
        <v/>
      </c>
      <c r="P6">
        <f>SUMIFS('09_Estimativa_96_Telas'!$AA$6:$AA$200,'09_Estimativa_96_Telas'!$B$6:$B$200,A6,'09_Estimativa_96_Telas'!$E$6:$E$200,"MVP+1")</f>
        <v/>
      </c>
    </row>
    <row r="7">
      <c r="A7" s="63" t="inlineStr">
        <is>
          <t>ED</t>
        </is>
      </c>
      <c r="B7" s="63" t="inlineStr">
        <is>
          <t>Estratégia &amp; Dados</t>
        </is>
      </c>
      <c r="C7" s="64">
        <f>COUNTIF('09_Estimativa_96_Telas'!$B$6:$B$200,A7)</f>
        <v/>
      </c>
      <c r="D7" s="64">
        <f>COUNTIFS('09_Estimativa_96_Telas'!$B$6:$B$200,A7,'09_Estimativa_96_Telas'!$E$6:$E$200,"MVP")</f>
        <v/>
      </c>
      <c r="E7" s="64">
        <f>COUNTIFS('09_Estimativa_96_Telas'!$B$6:$B$200,A7,'09_Estimativa_96_Telas'!$E$6:$E$200,"Fase 2")</f>
        <v/>
      </c>
      <c r="F7" s="92">
        <f>SUMIF('09_Estimativa_96_Telas'!$B$6:$B$200,A7,'09_Estimativa_96_Telas'!$W$6:$W$200)</f>
        <v/>
      </c>
      <c r="G7" s="93">
        <f>SUMIF('09_Estimativa_96_Telas'!$B$6:$B$200,A7,'09_Estimativa_96_Telas'!$AA$6:$AA$200)</f>
        <v/>
      </c>
      <c r="H7" s="93">
        <f>SUMIFS('09_Estimativa_96_Telas'!$AA$6:$AA$200,'09_Estimativa_96_Telas'!$B$6:$B$200,A7,'09_Estimativa_96_Telas'!$E$6:$E$200,"MVP")</f>
        <v/>
      </c>
      <c r="I7" s="93">
        <f>SUMIFS('09_Estimativa_96_Telas'!$AA$6:$AA$200,'09_Estimativa_96_Telas'!$B$6:$B$200,A7,'09_Estimativa_96_Telas'!$E$6:$E$200,"Fase 2")</f>
        <v/>
      </c>
      <c r="J7" s="93">
        <f>IF(A7="CORE",G7,$G$6/8)</f>
        <v/>
      </c>
      <c r="K7" s="93">
        <f>IF(A7="CORE",G7,G7)</f>
        <v/>
      </c>
      <c r="L7" s="95">
        <f>G7/SUM($G$6:$G$14)</f>
        <v/>
      </c>
      <c r="M7" s="64">
        <f>COUNTIFS('02_Inventario_Paginas'!$B$6:$B$200,A7,'02_Inventario_Paginas'!$G$6:$G$200,"Alta")+COUNTIFS('02_Inventario_Paginas'!$B$6:$B$200,A7,'02_Inventario_Paginas'!$G$6:$G$200,"Muito alta")</f>
        <v/>
      </c>
      <c r="N7" s="14" t="inlineStr">
        <is>
          <t>Preço do módulo = incremental + parcela de Core + implantação/integrações específicas do cliente</t>
        </is>
      </c>
      <c r="O7">
        <f>COUNTIFS('09_Estimativa_96_Telas'!$B$6:$B$200,A7,'09_Estimativa_96_Telas'!$E$6:$E$200,"MVP+1")</f>
        <v/>
      </c>
      <c r="P7">
        <f>SUMIFS('09_Estimativa_96_Telas'!$AA$6:$AA$200,'09_Estimativa_96_Telas'!$B$6:$B$200,A7,'09_Estimativa_96_Telas'!$E$6:$E$200,"MVP+1")</f>
        <v/>
      </c>
    </row>
    <row r="8">
      <c r="A8" s="63" t="inlineStr">
        <is>
          <t>COL</t>
        </is>
      </c>
      <c r="B8" s="63" t="inlineStr">
        <is>
          <t>Colaboradores / Meu Time</t>
        </is>
      </c>
      <c r="C8" s="64">
        <f>COUNTIF('09_Estimativa_96_Telas'!$B$6:$B$200,A8)</f>
        <v/>
      </c>
      <c r="D8" s="64">
        <f>COUNTIFS('09_Estimativa_96_Telas'!$B$6:$B$200,A8,'09_Estimativa_96_Telas'!$E$6:$E$200,"MVP")</f>
        <v/>
      </c>
      <c r="E8" s="64">
        <f>COUNTIFS('09_Estimativa_96_Telas'!$B$6:$B$200,A8,'09_Estimativa_96_Telas'!$E$6:$E$200,"Fase 2")</f>
        <v/>
      </c>
      <c r="F8" s="92">
        <f>SUMIF('09_Estimativa_96_Telas'!$B$6:$B$200,A8,'09_Estimativa_96_Telas'!$W$6:$W$200)</f>
        <v/>
      </c>
      <c r="G8" s="93">
        <f>SUMIF('09_Estimativa_96_Telas'!$B$6:$B$200,A8,'09_Estimativa_96_Telas'!$AA$6:$AA$200)</f>
        <v/>
      </c>
      <c r="H8" s="93">
        <f>SUMIFS('09_Estimativa_96_Telas'!$AA$6:$AA$200,'09_Estimativa_96_Telas'!$B$6:$B$200,A8,'09_Estimativa_96_Telas'!$E$6:$E$200,"MVP")</f>
        <v/>
      </c>
      <c r="I8" s="93">
        <f>SUMIFS('09_Estimativa_96_Telas'!$AA$6:$AA$200,'09_Estimativa_96_Telas'!$B$6:$B$200,A8,'09_Estimativa_96_Telas'!$E$6:$E$200,"Fase 2")</f>
        <v/>
      </c>
      <c r="J8" s="93">
        <f>IF(A8="CORE",G8,$G$6/8)</f>
        <v/>
      </c>
      <c r="K8" s="93">
        <f>IF(A8="CORE",G8,G8)</f>
        <v/>
      </c>
      <c r="L8" s="95">
        <f>G8/SUM($G$6:$G$14)</f>
        <v/>
      </c>
      <c r="M8" s="64">
        <f>COUNTIFS('02_Inventario_Paginas'!$B$6:$B$200,A8,'02_Inventario_Paginas'!$G$6:$G$200,"Alta")+COUNTIFS('02_Inventario_Paginas'!$B$6:$B$200,A8,'02_Inventario_Paginas'!$G$6:$G$200,"Muito alta")</f>
        <v/>
      </c>
      <c r="N8" s="14" t="inlineStr">
        <is>
          <t>Preço do módulo = incremental + parcela de Core + implantação/integrações específicas do cliente</t>
        </is>
      </c>
      <c r="O8">
        <f>COUNTIFS('09_Estimativa_96_Telas'!$B$6:$B$200,A8,'09_Estimativa_96_Telas'!$E$6:$E$200,"MVP+1")</f>
        <v/>
      </c>
      <c r="P8">
        <f>SUMIFS('09_Estimativa_96_Telas'!$AA$6:$AA$200,'09_Estimativa_96_Telas'!$B$6:$B$200,A8,'09_Estimativa_96_Telas'!$E$6:$E$200,"MVP+1")</f>
        <v/>
      </c>
    </row>
    <row r="9">
      <c r="A9" s="63" t="inlineStr">
        <is>
          <t>CAN</t>
        </is>
      </c>
      <c r="B9" s="63" t="inlineStr">
        <is>
          <t>Candidatos &amp; Carreira</t>
        </is>
      </c>
      <c r="C9" s="64">
        <f>COUNTIF('09_Estimativa_96_Telas'!$B$6:$B$200,A9)</f>
        <v/>
      </c>
      <c r="D9" s="64">
        <f>COUNTIFS('09_Estimativa_96_Telas'!$B$6:$B$200,A9,'09_Estimativa_96_Telas'!$E$6:$E$200,"MVP")</f>
        <v/>
      </c>
      <c r="E9" s="64">
        <f>COUNTIFS('09_Estimativa_96_Telas'!$B$6:$B$200,A9,'09_Estimativa_96_Telas'!$E$6:$E$200,"Fase 2")</f>
        <v/>
      </c>
      <c r="F9" s="92">
        <f>SUMIF('09_Estimativa_96_Telas'!$B$6:$B$200,A9,'09_Estimativa_96_Telas'!$W$6:$W$200)</f>
        <v/>
      </c>
      <c r="G9" s="93">
        <f>SUMIF('09_Estimativa_96_Telas'!$B$6:$B$200,A9,'09_Estimativa_96_Telas'!$AA$6:$AA$200)</f>
        <v/>
      </c>
      <c r="H9" s="93">
        <f>SUMIFS('09_Estimativa_96_Telas'!$AA$6:$AA$200,'09_Estimativa_96_Telas'!$B$6:$B$200,A9,'09_Estimativa_96_Telas'!$E$6:$E$200,"MVP")</f>
        <v/>
      </c>
      <c r="I9" s="93">
        <f>SUMIFS('09_Estimativa_96_Telas'!$AA$6:$AA$200,'09_Estimativa_96_Telas'!$B$6:$B$200,A9,'09_Estimativa_96_Telas'!$E$6:$E$200,"Fase 2")</f>
        <v/>
      </c>
      <c r="J9" s="93">
        <f>IF(A9="CORE",G9,$G$6/8)</f>
        <v/>
      </c>
      <c r="K9" s="93">
        <f>IF(A9="CORE",G9,G9)</f>
        <v/>
      </c>
      <c r="L9" s="95">
        <f>G9/SUM($G$6:$G$14)</f>
        <v/>
      </c>
      <c r="M9" s="64">
        <f>COUNTIFS('02_Inventario_Paginas'!$B$6:$B$200,A9,'02_Inventario_Paginas'!$G$6:$G$200,"Alta")+COUNTIFS('02_Inventario_Paginas'!$B$6:$B$200,A9,'02_Inventario_Paginas'!$G$6:$G$200,"Muito alta")</f>
        <v/>
      </c>
      <c r="N9" s="14" t="inlineStr">
        <is>
          <t>Preço do módulo = incremental + parcela de Core + implantação/integrações específicas do cliente</t>
        </is>
      </c>
      <c r="O9">
        <f>COUNTIFS('09_Estimativa_96_Telas'!$B$6:$B$200,A9,'09_Estimativa_96_Telas'!$E$6:$E$200,"MVP+1")</f>
        <v/>
      </c>
      <c r="P9">
        <f>SUMIFS('09_Estimativa_96_Telas'!$AA$6:$AA$200,'09_Estimativa_96_Telas'!$B$6:$B$200,A9,'09_Estimativa_96_Telas'!$E$6:$E$200,"MVP+1")</f>
        <v/>
      </c>
    </row>
    <row r="10">
      <c r="A10" s="63" t="inlineStr">
        <is>
          <t>FOR</t>
        </is>
      </c>
      <c r="B10" s="63" t="inlineStr">
        <is>
          <t>Fornecedores &amp; Negócios</t>
        </is>
      </c>
      <c r="C10" s="64">
        <f>COUNTIF('09_Estimativa_96_Telas'!$B$6:$B$200,A10)</f>
        <v/>
      </c>
      <c r="D10" s="64">
        <f>COUNTIFS('09_Estimativa_96_Telas'!$B$6:$B$200,A10,'09_Estimativa_96_Telas'!$E$6:$E$200,"MVP")</f>
        <v/>
      </c>
      <c r="E10" s="64">
        <f>COUNTIFS('09_Estimativa_96_Telas'!$B$6:$B$200,A10,'09_Estimativa_96_Telas'!$E$6:$E$200,"Fase 2")</f>
        <v/>
      </c>
      <c r="F10" s="92">
        <f>SUMIF('09_Estimativa_96_Telas'!$B$6:$B$200,A10,'09_Estimativa_96_Telas'!$W$6:$W$200)</f>
        <v/>
      </c>
      <c r="G10" s="93">
        <f>SUMIF('09_Estimativa_96_Telas'!$B$6:$B$200,A10,'09_Estimativa_96_Telas'!$AA$6:$AA$200)</f>
        <v/>
      </c>
      <c r="H10" s="93">
        <f>SUMIFS('09_Estimativa_96_Telas'!$AA$6:$AA$200,'09_Estimativa_96_Telas'!$B$6:$B$200,A10,'09_Estimativa_96_Telas'!$E$6:$E$200,"MVP")</f>
        <v/>
      </c>
      <c r="I10" s="93">
        <f>SUMIFS('09_Estimativa_96_Telas'!$AA$6:$AA$200,'09_Estimativa_96_Telas'!$B$6:$B$200,A10,'09_Estimativa_96_Telas'!$E$6:$E$200,"Fase 2")</f>
        <v/>
      </c>
      <c r="J10" s="93">
        <f>IF(A10="CORE",G10,$G$6/8)</f>
        <v/>
      </c>
      <c r="K10" s="93">
        <f>IF(A10="CORE",G10,G10)</f>
        <v/>
      </c>
      <c r="L10" s="95">
        <f>G10/SUM($G$6:$G$14)</f>
        <v/>
      </c>
      <c r="M10" s="64">
        <f>COUNTIFS('02_Inventario_Paginas'!$B$6:$B$200,A10,'02_Inventario_Paginas'!$G$6:$G$200,"Alta")+COUNTIFS('02_Inventario_Paginas'!$B$6:$B$200,A10,'02_Inventario_Paginas'!$G$6:$G$200,"Muito alta")</f>
        <v/>
      </c>
      <c r="N10" s="14" t="inlineStr">
        <is>
          <t>Preço do módulo = incremental + parcela de Core + implantação/integrações específicas do cliente</t>
        </is>
      </c>
      <c r="O10">
        <f>COUNTIFS('09_Estimativa_96_Telas'!$B$6:$B$200,A10,'09_Estimativa_96_Telas'!$E$6:$E$200,"MVP+1")</f>
        <v/>
      </c>
      <c r="P10">
        <f>SUMIFS('09_Estimativa_96_Telas'!$AA$6:$AA$200,'09_Estimativa_96_Telas'!$B$6:$B$200,A10,'09_Estimativa_96_Telas'!$E$6:$E$200,"MVP+1")</f>
        <v/>
      </c>
    </row>
    <row r="11">
      <c r="A11" s="63" t="inlineStr">
        <is>
          <t>ACA</t>
        </is>
      </c>
      <c r="B11" s="63" t="inlineStr">
        <is>
          <t>Acadêmico / Universidades</t>
        </is>
      </c>
      <c r="C11" s="64">
        <f>COUNTIF('09_Estimativa_96_Telas'!$B$6:$B$200,A11)</f>
        <v/>
      </c>
      <c r="D11" s="64">
        <f>COUNTIFS('09_Estimativa_96_Telas'!$B$6:$B$200,A11,'09_Estimativa_96_Telas'!$E$6:$E$200,"MVP")</f>
        <v/>
      </c>
      <c r="E11" s="64">
        <f>COUNTIFS('09_Estimativa_96_Telas'!$B$6:$B$200,A11,'09_Estimativa_96_Telas'!$E$6:$E$200,"Fase 2")</f>
        <v/>
      </c>
      <c r="F11" s="92">
        <f>SUMIF('09_Estimativa_96_Telas'!$B$6:$B$200,A11,'09_Estimativa_96_Telas'!$W$6:$W$200)</f>
        <v/>
      </c>
      <c r="G11" s="93">
        <f>SUMIF('09_Estimativa_96_Telas'!$B$6:$B$200,A11,'09_Estimativa_96_Telas'!$AA$6:$AA$200)</f>
        <v/>
      </c>
      <c r="H11" s="93">
        <f>SUMIFS('09_Estimativa_96_Telas'!$AA$6:$AA$200,'09_Estimativa_96_Telas'!$B$6:$B$200,A11,'09_Estimativa_96_Telas'!$E$6:$E$200,"MVP")</f>
        <v/>
      </c>
      <c r="I11" s="93">
        <f>SUMIFS('09_Estimativa_96_Telas'!$AA$6:$AA$200,'09_Estimativa_96_Telas'!$B$6:$B$200,A11,'09_Estimativa_96_Telas'!$E$6:$E$200,"Fase 2")</f>
        <v/>
      </c>
      <c r="J11" s="93">
        <f>IF(A11="CORE",G11,$G$6/8)</f>
        <v/>
      </c>
      <c r="K11" s="93">
        <f>IF(A11="CORE",G11,G11)</f>
        <v/>
      </c>
      <c r="L11" s="95">
        <f>G11/SUM($G$6:$G$14)</f>
        <v/>
      </c>
      <c r="M11" s="64">
        <f>COUNTIFS('02_Inventario_Paginas'!$B$6:$B$200,A11,'02_Inventario_Paginas'!$G$6:$G$200,"Alta")+COUNTIFS('02_Inventario_Paginas'!$B$6:$B$200,A11,'02_Inventario_Paginas'!$G$6:$G$200,"Muito alta")</f>
        <v/>
      </c>
      <c r="N11" s="14" t="inlineStr">
        <is>
          <t>Preço do módulo = incremental + parcela de Core + implantação/integrações específicas do cliente</t>
        </is>
      </c>
      <c r="O11">
        <f>COUNTIFS('09_Estimativa_96_Telas'!$B$6:$B$200,A11,'09_Estimativa_96_Telas'!$E$6:$E$200,"MVP+1")</f>
        <v/>
      </c>
      <c r="P11">
        <f>SUMIFS('09_Estimativa_96_Telas'!$AA$6:$AA$200,'09_Estimativa_96_Telas'!$B$6:$B$200,A11,'09_Estimativa_96_Telas'!$E$6:$E$200,"MVP+1")</f>
        <v/>
      </c>
    </row>
    <row r="12">
      <c r="A12" s="63" t="inlineStr">
        <is>
          <t>EVT</t>
        </is>
      </c>
      <c r="B12" s="63" t="inlineStr">
        <is>
          <t>Eventos</t>
        </is>
      </c>
      <c r="C12" s="64">
        <f>COUNTIF('09_Estimativa_96_Telas'!$B$6:$B$200,A12)</f>
        <v/>
      </c>
      <c r="D12" s="64">
        <f>COUNTIFS('09_Estimativa_96_Telas'!$B$6:$B$200,A12,'09_Estimativa_96_Telas'!$E$6:$E$200,"MVP")</f>
        <v/>
      </c>
      <c r="E12" s="64">
        <f>COUNTIFS('09_Estimativa_96_Telas'!$B$6:$B$200,A12,'09_Estimativa_96_Telas'!$E$6:$E$200,"Fase 2")</f>
        <v/>
      </c>
      <c r="F12" s="92">
        <f>SUMIF('09_Estimativa_96_Telas'!$B$6:$B$200,A12,'09_Estimativa_96_Telas'!$W$6:$W$200)</f>
        <v/>
      </c>
      <c r="G12" s="93">
        <f>SUMIF('09_Estimativa_96_Telas'!$B$6:$B$200,A12,'09_Estimativa_96_Telas'!$AA$6:$AA$200)</f>
        <v/>
      </c>
      <c r="H12" s="93">
        <f>SUMIFS('09_Estimativa_96_Telas'!$AA$6:$AA$200,'09_Estimativa_96_Telas'!$B$6:$B$200,A12,'09_Estimativa_96_Telas'!$E$6:$E$200,"MVP")</f>
        <v/>
      </c>
      <c r="I12" s="93">
        <f>SUMIFS('09_Estimativa_96_Telas'!$AA$6:$AA$200,'09_Estimativa_96_Telas'!$B$6:$B$200,A12,'09_Estimativa_96_Telas'!$E$6:$E$200,"Fase 2")</f>
        <v/>
      </c>
      <c r="J12" s="93">
        <f>IF(A12="CORE",G12,$G$6/8)</f>
        <v/>
      </c>
      <c r="K12" s="93">
        <f>IF(A12="CORE",G12,G12)</f>
        <v/>
      </c>
      <c r="L12" s="95">
        <f>G12/SUM($G$6:$G$14)</f>
        <v/>
      </c>
      <c r="M12" s="64">
        <f>COUNTIFS('02_Inventario_Paginas'!$B$6:$B$200,A12,'02_Inventario_Paginas'!$G$6:$G$200,"Alta")+COUNTIFS('02_Inventario_Paginas'!$B$6:$B$200,A12,'02_Inventario_Paginas'!$G$6:$G$200,"Muito alta")</f>
        <v/>
      </c>
      <c r="N12" s="14" t="inlineStr">
        <is>
          <t>Preço do módulo = incremental + parcela de Core + implantação/integrações específicas do cliente</t>
        </is>
      </c>
      <c r="O12">
        <f>COUNTIFS('09_Estimativa_96_Telas'!$B$6:$B$200,A12,'09_Estimativa_96_Telas'!$E$6:$E$200,"MVP+1")</f>
        <v/>
      </c>
      <c r="P12">
        <f>SUMIFS('09_Estimativa_96_Telas'!$AA$6:$AA$200,'09_Estimativa_96_Telas'!$B$6:$B$200,A12,'09_Estimativa_96_Telas'!$E$6:$E$200,"MVP+1")</f>
        <v/>
      </c>
    </row>
    <row r="13">
      <c r="A13" s="63" t="inlineStr">
        <is>
          <t>COM</t>
        </is>
      </c>
      <c r="B13" s="63" t="inlineStr">
        <is>
          <t>Comunidades</t>
        </is>
      </c>
      <c r="C13" s="64">
        <f>COUNTIF('09_Estimativa_96_Telas'!$B$6:$B$200,A13)</f>
        <v/>
      </c>
      <c r="D13" s="64">
        <f>COUNTIFS('09_Estimativa_96_Telas'!$B$6:$B$200,A13,'09_Estimativa_96_Telas'!$E$6:$E$200,"MVP")</f>
        <v/>
      </c>
      <c r="E13" s="64">
        <f>COUNTIFS('09_Estimativa_96_Telas'!$B$6:$B$200,A13,'09_Estimativa_96_Telas'!$E$6:$E$200,"Fase 2")</f>
        <v/>
      </c>
      <c r="F13" s="92">
        <f>SUMIF('09_Estimativa_96_Telas'!$B$6:$B$200,A13,'09_Estimativa_96_Telas'!$W$6:$W$200)</f>
        <v/>
      </c>
      <c r="G13" s="93">
        <f>SUMIF('09_Estimativa_96_Telas'!$B$6:$B$200,A13,'09_Estimativa_96_Telas'!$AA$6:$AA$200)</f>
        <v/>
      </c>
      <c r="H13" s="93">
        <f>SUMIFS('09_Estimativa_96_Telas'!$AA$6:$AA$200,'09_Estimativa_96_Telas'!$B$6:$B$200,A13,'09_Estimativa_96_Telas'!$E$6:$E$200,"MVP")</f>
        <v/>
      </c>
      <c r="I13" s="93">
        <f>SUMIFS('09_Estimativa_96_Telas'!$AA$6:$AA$200,'09_Estimativa_96_Telas'!$B$6:$B$200,A13,'09_Estimativa_96_Telas'!$E$6:$E$200,"Fase 2")</f>
        <v/>
      </c>
      <c r="J13" s="93">
        <f>IF(A13="CORE",G13,$G$6/8)</f>
        <v/>
      </c>
      <c r="K13" s="93">
        <f>IF(A13="CORE",G13,G13)</f>
        <v/>
      </c>
      <c r="L13" s="95">
        <f>G13/SUM($G$6:$G$14)</f>
        <v/>
      </c>
      <c r="M13" s="64">
        <f>COUNTIFS('02_Inventario_Paginas'!$B$6:$B$200,A13,'02_Inventario_Paginas'!$G$6:$G$200,"Alta")+COUNTIFS('02_Inventario_Paginas'!$B$6:$B$200,A13,'02_Inventario_Paginas'!$G$6:$G$200,"Muito alta")</f>
        <v/>
      </c>
      <c r="N13" s="14" t="inlineStr">
        <is>
          <t>Preço do módulo = incremental + parcela de Core + implantação/integrações específicas do cliente</t>
        </is>
      </c>
      <c r="O13">
        <f>COUNTIFS('09_Estimativa_96_Telas'!$B$6:$B$200,A13,'09_Estimativa_96_Telas'!$E$6:$E$200,"MVP+1")</f>
        <v/>
      </c>
      <c r="P13">
        <f>SUMIFS('09_Estimativa_96_Telas'!$AA$6:$AA$200,'09_Estimativa_96_Telas'!$B$6:$B$200,A13,'09_Estimativa_96_Telas'!$E$6:$E$200,"MVP+1")</f>
        <v/>
      </c>
    </row>
    <row r="14">
      <c r="A14" t="inlineStr">
        <is>
          <t>CUST</t>
        </is>
      </c>
      <c r="B14" t="inlineStr">
        <is>
          <t>Clientes &amp; Receita</t>
        </is>
      </c>
      <c r="C14">
        <f>COUNTIF('09_Estimativa_96_Telas'!$B$6:$B$200,A14)</f>
        <v/>
      </c>
      <c r="D14">
        <f>COUNTIFS('09_Estimativa_96_Telas'!$B$6:$B$200,A14,'09_Estimativa_96_Telas'!$E$6:$E$200,"MVP")</f>
        <v/>
      </c>
      <c r="E14">
        <f>COUNTIFS('09_Estimativa_96_Telas'!$B$6:$B$200,A14,'09_Estimativa_96_Telas'!$E$6:$E$200,"Fase 2")</f>
        <v/>
      </c>
      <c r="F14">
        <f>SUMIF('09_Estimativa_96_Telas'!$B$6:$B$200,A14,'09_Estimativa_96_Telas'!$W$6:$W$200)</f>
        <v/>
      </c>
      <c r="G14">
        <f>SUMIF('09_Estimativa_96_Telas'!$B$6:$B$200,A14,'09_Estimativa_96_Telas'!$AA$6:$AA$200)</f>
        <v/>
      </c>
      <c r="H14">
        <f>SUMIFS('09_Estimativa_96_Telas'!$AA$6:$AA$200,'09_Estimativa_96_Telas'!$B$6:$B$200,A14,'09_Estimativa_96_Telas'!$E$6:$E$200,"MVP")</f>
        <v/>
      </c>
      <c r="I14">
        <f>SUMIFS('09_Estimativa_96_Telas'!$AA$6:$AA$200,'09_Estimativa_96_Telas'!$B$6:$B$200,A14,'09_Estimativa_96_Telas'!$E$6:$E$200,"Fase 2")</f>
        <v/>
      </c>
      <c r="J14">
        <f>IF(A14="CORE",G14,$G$6/8)</f>
        <v/>
      </c>
      <c r="K14">
        <f>IF(A14="CORE",G14,G14)</f>
        <v/>
      </c>
      <c r="L14">
        <f>G14/SUM($G$6:$G$14)</f>
        <v/>
      </c>
      <c r="M14">
        <f>COUNTIFS('02_Inventario_Paginas'!$B$6:$B$200,A14,'02_Inventario_Paginas'!$G$6:$G$200,"Alta")+COUNTIFS('02_Inventario_Paginas'!$B$6:$B$200,A14,'02_Inventario_Paginas'!$G$6:$G$200,"Muito alta")</f>
        <v/>
      </c>
      <c r="N14" t="inlineStr">
        <is>
          <t>Novo — MOD-04 Tecnica (MVP).</t>
        </is>
      </c>
      <c r="O14">
        <f>COUNTIFS('09_Estimativa_96_Telas'!$B$6:$B$200,A14,'09_Estimativa_96_Telas'!$E$6:$E$200,"MVP+1")</f>
        <v/>
      </c>
      <c r="P14">
        <f>SUMIFS('09_Estimativa_96_Telas'!$AA$6:$AA$200,'09_Estimativa_96_Telas'!$B$6:$B$200,A14,'09_Estimativa_96_Telas'!$E$6:$E$200,"MVP+1")</f>
        <v/>
      </c>
    </row>
    <row r="15">
      <c r="A15" s="96" t="inlineStr">
        <is>
          <t>CAPEX TOTAL DA PLATAFORMA (sem duplicação de telas compartilhadas)</t>
        </is>
      </c>
      <c r="B15" s="1" t="n"/>
      <c r="C15" s="1" t="n"/>
      <c r="D15" s="1" t="n"/>
      <c r="E15" s="1" t="n"/>
      <c r="F15" s="1" t="n"/>
      <c r="G15" s="97">
        <f>SUM(G6:G14)</f>
        <v/>
      </c>
      <c r="H15" s="67" t="n"/>
      <c r="I15" s="67" t="n"/>
      <c r="J15" s="67" t="n"/>
      <c r="K15" s="67" t="n"/>
      <c r="L15" s="67" t="n"/>
      <c r="M15" s="67" t="n"/>
      <c r="N15" s="67" t="n"/>
    </row>
  </sheetData>
  <mergeCells count="3">
    <mergeCell ref="A1:N2"/>
    <mergeCell ref="A3:N3"/>
    <mergeCell ref="A15:F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style="26" min="1" max="1"/>
    <col width="18" customWidth="1" style="26" min="2" max="2"/>
    <col width="12" customWidth="1" style="26" min="3" max="3"/>
    <col width="12" customWidth="1" style="26" min="4" max="4"/>
    <col width="18" customWidth="1" style="26" min="5" max="5"/>
    <col width="18" customWidth="1" style="26" min="6" max="6"/>
    <col width="45" customWidth="1" style="26" min="7" max="7"/>
    <col width="14" customWidth="1" style="26" min="8" max="8"/>
    <col width="10" customWidth="1" style="26" min="10" max="10"/>
    <col width="30" customWidth="1" style="26" min="11" max="11"/>
    <col width="18" customWidth="1" style="26" min="12" max="12"/>
    <col width="22" customWidth="1" style="26" min="13" max="13"/>
    <col width="20" customWidth="1" style="26" min="14" max="14"/>
    <col width="24" customWidth="1" style="26" min="15" max="15"/>
  </cols>
  <sheetData>
    <row r="1">
      <c r="A1" s="88" t="inlineStr">
        <is>
          <t>OPEX MENSAL — PLATAFORMA E MÓDULOS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5">
      <c r="A5" s="33" t="inlineStr">
        <is>
          <t>Componente</t>
        </is>
      </c>
      <c r="B5" s="33" t="inlineStr">
        <is>
          <t>Base mensal R$</t>
        </is>
      </c>
      <c r="C5" s="33" t="inlineStr">
        <is>
          <t>Core %</t>
        </is>
      </c>
      <c r="D5" s="33" t="inlineStr">
        <is>
          <t>Vertical %</t>
        </is>
      </c>
      <c r="E5" s="33" t="inlineStr">
        <is>
          <t>Core mensal</t>
        </is>
      </c>
      <c r="F5" s="33" t="inlineStr">
        <is>
          <t>Pool verticais</t>
        </is>
      </c>
      <c r="G5" s="33" t="inlineStr">
        <is>
          <t>Observação</t>
        </is>
      </c>
      <c r="H5" s="33" t="inlineStr">
        <is>
          <t>Premissa</t>
        </is>
      </c>
      <c r="J5" s="33" t="inlineStr">
        <is>
          <t>Código</t>
        </is>
      </c>
      <c r="K5" s="33" t="inlineStr">
        <is>
          <t>Módulo</t>
        </is>
      </c>
      <c r="L5" s="33" t="inlineStr">
        <is>
          <t>Peso de complexidade</t>
        </is>
      </c>
      <c r="M5" s="33" t="inlineStr">
        <is>
          <t>OPEX incremental/mês</t>
        </is>
      </c>
      <c r="N5" s="33" t="inlineStr">
        <is>
          <t>Core rateado/mês</t>
        </is>
      </c>
      <c r="O5" s="33" t="inlineStr">
        <is>
          <t>OPEX fully-loaded/mês</t>
        </is>
      </c>
    </row>
    <row r="6">
      <c r="A6">
        <f>'08_Premissas_Custos'!A24</f>
        <v/>
      </c>
      <c r="B6" s="98">
        <f>'08_Premissas_Custos'!B24</f>
        <v/>
      </c>
      <c r="C6" s="99" t="n">
        <v>0.75</v>
      </c>
      <c r="D6" s="100">
        <f>1-C6</f>
        <v/>
      </c>
      <c r="E6" s="101">
        <f>B6*C6</f>
        <v/>
      </c>
      <c r="F6" s="101">
        <f>B6*D6</f>
        <v/>
      </c>
      <c r="G6">
        <f>'08_Premissas_Custos'!D24</f>
        <v/>
      </c>
      <c r="H6" t="inlineStr">
        <is>
          <t>Editável</t>
        </is>
      </c>
      <c r="J6" t="inlineStr">
        <is>
          <t>ED</t>
        </is>
      </c>
      <c r="K6" t="inlineStr">
        <is>
          <t>Estratégia &amp; Dados</t>
        </is>
      </c>
      <c r="L6" s="102">
        <f>'10_CAPEX_por_Modulo'!G7/SUM('10_CAPEX_por_Modulo'!$G$7:$G$14)</f>
        <v/>
      </c>
      <c r="M6" s="103">
        <f>SUM($F$6:$F$13)*L6</f>
        <v/>
      </c>
      <c r="N6" s="103">
        <f>SUM($E$6:$E$13)/8</f>
        <v/>
      </c>
      <c r="O6" s="103">
        <f>M6+N6</f>
        <v/>
      </c>
    </row>
    <row r="7">
      <c r="A7">
        <f>'08_Premissas_Custos'!A25</f>
        <v/>
      </c>
      <c r="B7" s="98">
        <f>'08_Premissas_Custos'!B25</f>
        <v/>
      </c>
      <c r="C7" s="99" t="n">
        <v>0.55</v>
      </c>
      <c r="D7" s="100">
        <f>1-C7</f>
        <v/>
      </c>
      <c r="E7" s="101">
        <f>B7*C7</f>
        <v/>
      </c>
      <c r="F7" s="101">
        <f>B7*D7</f>
        <v/>
      </c>
      <c r="G7">
        <f>'08_Premissas_Custos'!D25</f>
        <v/>
      </c>
      <c r="H7" t="inlineStr">
        <is>
          <t>Editável</t>
        </is>
      </c>
      <c r="J7" t="inlineStr">
        <is>
          <t>COL</t>
        </is>
      </c>
      <c r="K7" t="inlineStr">
        <is>
          <t>Colaboradores / Meu Time</t>
        </is>
      </c>
      <c r="L7" s="102">
        <f>'10_CAPEX_por_Modulo'!G8/SUM('10_CAPEX_por_Modulo'!$G$7:$G$14)</f>
        <v/>
      </c>
      <c r="M7" s="103">
        <f>SUM($F$6:$F$13)*L7</f>
        <v/>
      </c>
      <c r="N7" s="103">
        <f>SUM($E$6:$E$13)/8</f>
        <v/>
      </c>
      <c r="O7" s="103">
        <f>M7+N7</f>
        <v/>
      </c>
    </row>
    <row r="8">
      <c r="A8">
        <f>'08_Premissas_Custos'!A26</f>
        <v/>
      </c>
      <c r="B8" s="98">
        <f>'08_Premissas_Custos'!B26</f>
        <v/>
      </c>
      <c r="C8" s="99" t="n">
        <v>0.35</v>
      </c>
      <c r="D8" s="100">
        <f>1-C8</f>
        <v/>
      </c>
      <c r="E8" s="101">
        <f>B8*C8</f>
        <v/>
      </c>
      <c r="F8" s="101">
        <f>B8*D8</f>
        <v/>
      </c>
      <c r="G8">
        <f>'08_Premissas_Custos'!D26</f>
        <v/>
      </c>
      <c r="H8" t="inlineStr">
        <is>
          <t>Editável</t>
        </is>
      </c>
      <c r="J8" t="inlineStr">
        <is>
          <t>CAN</t>
        </is>
      </c>
      <c r="K8" t="inlineStr">
        <is>
          <t>Candidatos &amp; Carreira</t>
        </is>
      </c>
      <c r="L8" s="102">
        <f>'10_CAPEX_por_Modulo'!G9/SUM('10_CAPEX_por_Modulo'!$G$7:$G$14)</f>
        <v/>
      </c>
      <c r="M8" s="103">
        <f>SUM($F$6:$F$13)*L8</f>
        <v/>
      </c>
      <c r="N8" s="103">
        <f>SUM($E$6:$E$13)/8</f>
        <v/>
      </c>
      <c r="O8" s="103">
        <f>M8+N8</f>
        <v/>
      </c>
    </row>
    <row r="9">
      <c r="A9">
        <f>'08_Premissas_Custos'!A27</f>
        <v/>
      </c>
      <c r="B9" s="98">
        <f>'08_Premissas_Custos'!B27</f>
        <v/>
      </c>
      <c r="C9" s="99" t="n">
        <v>0.3</v>
      </c>
      <c r="D9" s="100">
        <f>1-C9</f>
        <v/>
      </c>
      <c r="E9" s="101">
        <f>B9*C9</f>
        <v/>
      </c>
      <c r="F9" s="101">
        <f>B9*D9</f>
        <v/>
      </c>
      <c r="G9">
        <f>'08_Premissas_Custos'!D27</f>
        <v/>
      </c>
      <c r="H9" t="inlineStr">
        <is>
          <t>Editável</t>
        </is>
      </c>
      <c r="J9" t="inlineStr">
        <is>
          <t>FOR</t>
        </is>
      </c>
      <c r="K9" t="inlineStr">
        <is>
          <t>Fornecedores &amp; Negócios</t>
        </is>
      </c>
      <c r="L9" s="102">
        <f>'10_CAPEX_por_Modulo'!G10/SUM('10_CAPEX_por_Modulo'!$G$7:$G$14)</f>
        <v/>
      </c>
      <c r="M9" s="103">
        <f>SUM($F$6:$F$13)*L9</f>
        <v/>
      </c>
      <c r="N9" s="103">
        <f>SUM($E$6:$E$13)/8</f>
        <v/>
      </c>
      <c r="O9" s="103">
        <f>M9+N9</f>
        <v/>
      </c>
    </row>
    <row r="10">
      <c r="A10">
        <f>'08_Premissas_Custos'!A28</f>
        <v/>
      </c>
      <c r="B10" s="98">
        <f>'08_Premissas_Custos'!B28</f>
        <v/>
      </c>
      <c r="C10" s="99" t="n">
        <v>0.7</v>
      </c>
      <c r="D10" s="100">
        <f>1-C10</f>
        <v/>
      </c>
      <c r="E10" s="101">
        <f>B10*C10</f>
        <v/>
      </c>
      <c r="F10" s="101">
        <f>B10*D10</f>
        <v/>
      </c>
      <c r="G10">
        <f>'08_Premissas_Custos'!D28</f>
        <v/>
      </c>
      <c r="H10" t="inlineStr">
        <is>
          <t>Editável</t>
        </is>
      </c>
      <c r="J10" t="inlineStr">
        <is>
          <t>ACA</t>
        </is>
      </c>
      <c r="K10" t="inlineStr">
        <is>
          <t>Acadêmico / Universidades</t>
        </is>
      </c>
      <c r="L10" s="102">
        <f>'10_CAPEX_por_Modulo'!G11/SUM('10_CAPEX_por_Modulo'!$G$7:$G$14)</f>
        <v/>
      </c>
      <c r="M10" s="103">
        <f>SUM($F$6:$F$13)*L10</f>
        <v/>
      </c>
      <c r="N10" s="103">
        <f>SUM($E$6:$E$13)/8</f>
        <v/>
      </c>
      <c r="O10" s="103">
        <f>M10+N10</f>
        <v/>
      </c>
    </row>
    <row r="11">
      <c r="A11">
        <f>'08_Premissas_Custos'!A29</f>
        <v/>
      </c>
      <c r="B11" s="98">
        <f>'08_Premissas_Custos'!B29</f>
        <v/>
      </c>
      <c r="C11" s="99" t="n">
        <v>0.35</v>
      </c>
      <c r="D11" s="100">
        <f>1-C11</f>
        <v/>
      </c>
      <c r="E11" s="101">
        <f>B11*C11</f>
        <v/>
      </c>
      <c r="F11" s="101">
        <f>B11*D11</f>
        <v/>
      </c>
      <c r="G11">
        <f>'08_Premissas_Custos'!D29</f>
        <v/>
      </c>
      <c r="H11" t="inlineStr">
        <is>
          <t>Editável</t>
        </is>
      </c>
      <c r="J11" t="inlineStr">
        <is>
          <t>EVT</t>
        </is>
      </c>
      <c r="K11" t="inlineStr">
        <is>
          <t>Eventos</t>
        </is>
      </c>
      <c r="L11" s="102">
        <f>'10_CAPEX_por_Modulo'!G12/SUM('10_CAPEX_por_Modulo'!$G$7:$G$14)</f>
        <v/>
      </c>
      <c r="M11" s="103">
        <f>SUM($F$6:$F$13)*L11</f>
        <v/>
      </c>
      <c r="N11" s="103">
        <f>SUM($E$6:$E$13)/8</f>
        <v/>
      </c>
      <c r="O11" s="103">
        <f>M11+N11</f>
        <v/>
      </c>
    </row>
    <row r="12">
      <c r="A12">
        <f>'08_Premissas_Custos'!A30</f>
        <v/>
      </c>
      <c r="B12" s="98">
        <f>'08_Premissas_Custos'!B30</f>
        <v/>
      </c>
      <c r="C12" s="99" t="n">
        <v>0.45</v>
      </c>
      <c r="D12" s="100">
        <f>1-C12</f>
        <v/>
      </c>
      <c r="E12" s="101">
        <f>B12*C12</f>
        <v/>
      </c>
      <c r="F12" s="101">
        <f>B12*D12</f>
        <v/>
      </c>
      <c r="G12">
        <f>'08_Premissas_Custos'!D30</f>
        <v/>
      </c>
      <c r="H12" t="inlineStr">
        <is>
          <t>Editável</t>
        </is>
      </c>
      <c r="J12" t="inlineStr">
        <is>
          <t>COM</t>
        </is>
      </c>
      <c r="K12" t="inlineStr">
        <is>
          <t>Comunidades</t>
        </is>
      </c>
      <c r="L12" s="102">
        <f>'10_CAPEX_por_Modulo'!G13/SUM('10_CAPEX_por_Modulo'!$G$7:$G$14)</f>
        <v/>
      </c>
      <c r="M12" s="103">
        <f>SUM($F$6:$F$13)*L12</f>
        <v/>
      </c>
      <c r="N12" s="103">
        <f>SUM($E$6:$E$13)/8</f>
        <v/>
      </c>
      <c r="O12" s="103">
        <f>M12+N12</f>
        <v/>
      </c>
    </row>
    <row r="13">
      <c r="A13">
        <f>'08_Premissas_Custos'!A31</f>
        <v/>
      </c>
      <c r="B13" s="98">
        <f>'08_Premissas_Custos'!B31</f>
        <v/>
      </c>
      <c r="C13" s="99" t="n">
        <v>0.25</v>
      </c>
      <c r="D13" s="100">
        <f>1-C13</f>
        <v/>
      </c>
      <c r="E13" s="101">
        <f>B13*C13</f>
        <v/>
      </c>
      <c r="F13" s="101">
        <f>B13*D13</f>
        <v/>
      </c>
      <c r="G13">
        <f>'08_Premissas_Custos'!D31</f>
        <v/>
      </c>
      <c r="H13" t="inlineStr">
        <is>
          <t>Editável</t>
        </is>
      </c>
      <c r="J13" t="inlineStr">
        <is>
          <t>CUST</t>
        </is>
      </c>
      <c r="K13" t="inlineStr">
        <is>
          <t>Clientes &amp; Receita</t>
        </is>
      </c>
      <c r="L13">
        <f>'10_CAPEX_por_Modulo'!G14/SUM('10_CAPEX_por_Modulo'!$G$7:$G$14)</f>
        <v/>
      </c>
      <c r="M13">
        <f>SUM($F$6:$F$13)*L13</f>
        <v/>
      </c>
      <c r="N13">
        <f>SUM($E$6:$E$13)/8</f>
        <v/>
      </c>
      <c r="O13">
        <f>M13+N13</f>
        <v/>
      </c>
    </row>
    <row r="15">
      <c r="A15" s="96" t="inlineStr">
        <is>
          <t>OPEX BASE TOTAL / MÊS</t>
        </is>
      </c>
      <c r="B15" s="1" t="n"/>
      <c r="C15" s="1" t="n"/>
      <c r="D15" s="1" t="n"/>
      <c r="E15" s="97">
        <f>SUM(B6:B13)</f>
        <v/>
      </c>
      <c r="F15" s="67" t="n"/>
      <c r="G15" s="67" t="n"/>
      <c r="H15" s="67" t="n"/>
    </row>
  </sheetData>
  <mergeCells count="2">
    <mergeCell ref="A1:H2"/>
    <mergeCell ref="A15:D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30" customWidth="1" style="26" min="2" max="2"/>
    <col width="20" customWidth="1" style="26" min="3" max="3"/>
    <col width="24" customWidth="1" style="26" min="4" max="4"/>
    <col width="12" customWidth="1" style="26" min="5" max="5"/>
    <col width="58" customWidth="1" style="26" min="6" max="6"/>
  </cols>
  <sheetData>
    <row r="1">
      <c r="A1" s="88" t="inlineStr">
        <is>
          <t>HUB — VISÃO EXECUTIVA DE CUSTO DA PLATAFORMA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83" t="inlineStr">
        <is>
          <t>Modelo inicial para decisão: o valor final deve ser calibrado com arquitetura técnica escolhida, volume de usuários/dados, integrações por cliente e cotações de equipe/fornecedores.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CAPEX TOTAL</t>
        </is>
      </c>
      <c r="B5" s="1" t="n"/>
      <c r="D5" s="104" t="inlineStr">
        <is>
          <t>CAPEX CORE</t>
        </is>
      </c>
      <c r="E5" s="1" t="n"/>
      <c r="G5" s="104" t="inlineStr">
        <is>
          <t>OPEX BASE / MÊS</t>
        </is>
      </c>
      <c r="H5" s="1" t="n"/>
      <c r="I5" s="104" t="inlineStr">
        <is>
          <t>TELAS MAPEADAS</t>
        </is>
      </c>
      <c r="J5" s="1" t="n"/>
    </row>
    <row r="6">
      <c r="A6" s="105">
        <f>'10_CAPEX_por_Modulo'!G15</f>
        <v/>
      </c>
      <c r="B6" s="1" t="n"/>
      <c r="D6" s="105">
        <f>'10_CAPEX_por_Modulo'!G6</f>
        <v/>
      </c>
      <c r="E6" s="1" t="n"/>
      <c r="G6" s="105">
        <f>'11_OPEX_Mensal'!E15</f>
        <v/>
      </c>
      <c r="H6" s="1" t="n"/>
      <c r="I6" s="106">
        <f>COUNTA('02_Inventario_Paginas'!A6:A200)</f>
        <v/>
      </c>
      <c r="J6" s="1" t="n"/>
    </row>
    <row r="7">
      <c r="A7" s="1" t="n"/>
      <c r="B7" s="1" t="n"/>
      <c r="D7" s="1" t="n"/>
      <c r="E7" s="1" t="n"/>
      <c r="G7" s="1" t="n"/>
      <c r="H7" s="1" t="n"/>
      <c r="I7" s="1" t="n"/>
      <c r="J7" s="1" t="n"/>
    </row>
    <row r="10">
      <c r="A10" s="33" t="inlineStr">
        <is>
          <t>Código</t>
        </is>
      </c>
      <c r="B10" s="33" t="inlineStr">
        <is>
          <t>Módulo</t>
        </is>
      </c>
      <c r="C10" s="33" t="inlineStr">
        <is>
          <t>CAPEX incremental</t>
        </is>
      </c>
      <c r="D10" s="33" t="inlineStr">
        <is>
          <t>OPEX fully-loaded/mês</t>
        </is>
      </c>
      <c r="E10" s="33" t="inlineStr">
        <is>
          <t>Telas</t>
        </is>
      </c>
      <c r="F10" s="33" t="inlineStr">
        <is>
          <t>Observação</t>
        </is>
      </c>
    </row>
    <row r="11">
      <c r="A11" s="14" t="inlineStr">
        <is>
          <t>ED</t>
        </is>
      </c>
      <c r="B11" s="14" t="inlineStr">
        <is>
          <t>Estratégia &amp; Dados</t>
        </is>
      </c>
      <c r="C11" s="107">
        <f>'10_CAPEX_por_Modulo'!K7</f>
        <v/>
      </c>
      <c r="D11" s="107">
        <f>'11_OPEX_Mensal'!O6</f>
        <v/>
      </c>
      <c r="E11" s="14">
        <f>'10_CAPEX_por_Modulo'!C7</f>
        <v/>
      </c>
      <c r="F11" s="14" t="inlineStr">
        <is>
          <t>Core não é cobrado novamente; alocar implantação e integrações específicas à parte.</t>
        </is>
      </c>
    </row>
    <row r="12">
      <c r="A12" s="14" t="inlineStr">
        <is>
          <t>COL</t>
        </is>
      </c>
      <c r="B12" s="14" t="inlineStr">
        <is>
          <t>Colaboradores / Meu Time</t>
        </is>
      </c>
      <c r="C12" s="107">
        <f>'10_CAPEX_por_Modulo'!K8</f>
        <v/>
      </c>
      <c r="D12" s="107">
        <f>'11_OPEX_Mensal'!O7</f>
        <v/>
      </c>
      <c r="E12" s="14">
        <f>'10_CAPEX_por_Modulo'!C8</f>
        <v/>
      </c>
      <c r="F12" s="14" t="inlineStr">
        <is>
          <t>Core não é cobrado novamente; alocar implantação e integrações específicas à parte.</t>
        </is>
      </c>
    </row>
    <row r="13">
      <c r="A13" s="14" t="inlineStr">
        <is>
          <t>CAN</t>
        </is>
      </c>
      <c r="B13" s="14" t="inlineStr">
        <is>
          <t>Candidatos &amp; Carreira</t>
        </is>
      </c>
      <c r="C13" s="107">
        <f>'10_CAPEX_por_Modulo'!K9</f>
        <v/>
      </c>
      <c r="D13" s="107">
        <f>'11_OPEX_Mensal'!O8</f>
        <v/>
      </c>
      <c r="E13" s="14">
        <f>'10_CAPEX_por_Modulo'!C9</f>
        <v/>
      </c>
      <c r="F13" s="14" t="inlineStr">
        <is>
          <t>Core não é cobrado novamente; alocar implantação e integrações específicas à parte.</t>
        </is>
      </c>
    </row>
    <row r="14">
      <c r="A14" s="14" t="inlineStr">
        <is>
          <t>FOR</t>
        </is>
      </c>
      <c r="B14" s="14" t="inlineStr">
        <is>
          <t>Fornecedores &amp; Negócios</t>
        </is>
      </c>
      <c r="C14" s="107">
        <f>'10_CAPEX_por_Modulo'!K10</f>
        <v/>
      </c>
      <c r="D14" s="107">
        <f>'11_OPEX_Mensal'!O9</f>
        <v/>
      </c>
      <c r="E14" s="14">
        <f>'10_CAPEX_por_Modulo'!C10</f>
        <v/>
      </c>
      <c r="F14" s="14" t="inlineStr">
        <is>
          <t>Core não é cobrado novamente; alocar implantação e integrações específicas à parte.</t>
        </is>
      </c>
    </row>
    <row r="15">
      <c r="A15" s="14" t="inlineStr">
        <is>
          <t>ACA</t>
        </is>
      </c>
      <c r="B15" s="14" t="inlineStr">
        <is>
          <t>Acadêmico / Universidades</t>
        </is>
      </c>
      <c r="C15" s="107">
        <f>'10_CAPEX_por_Modulo'!K11</f>
        <v/>
      </c>
      <c r="D15" s="107">
        <f>'11_OPEX_Mensal'!O10</f>
        <v/>
      </c>
      <c r="E15" s="14">
        <f>'10_CAPEX_por_Modulo'!C11</f>
        <v/>
      </c>
      <c r="F15" s="14" t="inlineStr">
        <is>
          <t>Core não é cobrado novamente; alocar implantação e integrações específicas à parte.</t>
        </is>
      </c>
    </row>
    <row r="16">
      <c r="A16" s="14" t="inlineStr">
        <is>
          <t>EVT</t>
        </is>
      </c>
      <c r="B16" s="14" t="inlineStr">
        <is>
          <t>Eventos</t>
        </is>
      </c>
      <c r="C16" s="107">
        <f>'10_CAPEX_por_Modulo'!K12</f>
        <v/>
      </c>
      <c r="D16" s="107">
        <f>'11_OPEX_Mensal'!O11</f>
        <v/>
      </c>
      <c r="E16" s="14">
        <f>'10_CAPEX_por_Modulo'!C12</f>
        <v/>
      </c>
      <c r="F16" s="14" t="inlineStr">
        <is>
          <t>Core não é cobrado novamente; alocar implantação e integrações específicas à parte.</t>
        </is>
      </c>
    </row>
    <row r="17">
      <c r="A17" s="14" t="inlineStr">
        <is>
          <t>COM</t>
        </is>
      </c>
      <c r="B17" s="14" t="inlineStr">
        <is>
          <t>Comunidades</t>
        </is>
      </c>
      <c r="C17" s="107">
        <f>'10_CAPEX_por_Modulo'!K13</f>
        <v/>
      </c>
      <c r="D17" s="107">
        <f>'11_OPEX_Mensal'!O12</f>
        <v/>
      </c>
      <c r="E17" s="14">
        <f>'10_CAPEX_por_Modulo'!C13</f>
        <v/>
      </c>
      <c r="F17" s="14" t="inlineStr">
        <is>
          <t>Core não é cobrado novamente; alocar implantação e integrações específicas à parte.</t>
        </is>
      </c>
    </row>
    <row r="18">
      <c r="A18" t="inlineStr">
        <is>
          <t>CUST</t>
        </is>
      </c>
      <c r="B18" t="inlineStr">
        <is>
          <t>Clientes &amp; Receita</t>
        </is>
      </c>
      <c r="C18">
        <f>'10_CAPEX_por_Modulo'!K14</f>
        <v/>
      </c>
      <c r="D18">
        <f>'11_OPEX_Mensal'!O13</f>
        <v/>
      </c>
      <c r="E18">
        <f>'10_CAPEX_por_Modulo'!C14</f>
        <v/>
      </c>
      <c r="F18" t="inlineStr">
        <is>
          <t>Core não é cobrado novamente; alocar implantação e integrações específicas à parte.</t>
        </is>
      </c>
    </row>
  </sheetData>
  <mergeCells count="10">
    <mergeCell ref="A1:J2"/>
    <mergeCell ref="I6:J7"/>
    <mergeCell ref="G6:H7"/>
    <mergeCell ref="A3:J3"/>
    <mergeCell ref="D5:E5"/>
    <mergeCell ref="A6:B7"/>
    <mergeCell ref="A5:B5"/>
    <mergeCell ref="D6:E7"/>
    <mergeCell ref="G5:H5"/>
    <mergeCell ref="I5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2026-09-23T13:17:59Z</dcterms:created>
  <dcterms:modified xmlns:dcterms="http://purl.org/dc/terms/" xmlns:xsi="http://www.w3.org/2001/XMLSchema-instance" xsi:type="dcterms:W3CDTF">2026-09-23T13:18:55Z</dcterms:modified>
</cp:coreProperties>
</file>